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worksheets/sheet207.xml" ContentType="application/vnd.openxmlformats-officedocument.spreadsheetml.worksheet+xml"/>
  <Override PartName="/xl/worksheets/sheet208.xml" ContentType="application/vnd.openxmlformats-officedocument.spreadsheetml.worksheet+xml"/>
  <Override PartName="/xl/worksheets/sheet209.xml" ContentType="application/vnd.openxmlformats-officedocument.spreadsheetml.worksheet+xml"/>
  <Override PartName="/xl/worksheets/sheet210.xml" ContentType="application/vnd.openxmlformats-officedocument.spreadsheetml.worksheet+xml"/>
  <Override PartName="/xl/worksheets/sheet211.xml" ContentType="application/vnd.openxmlformats-officedocument.spreadsheetml.worksheet+xml"/>
  <Override PartName="/xl/worksheets/sheet212.xml" ContentType="application/vnd.openxmlformats-officedocument.spreadsheetml.worksheet+xml"/>
  <Override PartName="/xl/worksheets/sheet213.xml" ContentType="application/vnd.openxmlformats-officedocument.spreadsheetml.worksheet+xml"/>
  <Override PartName="/xl/worksheets/sheet214.xml" ContentType="application/vnd.openxmlformats-officedocument.spreadsheetml.worksheet+xml"/>
  <Override PartName="/xl/worksheets/sheet215.xml" ContentType="application/vnd.openxmlformats-officedocument.spreadsheetml.worksheet+xml"/>
  <Override PartName="/xl/worksheets/sheet216.xml" ContentType="application/vnd.openxmlformats-officedocument.spreadsheetml.worksheet+xml"/>
  <Override PartName="/xl/worksheets/sheet217.xml" ContentType="application/vnd.openxmlformats-officedocument.spreadsheetml.worksheet+xml"/>
  <Override PartName="/xl/worksheets/sheet218.xml" ContentType="application/vnd.openxmlformats-officedocument.spreadsheetml.worksheet+xml"/>
  <Override PartName="/xl/worksheets/sheet219.xml" ContentType="application/vnd.openxmlformats-officedocument.spreadsheetml.worksheet+xml"/>
  <Override PartName="/xl/worksheets/sheet220.xml" ContentType="application/vnd.openxmlformats-officedocument.spreadsheetml.worksheet+xml"/>
  <Override PartName="/xl/worksheets/sheet221.xml" ContentType="application/vnd.openxmlformats-officedocument.spreadsheetml.worksheet+xml"/>
  <Override PartName="/xl/worksheets/sheet222.xml" ContentType="application/vnd.openxmlformats-officedocument.spreadsheetml.worksheet+xml"/>
  <Override PartName="/xl/worksheets/sheet223.xml" ContentType="application/vnd.openxmlformats-officedocument.spreadsheetml.worksheet+xml"/>
  <Override PartName="/xl/worksheets/sheet224.xml" ContentType="application/vnd.openxmlformats-officedocument.spreadsheetml.worksheet+xml"/>
  <Override PartName="/xl/worksheets/sheet225.xml" ContentType="application/vnd.openxmlformats-officedocument.spreadsheetml.worksheet+xml"/>
  <Override PartName="/xl/worksheets/sheet226.xml" ContentType="application/vnd.openxmlformats-officedocument.spreadsheetml.worksheet+xml"/>
  <Override PartName="/xl/worksheets/sheet227.xml" ContentType="application/vnd.openxmlformats-officedocument.spreadsheetml.worksheet+xml"/>
  <Override PartName="/xl/worksheets/sheet228.xml" ContentType="application/vnd.openxmlformats-officedocument.spreadsheetml.worksheet+xml"/>
  <Override PartName="/xl/worksheets/sheet229.xml" ContentType="application/vnd.openxmlformats-officedocument.spreadsheetml.worksheet+xml"/>
  <Override PartName="/xl/worksheets/sheet230.xml" ContentType="application/vnd.openxmlformats-officedocument.spreadsheetml.worksheet+xml"/>
  <Override PartName="/xl/worksheets/sheet231.xml" ContentType="application/vnd.openxmlformats-officedocument.spreadsheetml.worksheet+xml"/>
  <Override PartName="/xl/worksheets/sheet232.xml" ContentType="application/vnd.openxmlformats-officedocument.spreadsheetml.worksheet+xml"/>
  <Override PartName="/xl/worksheets/sheet233.xml" ContentType="application/vnd.openxmlformats-officedocument.spreadsheetml.worksheet+xml"/>
  <Override PartName="/xl/worksheets/sheet234.xml" ContentType="application/vnd.openxmlformats-officedocument.spreadsheetml.worksheet+xml"/>
  <Override PartName="/xl/worksheets/sheet235.xml" ContentType="application/vnd.openxmlformats-officedocument.spreadsheetml.worksheet+xml"/>
  <Override PartName="/xl/worksheets/sheet236.xml" ContentType="application/vnd.openxmlformats-officedocument.spreadsheetml.worksheet+xml"/>
  <Override PartName="/xl/worksheets/sheet237.xml" ContentType="application/vnd.openxmlformats-officedocument.spreadsheetml.worksheet+xml"/>
  <Override PartName="/xl/worksheets/sheet238.xml" ContentType="application/vnd.openxmlformats-officedocument.spreadsheetml.worksheet+xml"/>
  <Override PartName="/xl/worksheets/sheet239.xml" ContentType="application/vnd.openxmlformats-officedocument.spreadsheetml.worksheet+xml"/>
  <Override PartName="/xl/worksheets/sheet240.xml" ContentType="application/vnd.openxmlformats-officedocument.spreadsheetml.worksheet+xml"/>
  <Override PartName="/xl/worksheets/sheet241.xml" ContentType="application/vnd.openxmlformats-officedocument.spreadsheetml.worksheet+xml"/>
  <Override PartName="/xl/worksheets/sheet242.xml" ContentType="application/vnd.openxmlformats-officedocument.spreadsheetml.worksheet+xml"/>
  <Override PartName="/xl/worksheets/sheet243.xml" ContentType="application/vnd.openxmlformats-officedocument.spreadsheetml.worksheet+xml"/>
  <Override PartName="/xl/worksheets/sheet244.xml" ContentType="application/vnd.openxmlformats-officedocument.spreadsheetml.worksheet+xml"/>
  <Override PartName="/xl/worksheets/sheet245.xml" ContentType="application/vnd.openxmlformats-officedocument.spreadsheetml.worksheet+xml"/>
  <Override PartName="/xl/worksheets/sheet246.xml" ContentType="application/vnd.openxmlformats-officedocument.spreadsheetml.worksheet+xml"/>
  <Override PartName="/xl/worksheets/sheet247.xml" ContentType="application/vnd.openxmlformats-officedocument.spreadsheetml.worksheet+xml"/>
  <Override PartName="/xl/worksheets/sheet248.xml" ContentType="application/vnd.openxmlformats-officedocument.spreadsheetml.worksheet+xml"/>
  <Override PartName="/xl/worksheets/sheet249.xml" ContentType="application/vnd.openxmlformats-officedocument.spreadsheetml.worksheet+xml"/>
  <Override PartName="/xl/worksheets/sheet250.xml" ContentType="application/vnd.openxmlformats-officedocument.spreadsheetml.worksheet+xml"/>
  <Override PartName="/xl/worksheets/sheet251.xml" ContentType="application/vnd.openxmlformats-officedocument.spreadsheetml.worksheet+xml"/>
  <Override PartName="/xl/worksheets/sheet252.xml" ContentType="application/vnd.openxmlformats-officedocument.spreadsheetml.worksheet+xml"/>
  <Override PartName="/xl/worksheets/sheet253.xml" ContentType="application/vnd.openxmlformats-officedocument.spreadsheetml.worksheet+xml"/>
  <Override PartName="/xl/worksheets/sheet254.xml" ContentType="application/vnd.openxmlformats-officedocument.spreadsheetml.worksheet+xml"/>
  <Override PartName="/xl/worksheets/sheet255.xml" ContentType="application/vnd.openxmlformats-officedocument.spreadsheetml.worksheet+xml"/>
  <Override PartName="/xl/worksheets/sheet256.xml" ContentType="application/vnd.openxmlformats-officedocument.spreadsheetml.worksheet+xml"/>
  <Override PartName="/xl/worksheets/sheet257.xml" ContentType="application/vnd.openxmlformats-officedocument.spreadsheetml.worksheet+xml"/>
  <Override PartName="/xl/worksheets/sheet258.xml" ContentType="application/vnd.openxmlformats-officedocument.spreadsheetml.worksheet+xml"/>
  <Override PartName="/xl/worksheets/sheet259.xml" ContentType="application/vnd.openxmlformats-officedocument.spreadsheetml.worksheet+xml"/>
  <Override PartName="/xl/worksheets/sheet260.xml" ContentType="application/vnd.openxmlformats-officedocument.spreadsheetml.worksheet+xml"/>
  <Override PartName="/xl/worksheets/sheet261.xml" ContentType="application/vnd.openxmlformats-officedocument.spreadsheetml.worksheet+xml"/>
  <Override PartName="/xl/worksheets/sheet262.xml" ContentType="application/vnd.openxmlformats-officedocument.spreadsheetml.worksheet+xml"/>
  <Override PartName="/xl/worksheets/sheet263.xml" ContentType="application/vnd.openxmlformats-officedocument.spreadsheetml.worksheet+xml"/>
  <Override PartName="/xl/worksheets/sheet264.xml" ContentType="application/vnd.openxmlformats-officedocument.spreadsheetml.worksheet+xml"/>
  <Override PartName="/xl/worksheets/sheet265.xml" ContentType="application/vnd.openxmlformats-officedocument.spreadsheetml.worksheet+xml"/>
  <Override PartName="/xl/worksheets/sheet266.xml" ContentType="application/vnd.openxmlformats-officedocument.spreadsheetml.worksheet+xml"/>
  <Override PartName="/xl/worksheets/sheet267.xml" ContentType="application/vnd.openxmlformats-officedocument.spreadsheetml.worksheet+xml"/>
  <Override PartName="/xl/worksheets/sheet268.xml" ContentType="application/vnd.openxmlformats-officedocument.spreadsheetml.worksheet+xml"/>
  <Override PartName="/xl/worksheets/sheet269.xml" ContentType="application/vnd.openxmlformats-officedocument.spreadsheetml.worksheet+xml"/>
  <Override PartName="/xl/worksheets/sheet270.xml" ContentType="application/vnd.openxmlformats-officedocument.spreadsheetml.worksheet+xml"/>
  <Override PartName="/xl/worksheets/sheet271.xml" ContentType="application/vnd.openxmlformats-officedocument.spreadsheetml.worksheet+xml"/>
  <Override PartName="/xl/worksheets/sheet27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1.xml" ContentType="application/vnd.openxmlformats-officedocument.spreadsheetml.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2.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7.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ivotTables/pivotTable8.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defaultThemeVersion="124226"/>
  <mc:AlternateContent xmlns:mc="http://schemas.openxmlformats.org/markup-compatibility/2006">
    <mc:Choice Requires="x15">
      <x15ac:absPath xmlns:x15ac="http://schemas.microsoft.com/office/spreadsheetml/2010/11/ac" url="F:\VideoExcelStorage\02ArrayBook\ArrayFormulaBook\Kitty Edits\finalFilesDownloaded\"/>
    </mc:Choice>
  </mc:AlternateContent>
  <bookViews>
    <workbookView xWindow="0" yWindow="0" windowWidth="25605" windowHeight="12435" tabRatio="904"/>
  </bookViews>
  <sheets>
    <sheet name="In-(1)" sheetId="1" r:id="rId1"/>
    <sheet name="In-(2)" sheetId="2" r:id="rId2"/>
    <sheet name="In-(3)" sheetId="3" r:id="rId3"/>
    <sheet name="In-(4)" sheetId="4" r:id="rId4"/>
    <sheet name="2-(1)" sheetId="5" r:id="rId5"/>
    <sheet name="2-(2)" sheetId="11" r:id="rId6"/>
    <sheet name="2-(3)" sheetId="12" r:id="rId7"/>
    <sheet name="2-(4) to 2-(11)" sheetId="13" r:id="rId8"/>
    <sheet name="2-(12)" sheetId="33" r:id="rId9"/>
    <sheet name="2-(13)" sheetId="34" r:id="rId10"/>
    <sheet name="2-(14) to 2-(16)" sheetId="35" r:id="rId11"/>
    <sheet name="3-(1)" sheetId="32" r:id="rId12"/>
    <sheet name="3-(2)" sheetId="36" r:id="rId13"/>
    <sheet name="3-(3)" sheetId="37" r:id="rId14"/>
    <sheet name="3-(4)" sheetId="39" r:id="rId15"/>
    <sheet name="3-(5)" sheetId="38" r:id="rId16"/>
    <sheet name="3-(6) to 3-(7)" sheetId="42" r:id="rId17"/>
    <sheet name="3-(8)" sheetId="43" r:id="rId18"/>
    <sheet name="4-(1) to 4-(12)" sheetId="51" r:id="rId19"/>
    <sheet name="4-(13) to 4-(14)" sheetId="45" r:id="rId20"/>
    <sheet name="4-(15)" sheetId="46" r:id="rId21"/>
    <sheet name="4-(16)" sheetId="47" r:id="rId22"/>
    <sheet name="3-(17)" sheetId="48" r:id="rId23"/>
    <sheet name="4-(18) to 4-(29)" sheetId="49" r:id="rId24"/>
    <sheet name="4-(30)" sheetId="53" r:id="rId25"/>
    <sheet name="4-(31)" sheetId="54" r:id="rId26"/>
    <sheet name="4-(32) to 4-(33)" sheetId="55" r:id="rId27"/>
    <sheet name="4-(34) to 4-(40)" sheetId="56" r:id="rId28"/>
    <sheet name="4-(41)" sheetId="59" r:id="rId29"/>
    <sheet name="4-(42)" sheetId="60" r:id="rId30"/>
    <sheet name="4-(43)" sheetId="62" r:id="rId31"/>
    <sheet name="5-(1) to 5-(9)" sheetId="63" r:id="rId32"/>
    <sheet name="5-(10)" sheetId="66" r:id="rId33"/>
    <sheet name="5-(11)" sheetId="67" r:id="rId34"/>
    <sheet name="5-(12)" sheetId="68" r:id="rId35"/>
    <sheet name="5-(13)" sheetId="74" r:id="rId36"/>
    <sheet name="5-(14)" sheetId="75" r:id="rId37"/>
    <sheet name="V-Aprox" sheetId="71" r:id="rId38"/>
    <sheet name="5-(15) to 5-(20)" sheetId="76" r:id="rId39"/>
    <sheet name="6-(1) to 6-(2)" sheetId="84" r:id="rId40"/>
    <sheet name="6-(3) to 6-(7)" sheetId="85" r:id="rId41"/>
    <sheet name="6-(8)" sheetId="90" r:id="rId42"/>
    <sheet name="6-(9)" sheetId="91" r:id="rId43"/>
    <sheet name="6-(10) to 6-(12)" sheetId="96" r:id="rId44"/>
    <sheet name="6-(13)" sheetId="97" r:id="rId45"/>
    <sheet name="7-(1)" sheetId="99" r:id="rId46"/>
    <sheet name="7-(2) to 7-(8)" sheetId="100" r:id="rId47"/>
    <sheet name="7-(9)" sheetId="101" r:id="rId48"/>
    <sheet name="7-(10) to 7-(12)" sheetId="102" r:id="rId49"/>
    <sheet name="7-(13)" sheetId="105" r:id="rId50"/>
    <sheet name="7-(14)" sheetId="104" r:id="rId51"/>
    <sheet name="7-(15)" sheetId="106" r:id="rId52"/>
    <sheet name="7-(16) to 7-(17) " sheetId="120" r:id="rId53"/>
    <sheet name="7-(18) to 7-(24)" sheetId="121" r:id="rId54"/>
    <sheet name="7-(25)" sheetId="123" r:id="rId55"/>
    <sheet name="7-(26) to 7-(32)" sheetId="122" r:id="rId56"/>
    <sheet name="7-(33)" sheetId="112" r:id="rId57"/>
    <sheet name="7-(34)" sheetId="113" r:id="rId58"/>
    <sheet name="7-(35)" sheetId="114" r:id="rId59"/>
    <sheet name="7-(36)" sheetId="115" r:id="rId60"/>
    <sheet name="7-(37) to 7-(38)" sheetId="116" r:id="rId61"/>
    <sheet name="7-(39)" sheetId="117" r:id="rId62"/>
    <sheet name="7-(40)" sheetId="118" r:id="rId63"/>
    <sheet name="7-(41)" sheetId="124" r:id="rId64"/>
    <sheet name="7-(42)" sheetId="125" r:id="rId65"/>
    <sheet name="7-(43)" sheetId="127" r:id="rId66"/>
    <sheet name="7-(44)" sheetId="128" r:id="rId67"/>
    <sheet name="8-(1) to 8-(4)" sheetId="129" r:id="rId68"/>
    <sheet name="8-(5)" sheetId="130" r:id="rId69"/>
    <sheet name="8-(6)" sheetId="131" r:id="rId70"/>
    <sheet name="8-(7)" sheetId="132" r:id="rId71"/>
    <sheet name="8-(8)" sheetId="133" r:id="rId72"/>
    <sheet name="8-(9)" sheetId="134" r:id="rId73"/>
    <sheet name="8-(10)" sheetId="135" r:id="rId74"/>
    <sheet name="8-(11)" sheetId="136" r:id="rId75"/>
    <sheet name="8-(12)" sheetId="137" r:id="rId76"/>
    <sheet name="8-(13)" sheetId="138" r:id="rId77"/>
    <sheet name="8-(14)" sheetId="139" r:id="rId78"/>
    <sheet name="8-(15) to 8-(16)" sheetId="140" r:id="rId79"/>
    <sheet name="8-(17) to 8-(18)" sheetId="141" r:id="rId80"/>
    <sheet name="8-(19)" sheetId="142" r:id="rId81"/>
    <sheet name="8-(20)" sheetId="143" r:id="rId82"/>
    <sheet name="8-(21) to 8-(23)" sheetId="144" r:id="rId83"/>
    <sheet name="8-(24)" sheetId="145" r:id="rId84"/>
    <sheet name="9-(1) to 9-(2)" sheetId="146" r:id="rId85"/>
    <sheet name="9-3)" sheetId="147" r:id="rId86"/>
    <sheet name="9-(4)" sheetId="148" r:id="rId87"/>
    <sheet name="9-(5) to 9-(11)" sheetId="149" r:id="rId88"/>
    <sheet name="9-(12) to 9-(13)" sheetId="151" r:id="rId89"/>
    <sheet name="9-(14)" sheetId="152" r:id="rId90"/>
    <sheet name="9-(15) to 9-(16)" sheetId="153" r:id="rId91"/>
    <sheet name="9-(17)" sheetId="154" r:id="rId92"/>
    <sheet name="9-(18) to 9-(24)" sheetId="155" r:id="rId93"/>
    <sheet name="9-(25)" sheetId="156" r:id="rId94"/>
    <sheet name="9-(26)" sheetId="157" r:id="rId95"/>
    <sheet name="9-(27)" sheetId="158" r:id="rId96"/>
    <sheet name="9-(28)" sheetId="159" r:id="rId97"/>
    <sheet name="9-(29)" sheetId="160" r:id="rId98"/>
    <sheet name="9-(30)" sheetId="161" r:id="rId99"/>
    <sheet name="10-(1)" sheetId="163" r:id="rId100"/>
    <sheet name="10-(2)" sheetId="175" r:id="rId101"/>
    <sheet name="10-(3)" sheetId="173" r:id="rId102"/>
    <sheet name="10-(4)" sheetId="176" r:id="rId103"/>
    <sheet name="10-(5)" sheetId="174" r:id="rId104"/>
    <sheet name="10-(6) to 10-(7)" sheetId="165" r:id="rId105"/>
    <sheet name="10-8)" sheetId="164" r:id="rId106"/>
    <sheet name="10-(9)" sheetId="167" r:id="rId107"/>
    <sheet name="10-(10)" sheetId="186" r:id="rId108"/>
    <sheet name="10-(11)" sheetId="187" r:id="rId109"/>
    <sheet name="10-(12)" sheetId="188" r:id="rId110"/>
    <sheet name="10-(13) to 10-(15)" sheetId="182" r:id="rId111"/>
    <sheet name="10-(16)" sheetId="181" r:id="rId112"/>
    <sheet name="10-(17)" sheetId="192" r:id="rId113"/>
    <sheet name="10-(18)" sheetId="193" r:id="rId114"/>
    <sheet name="10-(23)" sheetId="198" r:id="rId115"/>
    <sheet name="10-(24)" sheetId="194" r:id="rId116"/>
    <sheet name="10-(25)" sheetId="199" r:id="rId117"/>
    <sheet name="10-(26)" sheetId="200" r:id="rId118"/>
    <sheet name="10-(27)" sheetId="169" r:id="rId119"/>
    <sheet name="10-(28)" sheetId="201" r:id="rId120"/>
    <sheet name="10-(29) to 10-(41)" sheetId="170" r:id="rId121"/>
    <sheet name="10-(42)" sheetId="172" r:id="rId122"/>
    <sheet name="11-(0.5)" sheetId="218" r:id="rId123"/>
    <sheet name="11-(1)" sheetId="202" r:id="rId124"/>
    <sheet name="11-(2)" sheetId="203" r:id="rId125"/>
    <sheet name="11-(3)" sheetId="204" r:id="rId126"/>
    <sheet name="11-(4)" sheetId="208" r:id="rId127"/>
    <sheet name="11-(5)" sheetId="205" r:id="rId128"/>
    <sheet name="11-(6)" sheetId="207" r:id="rId129"/>
    <sheet name="11-(7)" sheetId="212" r:id="rId130"/>
    <sheet name="11-(8)" sheetId="219" r:id="rId131"/>
    <sheet name="11-(9)" sheetId="220" r:id="rId132"/>
    <sheet name="11-(10)" sheetId="221" r:id="rId133"/>
    <sheet name="11-(11)" sheetId="222" r:id="rId134"/>
    <sheet name="11-(13)" sheetId="223" r:id="rId135"/>
    <sheet name="11-(15)" sheetId="226" r:id="rId136"/>
    <sheet name="11-(16)" sheetId="227" r:id="rId137"/>
    <sheet name="11-(17)" sheetId="228" r:id="rId138"/>
    <sheet name="11-(18)" sheetId="225" r:id="rId139"/>
    <sheet name="11-(19)" sheetId="224" r:id="rId140"/>
    <sheet name="11-(20)" sheetId="229" r:id="rId141"/>
    <sheet name="12-(1)" sheetId="230" r:id="rId142"/>
    <sheet name="12-(4)" sheetId="231" r:id="rId143"/>
    <sheet name="13-(1)" sheetId="232" r:id="rId144"/>
    <sheet name="13-(2)" sheetId="233" r:id="rId145"/>
    <sheet name="13-(3)" sheetId="234" r:id="rId146"/>
    <sheet name="13-(4)" sheetId="235" r:id="rId147"/>
    <sheet name="13-(5)" sheetId="236" r:id="rId148"/>
    <sheet name="13-(6)" sheetId="237" r:id="rId149"/>
    <sheet name="13-(7)" sheetId="238" r:id="rId150"/>
    <sheet name="13-(8)" sheetId="243" r:id="rId151"/>
    <sheet name="13-(9)" sheetId="244" r:id="rId152"/>
    <sheet name="13-(10)" sheetId="239" r:id="rId153"/>
    <sheet name="13-(11) to 13-(17)" sheetId="240" r:id="rId154"/>
    <sheet name="13-(18)" sheetId="245" r:id="rId155"/>
    <sheet name="13-(19)" sheetId="247" r:id="rId156"/>
    <sheet name="13-(20)" sheetId="246" r:id="rId157"/>
    <sheet name="13-(21) to 13-(24)" sheetId="248" r:id="rId158"/>
    <sheet name="13-(25)" sheetId="251" r:id="rId159"/>
    <sheet name="13-(26) to 13-(28)" sheetId="252" r:id="rId160"/>
    <sheet name="13-(29)" sheetId="256" r:id="rId161"/>
    <sheet name="13-(30)" sheetId="257" r:id="rId162"/>
    <sheet name="13-(31) to 13-(33)" sheetId="258" r:id="rId163"/>
    <sheet name="13-(34) to 13-(42)" sheetId="259" r:id="rId164"/>
    <sheet name="13-(43)" sheetId="261" r:id="rId165"/>
    <sheet name="13-(44)" sheetId="262" r:id="rId166"/>
    <sheet name="13-(45)" sheetId="264" r:id="rId167"/>
    <sheet name="13-(46)" sheetId="263" r:id="rId168"/>
    <sheet name="15-(1)" sheetId="273" r:id="rId169"/>
    <sheet name="15-(2)" sheetId="265" r:id="rId170"/>
    <sheet name="15-(3)" sheetId="266" r:id="rId171"/>
    <sheet name="15-(4)" sheetId="267" r:id="rId172"/>
    <sheet name="15-(5)" sheetId="274" r:id="rId173"/>
    <sheet name="15-(6)" sheetId="269" r:id="rId174"/>
    <sheet name="15-(7)" sheetId="270" r:id="rId175"/>
    <sheet name="15-(8)" sheetId="271" r:id="rId176"/>
    <sheet name="15-(9)" sheetId="272" r:id="rId177"/>
    <sheet name="15-(10)" sheetId="275" r:id="rId178"/>
    <sheet name="15-(11)" sheetId="276" r:id="rId179"/>
    <sheet name="15-(12)" sheetId="281" r:id="rId180"/>
    <sheet name="15-(13) to 15-(17)" sheetId="277" r:id="rId181"/>
    <sheet name="15-(18)" sheetId="282" r:id="rId182"/>
    <sheet name="15-(19)" sheetId="283" r:id="rId183"/>
    <sheet name="15-(20)" sheetId="278" r:id="rId184"/>
    <sheet name="15-(21)" sheetId="284" r:id="rId185"/>
    <sheet name="15-(22)" sheetId="286" r:id="rId186"/>
    <sheet name="15-(23) to 5-(33)" sheetId="288" r:id="rId187"/>
    <sheet name="15-(36) to 15-(42)" sheetId="289" r:id="rId188"/>
    <sheet name="15-(44)" sheetId="290" r:id="rId189"/>
    <sheet name="15-(45)" sheetId="292" r:id="rId190"/>
    <sheet name="15-(46)" sheetId="291" r:id="rId191"/>
    <sheet name="15-(49) to 15-(50)" sheetId="293" r:id="rId192"/>
    <sheet name="15-(51) to 15-(52)" sheetId="294" r:id="rId193"/>
    <sheet name="15-(53) to 15-(54)" sheetId="295" r:id="rId194"/>
    <sheet name="15-(55)" sheetId="296" r:id="rId195"/>
    <sheet name="15-(56)" sheetId="297" r:id="rId196"/>
    <sheet name="16-(1)" sheetId="298" r:id="rId197"/>
    <sheet name="16-(2) to 16-(4)" sheetId="300" r:id="rId198"/>
    <sheet name="16-(5)" sheetId="301" r:id="rId199"/>
    <sheet name="16-(6)" sheetId="302" r:id="rId200"/>
    <sheet name="16-(7)" sheetId="303" r:id="rId201"/>
    <sheet name="16-(8)" sheetId="304" r:id="rId202"/>
    <sheet name="16-(9)" sheetId="305" r:id="rId203"/>
    <sheet name="16-(10)" sheetId="306" r:id="rId204"/>
    <sheet name="16-(11)" sheetId="307" r:id="rId205"/>
    <sheet name="17-(1) to 17-(3)" sheetId="308" r:id="rId206"/>
    <sheet name="17-(5)" sheetId="309" r:id="rId207"/>
    <sheet name="17-(6)" sheetId="312" r:id="rId208"/>
    <sheet name="17-(8)" sheetId="310" r:id="rId209"/>
    <sheet name="17-(9) to 17-(11)" sheetId="311" r:id="rId210"/>
    <sheet name="17-(12)" sheetId="313" r:id="rId211"/>
    <sheet name="17-(13)" sheetId="314" r:id="rId212"/>
    <sheet name="17-(14)" sheetId="315" r:id="rId213"/>
    <sheet name="17-(15)" sheetId="316" r:id="rId214"/>
    <sheet name="18-(1) to 18-(2)" sheetId="318" r:id="rId215"/>
    <sheet name="18-(3)" sheetId="322" r:id="rId216"/>
    <sheet name="18-(4)" sheetId="323" r:id="rId217"/>
    <sheet name="18-(5) to 18-(6)" sheetId="324" r:id="rId218"/>
    <sheet name="18-(7)" sheetId="317" r:id="rId219"/>
    <sheet name="18-(8)" sheetId="325" r:id="rId220"/>
    <sheet name="18-(9)" sheetId="319" r:id="rId221"/>
    <sheet name="18-(10)" sheetId="326" r:id="rId222"/>
    <sheet name="18-(11) to 18-(14)" sheetId="327" r:id="rId223"/>
    <sheet name="18-(15)" sheetId="320" r:id="rId224"/>
    <sheet name="18-(16)" sheetId="328" r:id="rId225"/>
    <sheet name="18-(17) to 18-(31)" sheetId="332" r:id="rId226"/>
    <sheet name="Diagrams" sheetId="334" r:id="rId227"/>
    <sheet name="18-(32)" sheetId="335" r:id="rId228"/>
    <sheet name="18-(33)" sheetId="336" r:id="rId229"/>
    <sheet name="19-(1) to 19-(3)" sheetId="337" r:id="rId230"/>
    <sheet name="19-(4) to 9-(5)" sheetId="339" r:id="rId231"/>
    <sheet name="19-(6)" sheetId="342" r:id="rId232"/>
    <sheet name="19-(7)" sheetId="344" r:id="rId233"/>
    <sheet name="19-(8) to 19-(12)" sheetId="345" r:id="rId234"/>
    <sheet name="19-(13)" sheetId="347" r:id="rId235"/>
    <sheet name="19-(14) to 19-(18)" sheetId="348" r:id="rId236"/>
    <sheet name="19-(19)" sheetId="352" r:id="rId237"/>
    <sheet name="19-(20)" sheetId="340" r:id="rId238"/>
    <sheet name="19-(21)" sheetId="354" r:id="rId239"/>
    <sheet name="19-(22)" sheetId="355" r:id="rId240"/>
    <sheet name="19-(23)" sheetId="356" r:id="rId241"/>
    <sheet name="19-(24)" sheetId="357" r:id="rId242"/>
    <sheet name="19-(25)" sheetId="358" r:id="rId243"/>
    <sheet name="19-(26)" sheetId="359" r:id="rId244"/>
    <sheet name="19-(27)" sheetId="360" r:id="rId245"/>
    <sheet name="19-(28)" sheetId="338" r:id="rId246"/>
    <sheet name="Diagram" sheetId="362" r:id="rId247"/>
    <sheet name="19-(29)" sheetId="363" r:id="rId248"/>
    <sheet name="19-(30) to 19-(36)" sheetId="364" r:id="rId249"/>
    <sheet name="19-(37) to 19-(52)" sheetId="365" r:id="rId250"/>
    <sheet name="20-(1)" sheetId="366" r:id="rId251"/>
    <sheet name="20-(2)" sheetId="367" r:id="rId252"/>
    <sheet name="21-(1) to 21-(2)" sheetId="368" r:id="rId253"/>
    <sheet name="21-(3)" sheetId="371" r:id="rId254"/>
    <sheet name="21-(4)" sheetId="372" r:id="rId255"/>
    <sheet name="21-(5)" sheetId="373" r:id="rId256"/>
    <sheet name="22-(1)" sheetId="374" r:id="rId257"/>
    <sheet name="22-(5)" sheetId="378" r:id="rId258"/>
    <sheet name="22-(6)" sheetId="379" r:id="rId259"/>
    <sheet name="22-(7)" sheetId="375" r:id="rId260"/>
    <sheet name="22-(8)" sheetId="380" r:id="rId261"/>
    <sheet name="22-(9)" sheetId="381" r:id="rId262"/>
    <sheet name="23-(1) to Figure 23-(9)" sheetId="383" r:id="rId263"/>
    <sheet name="23-(10)" sheetId="384" r:id="rId264"/>
    <sheet name="23-(11)" sheetId="385" r:id="rId265"/>
    <sheet name="23-(12)" sheetId="386" r:id="rId266"/>
    <sheet name="23-(13)" sheetId="387" r:id="rId267"/>
    <sheet name="23-(14)" sheetId="388" r:id="rId268"/>
    <sheet name="23-(15)" sheetId="389" r:id="rId269"/>
    <sheet name="23-(16)" sheetId="390" r:id="rId270"/>
    <sheet name="23-(17)" sheetId="391" r:id="rId271"/>
    <sheet name="23-(18)" sheetId="382" r:id="rId272"/>
  </sheets>
  <externalReferences>
    <externalReference r:id="rId273"/>
  </externalReferences>
  <definedNames>
    <definedName name="_xlnm._FilterDatabase" localSheetId="122" hidden="1">'11-(0.5)'!$A$5:$D$10</definedName>
    <definedName name="_xlnm._FilterDatabase" localSheetId="126" hidden="1">'11-(4)'!$A$1:$D$6</definedName>
    <definedName name="_xlnm._FilterDatabase" localSheetId="127" hidden="1">'11-(5)'!$A$5:$D$10</definedName>
    <definedName name="_xlnm._FilterDatabase" localSheetId="128" hidden="1">'11-(6)'!$A$5:$D$10</definedName>
    <definedName name="_xlnm._FilterDatabase" localSheetId="129" hidden="1">'11-(7)'!$A$5:$D$10</definedName>
    <definedName name="_xlnm._FilterDatabase" localSheetId="130" hidden="1">'11-(8)'!$A$5:$D$10</definedName>
    <definedName name="_xlnm._FilterDatabase" localSheetId="131" hidden="1">'11-(9)'!$A$5:$F$10</definedName>
    <definedName name="_xlnm._FilterDatabase" localSheetId="168" hidden="1">'15-(1)'!$A$3:$D$13</definedName>
    <definedName name="_xlnm._FilterDatabase" localSheetId="177" hidden="1">'15-(10)'!$A$10:$D$20</definedName>
    <definedName name="_xlnm._FilterDatabase" localSheetId="178" hidden="1">'15-(11)'!$C$3:$C$13</definedName>
    <definedName name="_xlnm._FilterDatabase" localSheetId="179" hidden="1">'15-(12)'!$A$7:$D$17</definedName>
    <definedName name="_xlnm._FilterDatabase" localSheetId="180" hidden="1">'15-(13) to 15-(17)'!$A$7:$D$17</definedName>
    <definedName name="_xlnm._FilterDatabase" localSheetId="181" hidden="1">'15-(18)'!$A$7:$D$17</definedName>
    <definedName name="_xlnm._FilterDatabase" localSheetId="182" hidden="1">'15-(19)'!$A$7:$D$17</definedName>
    <definedName name="_xlnm._FilterDatabase" localSheetId="169" hidden="1">'15-(2)'!$A$3:$D$13</definedName>
    <definedName name="_xlnm._FilterDatabase" localSheetId="183" hidden="1">'15-(20)'!$B$9:$E$19</definedName>
    <definedName name="_xlnm._FilterDatabase" localSheetId="184" hidden="1">'15-(21)'!$A$9:$D$19</definedName>
    <definedName name="_xlnm._FilterDatabase" localSheetId="185" hidden="1">'15-(22)'!$A$9:$D$19</definedName>
    <definedName name="_xlnm._FilterDatabase" localSheetId="186" hidden="1">'15-(23) to 5-(33)'!$A$10:$D$20</definedName>
    <definedName name="_xlnm._FilterDatabase" localSheetId="170" hidden="1">'15-(3)'!$A$3:$D$13</definedName>
    <definedName name="_xlnm._FilterDatabase" localSheetId="187" hidden="1">'15-(36) to 15-(42)'!$A$10:$D$20</definedName>
    <definedName name="_xlnm._FilterDatabase" localSheetId="171" hidden="1">'15-(4)'!$A$3:$D$13</definedName>
    <definedName name="_xlnm._FilterDatabase" localSheetId="188" hidden="1">'15-(44)'!$A$11:$D$21</definedName>
    <definedName name="_xlnm._FilterDatabase" localSheetId="189" hidden="1">'15-(45)'!$B$11:$E$21</definedName>
    <definedName name="_xlnm._FilterDatabase" localSheetId="190" hidden="1">'15-(46)'!$A$4:$C$936</definedName>
    <definedName name="_xlnm._FilterDatabase" localSheetId="172" hidden="1">'15-(5)'!$A$8:$E$18</definedName>
    <definedName name="_xlnm._FilterDatabase" localSheetId="173" hidden="1">'15-(6)'!$A$7:$D$17</definedName>
    <definedName name="_xlnm._FilterDatabase" localSheetId="174" hidden="1">'15-(7)'!$A$8:$D$18</definedName>
    <definedName name="_xlnm._FilterDatabase" localSheetId="175" hidden="1">'15-(8)'!$A$8:$D$18</definedName>
    <definedName name="_xlnm._FilterDatabase" localSheetId="176" hidden="1">'15-(9)'!$A$8:$D$18</definedName>
    <definedName name="_xlnm._FilterDatabase" localSheetId="206" hidden="1">'17-(5)'!$F$2:$F$20</definedName>
    <definedName name="_xlnm._FilterDatabase" localSheetId="207" hidden="1">'17-(6)'!$C$2:$C$9</definedName>
    <definedName name="_xlnm._FilterDatabase" localSheetId="208" hidden="1">'17-(8)'!#REF!</definedName>
    <definedName name="_xlnm._FilterDatabase" localSheetId="209" hidden="1">'17-(9) to 17-(11)'!$J$5:$J$25</definedName>
    <definedName name="_xlnm._FilterDatabase" localSheetId="229" hidden="1">'19-(1) to 19-(3)'!$A$1:$C$9</definedName>
    <definedName name="_xlnm._FilterDatabase" localSheetId="237" hidden="1">'19-(20)'!$A$1:$D$10</definedName>
    <definedName name="_xlnm._FilterDatabase" localSheetId="238" hidden="1">'19-(21)'!$A$1:$D$10</definedName>
    <definedName name="_xlnm._FilterDatabase" localSheetId="230" hidden="1">'19-(4) to 9-(5)'!$A$1:$D$10</definedName>
    <definedName name="_xlnm._FilterDatabase" localSheetId="231" hidden="1">'19-(6)'!$A$1:$C$9</definedName>
    <definedName name="_xlnm._FilterDatabase" localSheetId="53" hidden="1">'7-(18) to 7-(24)'!$A$1:$B$8</definedName>
    <definedName name="_xlnm._FilterDatabase" localSheetId="54" hidden="1">'7-(25)'!$A$1:$B$8</definedName>
    <definedName name="ArrayOfRealtivePositions">IF([1]Sheet1!$A$2:$A$6&gt;=[1]Sheet1!$F$2,IF([1]Sheet1!$A$2:$A$6&lt;=[1]Sheet1!$G$2,IF([1]Sheet1!$B$2:$B$6=[1]Sheet1!$H$2,IF([1]Sheet1!$C$2:$C$6=[1]Sheet1!$I$2,ROW([1]Sheet1!$D$2:$D$6)-ROW([1]Sheet1!$D$2)+1))))</definedName>
    <definedName name="BoomProductTableAN">{"Majestic Beaut",37;"Quad",33;"Sunshine",18}</definedName>
    <definedName name="ContactNames">'15-(56)'!$B$6:INDEX('15-(56)'!$B$6:$B$105,MATCH(9.99E+307,'15-(56)'!$C$6:$C$105))</definedName>
    <definedName name="ContactsTable">'15-(56)'!$A$6:INDEX('15-(56)'!$C$6:$C$105,MATCH(9.99E+307,'15-(56)'!$C$6:$C$105))</definedName>
    <definedName name="_xlnm.Criteria" localSheetId="177">'15-(10)'!$B$6:$B$7</definedName>
    <definedName name="_xlnm.Criteria" localSheetId="190">'15-(46)'!$I$5:$I$20</definedName>
    <definedName name="_xlnm.Criteria" localSheetId="173">'15-(6)'!$B$2:$D$3</definedName>
    <definedName name="_xlnm.Criteria" localSheetId="174">'15-(7)'!$B$2:$B$4</definedName>
    <definedName name="_xlnm.Criteria" localSheetId="175">'15-(8)'!$B$2:$D$4</definedName>
    <definedName name="_xlnm.Criteria" localSheetId="176">'15-(9)'!$B$2:$E$4</definedName>
    <definedName name="_xlnm.Criteria" localSheetId="230">'19-(4) to 9-(5)'!$F$1:$F$2</definedName>
    <definedName name="Customer">'19-(22)'!$B$10:INDEX('19-(22)'!$B$10:$B$34,MATCH(REPT("z",255),'19-(22)'!$B$10:$B$34))</definedName>
    <definedName name="_xlnm.Extract" localSheetId="177">'15-(10)'!$A$23:$D$23</definedName>
    <definedName name="_xlnm.Extract" localSheetId="178">'15-(11)'!$F$3</definedName>
    <definedName name="_xlnm.Extract" localSheetId="190">'15-(46)'!$L$10:$N$10</definedName>
    <definedName name="_xlnm.Extract" localSheetId="173">'15-(6)'!$A$20</definedName>
    <definedName name="_xlnm.Extract" localSheetId="174">'15-(7)'!$A$21</definedName>
    <definedName name="_xlnm.Extract" localSheetId="175">'15-(8)'!$A$21:$D$21</definedName>
    <definedName name="_xlnm.Extract" localSheetId="176">'15-(9)'!$A$21:$D$21</definedName>
    <definedName name="_xlnm.Extract" localSheetId="229">'19-(1) to 19-(3)'!$E$1</definedName>
    <definedName name="_xlnm.Extract" localSheetId="230">'19-(4) to 9-(5)'!$F$4:$I$4</definedName>
    <definedName name="HMA" comment="HMA = How Many Above?Array Formula to determine how many elements in the list would be above the current element if the list was sorted.">MMULT(--(IF('19-(37) to 19-(52)'!$A$2:$A$5&lt;&gt;"",'19-(37) to 19-(52)'!$A$2:$A$5)&gt;TRANSPOSE(IF('19-(37) to 19-(52)'!$A$2:$A$5&lt;&gt;"",'19-(37) to 19-(52)'!$A$2:$A$5))),ROW('19-(37) to 19-(52)'!$A$2:$A$5)^0)</definedName>
    <definedName name="IDDropDown" localSheetId="158">'13-(25)'!$A$2:INDEX('13-(25)'!$A$2:$A$8,MATCH("Ω",'13-(25)'!$A$2:$A$8))</definedName>
    <definedName name="IDDropDown" comment="Dynamic Range of Text in 1st column.">'13-(21) to 13-(24)'!$A$2:INDEX('13-(21) to 13-(24)'!$A$2:$A$8,MATCH("Ω",'13-(21) to 13-(24)'!$A$2:$A$8))</definedName>
    <definedName name="LastFive">INDEX('13-(45)'!$A$2:$A$10,LARGE(IF(ISNUMBER('13-(45)'!$A$2:$A$10),ROW('13-(45)'!$A$2:$A$10)-ROW('13-(45)'!$A$2)+1),'13-(45)'!$C$2)):INDEX('13-(45)'!$A$2:$A$10,MATCH(9.99E+307,'13-(45)'!$A$2:$A$10))</definedName>
    <definedName name="RaceTrack">'19-(14) to 19-(18)'!$B$2:INDEX('19-(14) to 19-(18)'!$B$2:$B$51,MATCH("Ω",'19-(14) to 19-(18)'!$B$2:$B$51))</definedName>
    <definedName name="RaceTrackDynamicDataV">'19-(14) to 19-(18)'!$E$5:INDEX('19-(14) to 19-(18)'!$E$5:$E$14,MATCH("*?",'19-(14) to 19-(18)'!$E$5:$E$14,-1))</definedName>
    <definedName name="RepsDynamic" comment="Dynamic range for the Rep names data using INDEX function.">INDEX('13-(34) to 13-(42)'!$B$2:$B$6,MATCH('13-(34) to 13-(42)'!$F$1,'13-(34) to 13-(42)'!$A$2:$A$6,0)):INDEX('13-(34) to 13-(42)'!$B$2:$B$6,MATCH('13-(34) to 13-(42)'!$F$1,'13-(34) to 13-(42)'!$A$2:$A$6,0)+COUNTIF('13-(34) to 13-(42)'!$A$2:$A$6,'13-(34) to 13-(42)'!$F$1)-1)</definedName>
    <definedName name="RP" comment="&quot;ARP&quot; = Array of Relative Postions. Array formula to create relative positions for data extract. 3 IF functions. And Criteria.">IF('23-(18)'!$A$14:$A$23&gt;='23-(18)'!$B$3,IF('23-(18)'!$A$14:$A$23&lt;='23-(18)'!$C$3,IF('23-(18)'!$B$14:$B$23='23-(18)'!$D$3,ROW('23-(18)'!$A$14:$A$23)-ROW('23-(18)'!$A$14)+1)))</definedName>
    <definedName name="SalesDynamic" comment="Dynamic range for the Sales number data using OFFSET function.">OFFSET('13-(34) to 13-(42)'!$C$1,MATCH('13-(34) to 13-(42)'!$F$1,'13-(34) to 13-(42)'!$A$2:$A$6,0),,COUNTIF('13-(34) to 13-(42)'!$A$2:$A$6,'13-(34) to 13-(42)'!$F$1))</definedName>
    <definedName name="Slicer_Cities">#N/A</definedName>
  </definedNames>
  <calcPr calcId="152511"/>
  <pivotCaches>
    <pivotCache cacheId="0" r:id="rId274"/>
    <pivotCache cacheId="1" r:id="rId275"/>
    <pivotCache cacheId="2" r:id="rId276"/>
    <pivotCache cacheId="3" r:id="rId277"/>
    <pivotCache cacheId="4" r:id="rId278"/>
    <pivotCache cacheId="5" r:id="rId279"/>
    <pivotCache cacheId="6" r:id="rId280"/>
    <pivotCache cacheId="7" r:id="rId281"/>
  </pivotCaches>
  <extLst>
    <ext xmlns:x14="http://schemas.microsoft.com/office/spreadsheetml/2009/9/main" uri="{BBE1A952-AA13-448e-AADC-164F8A28A991}">
      <x14:slicerCaches>
        <x14:slicerCache r:id="rId282"/>
      </x14:slicerCaches>
    </ext>
    <ext xmlns:x14="http://schemas.microsoft.com/office/spreadsheetml/2009/9/main" uri="{79F54976-1DA5-4618-B147-4CDE4B953A38}">
      <x14:workbookPr/>
    </ext>
  </extLst>
</workbook>
</file>

<file path=xl/calcChain.xml><?xml version="1.0" encoding="utf-8"?>
<calcChain xmlns="http://schemas.openxmlformats.org/spreadsheetml/2006/main">
  <c r="D7" i="204" l="1"/>
  <c r="E2" i="348" l="1" a="1"/>
  <c r="E2" i="348" s="1"/>
  <c r="I4" i="383" l="1" a="1"/>
  <c r="I4" i="383"/>
  <c r="I5" i="383" a="1"/>
  <c r="I5" i="383"/>
  <c r="I3" i="383" a="1"/>
  <c r="I3" i="383" s="1"/>
  <c r="E2" i="345" l="1" a="1"/>
  <c r="E2" i="345" s="1"/>
  <c r="E5" i="345" s="1" a="1"/>
  <c r="E5" i="345" s="1"/>
  <c r="E7" i="345" l="1" a="1"/>
  <c r="E7" i="345" s="1"/>
  <c r="E9" i="345" a="1"/>
  <c r="E9" i="345" s="1"/>
  <c r="E6" i="345" a="1"/>
  <c r="E6" i="345" s="1"/>
  <c r="E8" i="345" a="1"/>
  <c r="E8" i="345" s="1"/>
  <c r="B9" i="223" l="1"/>
  <c r="A1" i="387" l="1"/>
  <c r="E6" i="391" a="1"/>
  <c r="E6" i="391" s="1"/>
  <c r="E5" i="391" a="1"/>
  <c r="E5" i="391" s="1"/>
  <c r="E4" i="391" a="1"/>
  <c r="E4" i="391" s="1"/>
  <c r="E3" i="391" a="1"/>
  <c r="E3" i="391" s="1"/>
  <c r="H3" i="389"/>
  <c r="D6" i="390" a="1"/>
  <c r="D6" i="390" s="1"/>
  <c r="D5" i="390" a="1"/>
  <c r="D5" i="390" s="1"/>
  <c r="D4" i="390" a="1"/>
  <c r="D4" i="390" s="1"/>
  <c r="D3" i="390" a="1"/>
  <c r="D3" i="390" s="1"/>
  <c r="A14" i="389"/>
  <c r="A15" i="389"/>
  <c r="H15" i="389"/>
  <c r="D16" i="389"/>
  <c r="I16" i="389"/>
  <c r="B17" i="389"/>
  <c r="I17" i="389"/>
  <c r="A17" i="389"/>
  <c r="H17" i="389"/>
  <c r="G17" i="389"/>
  <c r="D17" i="389"/>
  <c r="G16" i="389"/>
  <c r="F16" i="389"/>
  <c r="B16" i="389"/>
  <c r="I15" i="389"/>
  <c r="F15" i="389"/>
  <c r="E15" i="389"/>
  <c r="I14" i="389"/>
  <c r="H14" i="389"/>
  <c r="E14" i="389"/>
  <c r="D14" i="389"/>
  <c r="I13" i="389"/>
  <c r="H13" i="389"/>
  <c r="G13" i="389"/>
  <c r="F13" i="389"/>
  <c r="E13" i="389"/>
  <c r="D13" i="389"/>
  <c r="C13" i="389"/>
  <c r="A13" i="389"/>
  <c r="D11" i="388"/>
  <c r="D10" i="388"/>
  <c r="D9" i="388"/>
  <c r="D8" i="388"/>
  <c r="D7" i="388"/>
  <c r="D6" i="388"/>
  <c r="D5" i="388"/>
  <c r="D4" i="388"/>
  <c r="D3" i="388"/>
  <c r="E20" i="387" a="1"/>
  <c r="E20" i="387" s="1"/>
  <c r="E19" i="387" a="1"/>
  <c r="E19" i="387" s="1"/>
  <c r="E18" i="387" a="1"/>
  <c r="E18" i="387" s="1"/>
  <c r="E17" i="387" a="1"/>
  <c r="E17" i="387" s="1"/>
  <c r="E14" i="387"/>
  <c r="E13" i="387"/>
  <c r="E12" i="387"/>
  <c r="D5" i="387"/>
  <c r="E11" i="387"/>
  <c r="D4" i="387"/>
  <c r="H6" i="389" a="1"/>
  <c r="H7" i="389" a="1"/>
  <c r="H4" i="389" a="1"/>
  <c r="H5" i="389" a="1"/>
  <c r="G15" i="389" l="1"/>
  <c r="A16" i="389"/>
  <c r="B15" i="389"/>
  <c r="H16" i="389"/>
  <c r="B14" i="389"/>
  <c r="G14" i="389"/>
  <c r="D15" i="389"/>
  <c r="E16" i="389"/>
  <c r="F17" i="389"/>
  <c r="F14" i="389"/>
  <c r="E17" i="389"/>
  <c r="H6" i="389"/>
  <c r="H7" i="389"/>
  <c r="H5" i="389"/>
  <c r="H4" i="389"/>
  <c r="C16" i="389"/>
  <c r="C14" i="389"/>
  <c r="C15" i="389" l="1"/>
  <c r="C17" i="389"/>
  <c r="A3" i="386" l="1" a="1"/>
  <c r="A3" i="386" s="1"/>
  <c r="C12" i="385" l="1"/>
  <c r="A25" i="385" s="1"/>
  <c r="F4" i="384" a="1"/>
  <c r="F4" i="384" s="1"/>
  <c r="F5" i="384" a="1"/>
  <c r="F5" i="384" s="1"/>
  <c r="F3" i="384" a="1"/>
  <c r="F3" i="384"/>
  <c r="F4" i="383" a="1"/>
  <c r="F4" i="383"/>
  <c r="F5" i="383" a="1"/>
  <c r="F5" i="383" s="1"/>
  <c r="F3" i="383" a="1"/>
  <c r="F3" i="383" s="1"/>
  <c r="G4" i="384" a="1"/>
  <c r="G4" i="384" s="1"/>
  <c r="G5" i="384" a="1"/>
  <c r="G5" i="384"/>
  <c r="G3" i="384" a="1"/>
  <c r="G3" i="384"/>
  <c r="G10" i="384" a="1"/>
  <c r="G10" i="384" s="1"/>
  <c r="G9" i="384" a="1"/>
  <c r="G9" i="384" s="1"/>
  <c r="F10" i="383" a="1"/>
  <c r="F10" i="383" s="1"/>
  <c r="F9" i="383" a="1"/>
  <c r="F9" i="383" s="1"/>
  <c r="A6" i="382"/>
  <c r="F16" i="382" s="1"/>
  <c r="F15" i="382" l="1"/>
  <c r="A31" i="385"/>
  <c r="A29" i="385"/>
  <c r="A24" i="385"/>
  <c r="A28" i="385"/>
  <c r="A27" i="385"/>
  <c r="A30" i="385"/>
  <c r="A26" i="385"/>
  <c r="A19" i="385" a="1"/>
  <c r="A19" i="385" s="1"/>
  <c r="A16" i="385" a="1"/>
  <c r="A16" i="385" s="1"/>
  <c r="A20" i="385" a="1"/>
  <c r="A20" i="385" s="1"/>
  <c r="A15" i="385" a="1"/>
  <c r="A15" i="385" s="1"/>
  <c r="A17" i="385" a="1"/>
  <c r="A17" i="385" s="1"/>
  <c r="A21" i="385" a="1"/>
  <c r="A21" i="385" s="1"/>
  <c r="A18" i="385" a="1"/>
  <c r="A18" i="385" s="1"/>
  <c r="F20" i="382"/>
  <c r="F18" i="382"/>
  <c r="I20" i="382"/>
  <c r="I19" i="382"/>
  <c r="I18" i="382"/>
  <c r="I17" i="382"/>
  <c r="I16" i="382"/>
  <c r="H15" i="382"/>
  <c r="G19" i="382"/>
  <c r="G18" i="382"/>
  <c r="G17" i="382"/>
  <c r="G16" i="382"/>
  <c r="G15" i="382"/>
  <c r="F19" i="382"/>
  <c r="F17" i="382"/>
  <c r="I15" i="382"/>
  <c r="H20" i="382"/>
  <c r="H19" i="382"/>
  <c r="H18" i="382"/>
  <c r="H17" i="382"/>
  <c r="H16" i="382"/>
  <c r="G20" i="382"/>
  <c r="B3" i="381" l="1" a="1"/>
  <c r="B3" i="381" s="1"/>
  <c r="B3" i="380" a="1"/>
  <c r="B3" i="380" s="1"/>
  <c r="B3" i="375" a="1"/>
  <c r="B3" i="375" s="1"/>
  <c r="D7" i="381" l="1"/>
  <c r="D6" i="381"/>
  <c r="D5" i="381"/>
  <c r="D4" i="381"/>
  <c r="D3" i="381"/>
  <c r="C7" i="381"/>
  <c r="C6" i="381"/>
  <c r="C5" i="381"/>
  <c r="C4" i="381"/>
  <c r="C3" i="381"/>
  <c r="E7" i="381"/>
  <c r="E6" i="381"/>
  <c r="E5" i="381"/>
  <c r="E4" i="381"/>
  <c r="E3" i="381"/>
  <c r="B7" i="381"/>
  <c r="B6" i="381"/>
  <c r="B5" i="381"/>
  <c r="B4" i="381"/>
  <c r="C6" i="380"/>
  <c r="D3" i="380"/>
  <c r="C7" i="380"/>
  <c r="B6" i="380"/>
  <c r="D4" i="380"/>
  <c r="C3" i="380"/>
  <c r="D6" i="380"/>
  <c r="C5" i="380"/>
  <c r="B4" i="380"/>
  <c r="D7" i="380"/>
  <c r="B5" i="380"/>
  <c r="B7" i="380"/>
  <c r="D5" i="380"/>
  <c r="C4" i="380"/>
  <c r="D7" i="375"/>
  <c r="C6" i="375"/>
  <c r="B5" i="375"/>
  <c r="D3" i="375"/>
  <c r="C7" i="375"/>
  <c r="B6" i="375"/>
  <c r="D4" i="375"/>
  <c r="C3" i="375"/>
  <c r="D6" i="375"/>
  <c r="C5" i="375"/>
  <c r="B4" i="375"/>
  <c r="B7" i="375"/>
  <c r="D5" i="375"/>
  <c r="C4" i="375"/>
  <c r="E10" i="379"/>
  <c r="E9" i="379"/>
  <c r="E8" i="379"/>
  <c r="E7" i="379"/>
  <c r="E6" i="379"/>
  <c r="E5" i="379"/>
  <c r="E4" i="379"/>
  <c r="E3" i="379"/>
  <c r="E2" i="379"/>
  <c r="E1" i="379"/>
  <c r="E2" i="378" a="1"/>
  <c r="E2" i="378" s="1"/>
  <c r="E6" i="374"/>
  <c r="E5" i="374"/>
  <c r="D2" i="374" a="1"/>
  <c r="D2" i="374" s="1"/>
  <c r="F5" i="378" l="1"/>
  <c r="F3" i="378"/>
  <c r="E3" i="378"/>
  <c r="E5" i="378"/>
  <c r="F6" i="378"/>
  <c r="F4" i="378"/>
  <c r="F2" i="378"/>
  <c r="E6" i="378"/>
  <c r="E4" i="378"/>
  <c r="E2" i="374"/>
  <c r="H14" i="372" l="1" a="1"/>
  <c r="H14" i="372" s="1"/>
  <c r="I14" i="372" a="1"/>
  <c r="I14" i="372" s="1"/>
  <c r="H15" i="372" a="1"/>
  <c r="H15" i="372" s="1"/>
  <c r="I15" i="372" a="1"/>
  <c r="I15" i="372" s="1"/>
  <c r="H16" i="372" a="1"/>
  <c r="H16" i="372" s="1"/>
  <c r="I16" i="372" a="1"/>
  <c r="I16" i="372" s="1"/>
  <c r="G15" i="372" a="1"/>
  <c r="G15" i="372" s="1"/>
  <c r="G16" i="372" a="1"/>
  <c r="G16" i="372" s="1"/>
  <c r="G14" i="372" a="1"/>
  <c r="G14" i="372" s="1"/>
  <c r="J10" i="373" a="1"/>
  <c r="J10" i="373" s="1"/>
  <c r="K10" i="373" a="1"/>
  <c r="K10" i="373" s="1"/>
  <c r="J11" i="373" a="1"/>
  <c r="J11" i="373" s="1"/>
  <c r="K11" i="373" a="1"/>
  <c r="K11" i="373" s="1"/>
  <c r="J12" i="373" a="1"/>
  <c r="J12" i="373" s="1"/>
  <c r="K12" i="373" a="1"/>
  <c r="K12" i="373" s="1"/>
  <c r="J13" i="373" a="1"/>
  <c r="J13" i="373" s="1"/>
  <c r="K13" i="373" a="1"/>
  <c r="K13" i="373" s="1"/>
  <c r="J14" i="373" a="1"/>
  <c r="J14" i="373" s="1"/>
  <c r="K14" i="373" a="1"/>
  <c r="K14" i="373" s="1"/>
  <c r="J15" i="373" a="1"/>
  <c r="J15" i="373" s="1"/>
  <c r="K15" i="373" a="1"/>
  <c r="K15" i="373" s="1"/>
  <c r="K9" i="373" a="1"/>
  <c r="K9" i="373" s="1"/>
  <c r="J9" i="373" a="1"/>
  <c r="J9" i="373" s="1"/>
  <c r="H2" i="372"/>
  <c r="F8" i="372" s="1"/>
  <c r="G2" i="373"/>
  <c r="F2" i="373"/>
  <c r="E2" i="373"/>
  <c r="G3" i="373" l="1"/>
  <c r="E8" i="373" s="1"/>
  <c r="E3" i="371"/>
  <c r="F3" i="371"/>
  <c r="I3" i="371" s="1"/>
  <c r="D4" i="371"/>
  <c r="D5" i="371" s="1"/>
  <c r="D6" i="371" s="1"/>
  <c r="D7" i="371" s="1"/>
  <c r="D8" i="371" s="1"/>
  <c r="D9" i="371" s="1"/>
  <c r="D10" i="371" s="1"/>
  <c r="D11" i="371" s="1"/>
  <c r="D12" i="371" s="1"/>
  <c r="G3" i="371" l="1"/>
  <c r="H3" i="371"/>
  <c r="A11" i="368"/>
  <c r="B9" i="368"/>
  <c r="A9" i="368"/>
  <c r="B5" i="368"/>
  <c r="B3" i="368"/>
  <c r="A12" i="368" l="1"/>
  <c r="B18" i="368"/>
  <c r="B6" i="368"/>
  <c r="B10" i="368" s="1"/>
  <c r="A1" i="367"/>
  <c r="D17" i="367"/>
  <c r="D19" i="367" a="1"/>
  <c r="D19" i="367" s="1"/>
  <c r="D18" i="367"/>
  <c r="K5" i="367"/>
  <c r="J5" i="367"/>
  <c r="I5" i="367"/>
  <c r="K4" i="367"/>
  <c r="J4" i="367"/>
  <c r="I4" i="367"/>
  <c r="K3" i="367"/>
  <c r="J3" i="367"/>
  <c r="I3" i="367"/>
  <c r="J10" i="366"/>
  <c r="J11" i="366"/>
  <c r="J9" i="366"/>
  <c r="J4" i="366" a="1"/>
  <c r="J4" i="366" s="1"/>
  <c r="J5" i="366" a="1"/>
  <c r="J5" i="366" s="1"/>
  <c r="J3" i="366" a="1"/>
  <c r="J3" i="366" s="1"/>
  <c r="A13" i="368" l="1"/>
  <c r="B19" i="368"/>
  <c r="A4" i="365"/>
  <c r="C2" i="365" s="1" a="1"/>
  <c r="C2" i="365" s="1"/>
  <c r="A4" i="364"/>
  <c r="A8" i="364" s="1" a="1"/>
  <c r="A8" i="364" s="1"/>
  <c r="V14" i="362"/>
  <c r="V6" i="362"/>
  <c r="V7" i="362"/>
  <c r="V8" i="362"/>
  <c r="V9" i="362"/>
  <c r="V10" i="362"/>
  <c r="V11" i="362"/>
  <c r="V12" i="362"/>
  <c r="V13" i="362"/>
  <c r="B2" i="362"/>
  <c r="A2" i="362" s="1"/>
  <c r="B3" i="362"/>
  <c r="A3" i="362" s="1"/>
  <c r="B4" i="362"/>
  <c r="A4" i="362" s="1"/>
  <c r="A5" i="362"/>
  <c r="B5" i="362"/>
  <c r="B6" i="362"/>
  <c r="A6" i="362" s="1"/>
  <c r="B7" i="362"/>
  <c r="A7" i="362" s="1"/>
  <c r="B8" i="362"/>
  <c r="A8" i="362" s="1"/>
  <c r="B9" i="362"/>
  <c r="A9" i="362" s="1"/>
  <c r="B10" i="362"/>
  <c r="A10" i="362" s="1"/>
  <c r="B11" i="362"/>
  <c r="A11" i="362" s="1"/>
  <c r="B12" i="362"/>
  <c r="A12" i="362" s="1"/>
  <c r="A13" i="362"/>
  <c r="B13" i="362"/>
  <c r="B14" i="362"/>
  <c r="A14" i="362" s="1"/>
  <c r="B15" i="362"/>
  <c r="A15" i="362" s="1"/>
  <c r="B16" i="362"/>
  <c r="A16" i="362" s="1"/>
  <c r="B17" i="362"/>
  <c r="A17" i="362" s="1"/>
  <c r="B18" i="362"/>
  <c r="A18" i="362" s="1"/>
  <c r="B19" i="362"/>
  <c r="A19" i="362" s="1"/>
  <c r="B20" i="362"/>
  <c r="A20" i="362" s="1"/>
  <c r="A21" i="362"/>
  <c r="B21" i="362"/>
  <c r="B22" i="362"/>
  <c r="A22" i="362" s="1"/>
  <c r="B23" i="362"/>
  <c r="A23" i="362" s="1"/>
  <c r="B24" i="362"/>
  <c r="A24" i="362" s="1"/>
  <c r="B25" i="362"/>
  <c r="A25" i="362" s="1"/>
  <c r="B26" i="362"/>
  <c r="A26" i="362" s="1"/>
  <c r="B27" i="362"/>
  <c r="A27" i="362" s="1"/>
  <c r="B28" i="362"/>
  <c r="A28" i="362" s="1"/>
  <c r="A29" i="362"/>
  <c r="B29" i="362"/>
  <c r="B30" i="362"/>
  <c r="A30" i="362" s="1"/>
  <c r="B31" i="362"/>
  <c r="A31" i="362" s="1"/>
  <c r="B32" i="362"/>
  <c r="A32" i="362" s="1"/>
  <c r="B33" i="362"/>
  <c r="A33" i="362" s="1"/>
  <c r="B34" i="362"/>
  <c r="A34" i="362" s="1"/>
  <c r="B35" i="362"/>
  <c r="A35" i="362" s="1"/>
  <c r="B36" i="362"/>
  <c r="A36" i="362" s="1"/>
  <c r="A37" i="362"/>
  <c r="B37" i="362"/>
  <c r="B38" i="362"/>
  <c r="A38" i="362" s="1"/>
  <c r="B39" i="362"/>
  <c r="A39" i="362" s="1"/>
  <c r="B40" i="362"/>
  <c r="A40" i="362" s="1"/>
  <c r="B41" i="362"/>
  <c r="A41" i="362" s="1"/>
  <c r="B42" i="362"/>
  <c r="A42" i="362" s="1"/>
  <c r="B43" i="362"/>
  <c r="A43" i="362" s="1"/>
  <c r="B44" i="362"/>
  <c r="A44" i="362" s="1"/>
  <c r="B45" i="362"/>
  <c r="A45" i="362" s="1"/>
  <c r="B46" i="362"/>
  <c r="A46" i="362" s="1"/>
  <c r="B47" i="362"/>
  <c r="A47" i="362" s="1"/>
  <c r="B48" i="362"/>
  <c r="A48" i="362" s="1"/>
  <c r="A49" i="362"/>
  <c r="B49" i="362"/>
  <c r="B50" i="362"/>
  <c r="A50" i="362" s="1"/>
  <c r="B51" i="362"/>
  <c r="A51" i="362" s="1"/>
  <c r="B52" i="362"/>
  <c r="A52" i="362" s="1"/>
  <c r="B53" i="362"/>
  <c r="A53" i="362" s="1"/>
  <c r="B54" i="362"/>
  <c r="A54" i="362" s="1"/>
  <c r="B55" i="362"/>
  <c r="A55" i="362" s="1"/>
  <c r="B56" i="362"/>
  <c r="A56" i="362" s="1"/>
  <c r="B57" i="362"/>
  <c r="A57" i="362" s="1"/>
  <c r="B58" i="362"/>
  <c r="A58" i="362" s="1"/>
  <c r="B59" i="362"/>
  <c r="A59" i="362" s="1"/>
  <c r="B60" i="362"/>
  <c r="A60" i="362" s="1"/>
  <c r="B61" i="362"/>
  <c r="A61" i="362" s="1"/>
  <c r="B62" i="362"/>
  <c r="A62" i="362" s="1"/>
  <c r="B63" i="362"/>
  <c r="A63" i="362" s="1"/>
  <c r="B64" i="362"/>
  <c r="A64" i="362" s="1"/>
  <c r="B65" i="362"/>
  <c r="A65" i="362" s="1"/>
  <c r="B66" i="362"/>
  <c r="A66" i="362" s="1"/>
  <c r="B67" i="362"/>
  <c r="A67" i="362" s="1"/>
  <c r="B68" i="362"/>
  <c r="A68" i="362" s="1"/>
  <c r="B69" i="362"/>
  <c r="A69" i="362" s="1"/>
  <c r="B70" i="362"/>
  <c r="A70" i="362" s="1"/>
  <c r="B71" i="362"/>
  <c r="A71" i="362" s="1"/>
  <c r="B72" i="362"/>
  <c r="A72" i="362" s="1"/>
  <c r="B73" i="362"/>
  <c r="A73" i="362" s="1"/>
  <c r="B74" i="362"/>
  <c r="A74" i="362" s="1"/>
  <c r="B75" i="362"/>
  <c r="A75" i="362" s="1"/>
  <c r="B76" i="362"/>
  <c r="A76" i="362" s="1"/>
  <c r="B77" i="362"/>
  <c r="A77" i="362" s="1"/>
  <c r="B78" i="362"/>
  <c r="A78" i="362" s="1"/>
  <c r="B79" i="362"/>
  <c r="A79" i="362" s="1"/>
  <c r="B80" i="362"/>
  <c r="A80" i="362" s="1"/>
  <c r="A81" i="362"/>
  <c r="B81" i="362"/>
  <c r="B82" i="362"/>
  <c r="A82" i="362" s="1"/>
  <c r="B83" i="362"/>
  <c r="A83" i="362" s="1"/>
  <c r="B84" i="362"/>
  <c r="A84" i="362" s="1"/>
  <c r="B85" i="362"/>
  <c r="A85" i="362" s="1"/>
  <c r="B86" i="362"/>
  <c r="A86" i="362" s="1"/>
  <c r="B87" i="362"/>
  <c r="A87" i="362" s="1"/>
  <c r="B88" i="362"/>
  <c r="A88" i="362" s="1"/>
  <c r="B89" i="362"/>
  <c r="A89" i="362" s="1"/>
  <c r="B90" i="362"/>
  <c r="A90" i="362" s="1"/>
  <c r="B91" i="362"/>
  <c r="A91" i="362" s="1"/>
  <c r="B92" i="362"/>
  <c r="A92" i="362" s="1"/>
  <c r="B93" i="362"/>
  <c r="A93" i="362" s="1"/>
  <c r="B94" i="362"/>
  <c r="A94" i="362" s="1"/>
  <c r="B95" i="362"/>
  <c r="A95" i="362" s="1"/>
  <c r="B96" i="362"/>
  <c r="A96" i="362" s="1"/>
  <c r="B97" i="362"/>
  <c r="A97" i="362" s="1"/>
  <c r="B98" i="362"/>
  <c r="A98" i="362" s="1"/>
  <c r="B99" i="362"/>
  <c r="A99" i="362" s="1"/>
  <c r="B100" i="362"/>
  <c r="A100" i="362" s="1"/>
  <c r="B101" i="362"/>
  <c r="A101" i="362" s="1"/>
  <c r="B102" i="362"/>
  <c r="A102" i="362" s="1"/>
  <c r="B103" i="362"/>
  <c r="A103" i="362" s="1"/>
  <c r="B104" i="362"/>
  <c r="A104" i="362" s="1"/>
  <c r="B105" i="362"/>
  <c r="A105" i="362" s="1"/>
  <c r="B106" i="362"/>
  <c r="A106" i="362" s="1"/>
  <c r="B107" i="362"/>
  <c r="A107" i="362" s="1"/>
  <c r="B108" i="362"/>
  <c r="A108" i="362" s="1"/>
  <c r="B109" i="362"/>
  <c r="A109" i="362" s="1"/>
  <c r="B110" i="362"/>
  <c r="A110" i="362" s="1"/>
  <c r="B111" i="362"/>
  <c r="A111" i="362" s="1"/>
  <c r="B112" i="362"/>
  <c r="A112" i="362" s="1"/>
  <c r="B113" i="362"/>
  <c r="A113" i="362" s="1"/>
  <c r="B114" i="362"/>
  <c r="A114" i="362" s="1"/>
  <c r="B115" i="362"/>
  <c r="A115" i="362" s="1"/>
  <c r="B116" i="362"/>
  <c r="A116" i="362" s="1"/>
  <c r="B117" i="362"/>
  <c r="A117" i="362" s="1"/>
  <c r="B118" i="362"/>
  <c r="A118" i="362" s="1"/>
  <c r="B119" i="362"/>
  <c r="A119" i="362" s="1"/>
  <c r="B120" i="362"/>
  <c r="A120" i="362" s="1"/>
  <c r="B121" i="362"/>
  <c r="A121" i="362" s="1"/>
  <c r="B122" i="362"/>
  <c r="A122" i="362" s="1"/>
  <c r="B123" i="362"/>
  <c r="A123" i="362" s="1"/>
  <c r="B124" i="362"/>
  <c r="A124" i="362" s="1"/>
  <c r="B125" i="362"/>
  <c r="A125" i="362" s="1"/>
  <c r="B126" i="362"/>
  <c r="A126" i="362" s="1"/>
  <c r="B127" i="362"/>
  <c r="A127" i="362" s="1"/>
  <c r="B128" i="362"/>
  <c r="A128" i="362" s="1"/>
  <c r="B129" i="362"/>
  <c r="A129" i="362" s="1"/>
  <c r="B130" i="362"/>
  <c r="A130" i="362" s="1"/>
  <c r="B131" i="362"/>
  <c r="A131" i="362" s="1"/>
  <c r="B132" i="362"/>
  <c r="A132" i="362" s="1"/>
  <c r="B133" i="362"/>
  <c r="A133" i="362" s="1"/>
  <c r="B134" i="362"/>
  <c r="A134" i="362" s="1"/>
  <c r="B135" i="362"/>
  <c r="A135" i="362" s="1"/>
  <c r="B136" i="362"/>
  <c r="A136" i="362" s="1"/>
  <c r="B137" i="362"/>
  <c r="A137" i="362" s="1"/>
  <c r="B138" i="362"/>
  <c r="A138" i="362" s="1"/>
  <c r="B139" i="362"/>
  <c r="A139" i="362" s="1"/>
  <c r="B140" i="362"/>
  <c r="A140" i="362" s="1"/>
  <c r="B141" i="362"/>
  <c r="A141" i="362" s="1"/>
  <c r="B142" i="362"/>
  <c r="A142" i="362" s="1"/>
  <c r="B143" i="362"/>
  <c r="A143" i="362" s="1"/>
  <c r="B144" i="362"/>
  <c r="A144" i="362" s="1"/>
  <c r="B145" i="362"/>
  <c r="A145" i="362" s="1"/>
  <c r="B146" i="362"/>
  <c r="A146" i="362" s="1"/>
  <c r="B147" i="362"/>
  <c r="A147" i="362" s="1"/>
  <c r="B148" i="362"/>
  <c r="A148" i="362" s="1"/>
  <c r="B149" i="362"/>
  <c r="A149" i="362" s="1"/>
  <c r="B150" i="362"/>
  <c r="A150" i="362" s="1"/>
  <c r="B151" i="362"/>
  <c r="A151" i="362" s="1"/>
  <c r="B152" i="362"/>
  <c r="A152" i="362" s="1"/>
  <c r="A153" i="362"/>
  <c r="B153" i="362"/>
  <c r="B154" i="362"/>
  <c r="A154" i="362" s="1"/>
  <c r="B155" i="362"/>
  <c r="A155" i="362" s="1"/>
  <c r="B156" i="362"/>
  <c r="A156" i="362" s="1"/>
  <c r="B157" i="362"/>
  <c r="A157" i="362" s="1"/>
  <c r="B158" i="362"/>
  <c r="A158" i="362" s="1"/>
  <c r="B159" i="362"/>
  <c r="A159" i="362" s="1"/>
  <c r="B160" i="362"/>
  <c r="A160" i="362" s="1"/>
  <c r="B161" i="362"/>
  <c r="A161" i="362" s="1"/>
  <c r="B162" i="362"/>
  <c r="A162" i="362" s="1"/>
  <c r="B163" i="362"/>
  <c r="A163" i="362" s="1"/>
  <c r="B164" i="362"/>
  <c r="A164" i="362" s="1"/>
  <c r="B165" i="362"/>
  <c r="A165" i="362" s="1"/>
  <c r="B166" i="362"/>
  <c r="A166" i="362" s="1"/>
  <c r="B167" i="362"/>
  <c r="A167" i="362" s="1"/>
  <c r="B168" i="362"/>
  <c r="A168" i="362" s="1"/>
  <c r="B169" i="362"/>
  <c r="A169" i="362" s="1"/>
  <c r="B170" i="362"/>
  <c r="A170" i="362" s="1"/>
  <c r="B171" i="362"/>
  <c r="A171" i="362" s="1"/>
  <c r="B172" i="362"/>
  <c r="A172" i="362" s="1"/>
  <c r="B173" i="362"/>
  <c r="A173" i="362" s="1"/>
  <c r="B174" i="362"/>
  <c r="A174" i="362" s="1"/>
  <c r="B175" i="362"/>
  <c r="A175" i="362" s="1"/>
  <c r="B176" i="362"/>
  <c r="A176" i="362" s="1"/>
  <c r="B177" i="362"/>
  <c r="A177" i="362" s="1"/>
  <c r="B178" i="362"/>
  <c r="A178" i="362" s="1"/>
  <c r="B179" i="362"/>
  <c r="A179" i="362" s="1"/>
  <c r="B180" i="362"/>
  <c r="A180" i="362" s="1"/>
  <c r="B181" i="362"/>
  <c r="A181" i="362" s="1"/>
  <c r="B182" i="362"/>
  <c r="A182" i="362" s="1"/>
  <c r="B183" i="362"/>
  <c r="A183" i="362" s="1"/>
  <c r="B184" i="362"/>
  <c r="A184" i="362" s="1"/>
  <c r="B185" i="362"/>
  <c r="A185" i="362" s="1"/>
  <c r="B186" i="362"/>
  <c r="A186" i="362" s="1"/>
  <c r="B187" i="362"/>
  <c r="A187" i="362" s="1"/>
  <c r="B188" i="362"/>
  <c r="A188" i="362" s="1"/>
  <c r="B189" i="362"/>
  <c r="A189" i="362" s="1"/>
  <c r="B190" i="362"/>
  <c r="A190" i="362" s="1"/>
  <c r="B191" i="362"/>
  <c r="A191" i="362" s="1"/>
  <c r="B192" i="362"/>
  <c r="A192" i="362" s="1"/>
  <c r="B193" i="362"/>
  <c r="A193" i="362" s="1"/>
  <c r="B194" i="362"/>
  <c r="A194" i="362" s="1"/>
  <c r="B195" i="362"/>
  <c r="A195" i="362" s="1"/>
  <c r="B196" i="362"/>
  <c r="A196" i="362" s="1"/>
  <c r="B197" i="362"/>
  <c r="A197" i="362" s="1"/>
  <c r="B198" i="362"/>
  <c r="A198" i="362" s="1"/>
  <c r="B199" i="362"/>
  <c r="A199" i="362" s="1"/>
  <c r="B200" i="362"/>
  <c r="A200" i="362" s="1"/>
  <c r="B201" i="362"/>
  <c r="A201" i="362" s="1"/>
  <c r="B202" i="362"/>
  <c r="A202" i="362" s="1"/>
  <c r="B203" i="362"/>
  <c r="A203" i="362" s="1"/>
  <c r="B204" i="362"/>
  <c r="A204" i="362" s="1"/>
  <c r="B205" i="362"/>
  <c r="A205" i="362" s="1"/>
  <c r="B206" i="362"/>
  <c r="A206" i="362" s="1"/>
  <c r="B207" i="362"/>
  <c r="A207" i="362" s="1"/>
  <c r="B208" i="362"/>
  <c r="A208" i="362" s="1"/>
  <c r="B209" i="362"/>
  <c r="A209" i="362" s="1"/>
  <c r="B210" i="362"/>
  <c r="A210" i="362" s="1"/>
  <c r="B211" i="362"/>
  <c r="A211" i="362" s="1"/>
  <c r="B212" i="362"/>
  <c r="A212" i="362" s="1"/>
  <c r="B213" i="362"/>
  <c r="A213" i="362" s="1"/>
  <c r="B214" i="362"/>
  <c r="A214" i="362" s="1"/>
  <c r="B215" i="362"/>
  <c r="A215" i="362" s="1"/>
  <c r="B216" i="362"/>
  <c r="A216" i="362" s="1"/>
  <c r="B217" i="362"/>
  <c r="A217" i="362" s="1"/>
  <c r="B218" i="362"/>
  <c r="A218" i="362" s="1"/>
  <c r="B219" i="362"/>
  <c r="A219" i="362" s="1"/>
  <c r="B220" i="362"/>
  <c r="A220" i="362" s="1"/>
  <c r="B221" i="362"/>
  <c r="A221" i="362" s="1"/>
  <c r="B222" i="362"/>
  <c r="A222" i="362" s="1"/>
  <c r="B223" i="362"/>
  <c r="A223" i="362" s="1"/>
  <c r="B224" i="362"/>
  <c r="A224" i="362" s="1"/>
  <c r="B225" i="362"/>
  <c r="A225" i="362" s="1"/>
  <c r="B226" i="362"/>
  <c r="A226" i="362" s="1"/>
  <c r="B227" i="362"/>
  <c r="A227" i="362" s="1"/>
  <c r="B228" i="362"/>
  <c r="A228" i="362" s="1"/>
  <c r="B229" i="362"/>
  <c r="A229" i="362" s="1"/>
  <c r="B230" i="362"/>
  <c r="A230" i="362" s="1"/>
  <c r="B231" i="362"/>
  <c r="A231" i="362" s="1"/>
  <c r="B232" i="362"/>
  <c r="A232" i="362" s="1"/>
  <c r="B233" i="362"/>
  <c r="A233" i="362" s="1"/>
  <c r="B234" i="362"/>
  <c r="A234" i="362" s="1"/>
  <c r="B235" i="362"/>
  <c r="A235" i="362" s="1"/>
  <c r="B236" i="362"/>
  <c r="A236" i="362" s="1"/>
  <c r="B237" i="362"/>
  <c r="A237" i="362" s="1"/>
  <c r="B238" i="362"/>
  <c r="A238" i="362" s="1"/>
  <c r="B239" i="362"/>
  <c r="A239" i="362" s="1"/>
  <c r="B240" i="362"/>
  <c r="A240" i="362" s="1"/>
  <c r="B241" i="362"/>
  <c r="A241" i="362" s="1"/>
  <c r="B242" i="362"/>
  <c r="A242" i="362" s="1"/>
  <c r="B243" i="362"/>
  <c r="A243" i="362" s="1"/>
  <c r="B244" i="362"/>
  <c r="A244" i="362" s="1"/>
  <c r="B245" i="362"/>
  <c r="A245" i="362" s="1"/>
  <c r="B246" i="362"/>
  <c r="A246" i="362" s="1"/>
  <c r="B247" i="362"/>
  <c r="A247" i="362" s="1"/>
  <c r="B248" i="362"/>
  <c r="A248" i="362" s="1"/>
  <c r="B249" i="362"/>
  <c r="A249" i="362" s="1"/>
  <c r="B250" i="362"/>
  <c r="A250" i="362" s="1"/>
  <c r="B251" i="362"/>
  <c r="A251" i="362" s="1"/>
  <c r="B252" i="362"/>
  <c r="A252" i="362" s="1"/>
  <c r="B253" i="362"/>
  <c r="A253" i="362" s="1"/>
  <c r="B254" i="362"/>
  <c r="A254" i="362" s="1"/>
  <c r="B255" i="362"/>
  <c r="A255" i="362" s="1"/>
  <c r="B256" i="362"/>
  <c r="A256" i="362" s="1"/>
  <c r="B1" i="362"/>
  <c r="A1" i="362" s="1"/>
  <c r="S5" i="362"/>
  <c r="S6" i="362"/>
  <c r="S7" i="362"/>
  <c r="S8" i="362"/>
  <c r="S9" i="362"/>
  <c r="S10" i="362"/>
  <c r="S11" i="362"/>
  <c r="S12" i="362"/>
  <c r="S13" i="362"/>
  <c r="S14" i="362"/>
  <c r="V3" i="362"/>
  <c r="V4" i="362"/>
  <c r="V5" i="362"/>
  <c r="S3" i="362"/>
  <c r="S4" i="362"/>
  <c r="A4" i="363"/>
  <c r="E5" i="363" s="1"/>
  <c r="M3" i="360"/>
  <c r="L3" i="360" s="1"/>
  <c r="M4" i="360"/>
  <c r="L4" i="360" s="1"/>
  <c r="M5" i="360"/>
  <c r="L5" i="360" s="1"/>
  <c r="M6" i="360"/>
  <c r="L6" i="360" s="1"/>
  <c r="M7" i="360"/>
  <c r="L7" i="360" s="1"/>
  <c r="M8" i="360"/>
  <c r="L8" i="360" s="1"/>
  <c r="M9" i="360"/>
  <c r="L9" i="360" s="1"/>
  <c r="M10" i="360"/>
  <c r="L10" i="360" s="1"/>
  <c r="M11" i="360"/>
  <c r="L11" i="360" s="1"/>
  <c r="M12" i="360"/>
  <c r="L12" i="360" s="1"/>
  <c r="M13" i="360"/>
  <c r="L13" i="360" s="1"/>
  <c r="M14" i="360"/>
  <c r="L14" i="360" s="1"/>
  <c r="M15" i="360"/>
  <c r="L15" i="360" s="1"/>
  <c r="M16" i="360"/>
  <c r="L16" i="360" s="1"/>
  <c r="M17" i="360"/>
  <c r="L17" i="360" s="1"/>
  <c r="M18" i="360"/>
  <c r="L18" i="360" s="1"/>
  <c r="M19" i="360"/>
  <c r="L19" i="360" s="1"/>
  <c r="M20" i="360"/>
  <c r="L20" i="360" s="1"/>
  <c r="M21" i="360"/>
  <c r="L21" i="360" s="1"/>
  <c r="M22" i="360"/>
  <c r="L22" i="360" s="1"/>
  <c r="M23" i="360"/>
  <c r="L23" i="360" s="1"/>
  <c r="M24" i="360"/>
  <c r="L24" i="360" s="1"/>
  <c r="M25" i="360"/>
  <c r="L25" i="360" s="1"/>
  <c r="M26" i="360"/>
  <c r="L26" i="360" s="1"/>
  <c r="M27" i="360"/>
  <c r="L27" i="360" s="1"/>
  <c r="M28" i="360"/>
  <c r="L28" i="360" s="1"/>
  <c r="M29" i="360"/>
  <c r="L29" i="360" s="1"/>
  <c r="M30" i="360"/>
  <c r="L30" i="360" s="1"/>
  <c r="M31" i="360"/>
  <c r="L31" i="360" s="1"/>
  <c r="M32" i="360"/>
  <c r="L32" i="360" s="1"/>
  <c r="M33" i="360"/>
  <c r="L33" i="360" s="1"/>
  <c r="M34" i="360"/>
  <c r="L34" i="360" s="1"/>
  <c r="M35" i="360"/>
  <c r="L35" i="360" s="1"/>
  <c r="M36" i="360"/>
  <c r="L36" i="360" s="1"/>
  <c r="M37" i="360"/>
  <c r="L37" i="360" s="1"/>
  <c r="M38" i="360"/>
  <c r="L38" i="360" s="1"/>
  <c r="M39" i="360"/>
  <c r="L39" i="360" s="1"/>
  <c r="M40" i="360"/>
  <c r="L40" i="360" s="1"/>
  <c r="M41" i="360"/>
  <c r="L41" i="360" s="1"/>
  <c r="M42" i="360"/>
  <c r="L42" i="360" s="1"/>
  <c r="M43" i="360"/>
  <c r="L43" i="360" s="1"/>
  <c r="M44" i="360"/>
  <c r="L44" i="360" s="1"/>
  <c r="M45" i="360"/>
  <c r="L45" i="360" s="1"/>
  <c r="M46" i="360"/>
  <c r="L46" i="360" s="1"/>
  <c r="M47" i="360"/>
  <c r="L47" i="360" s="1"/>
  <c r="M48" i="360"/>
  <c r="L48" i="360" s="1"/>
  <c r="M49" i="360"/>
  <c r="L49" i="360" s="1"/>
  <c r="M50" i="360"/>
  <c r="L50" i="360" s="1"/>
  <c r="M51" i="360"/>
  <c r="L51" i="360" s="1"/>
  <c r="M52" i="360"/>
  <c r="L52" i="360" s="1"/>
  <c r="M53" i="360"/>
  <c r="L53" i="360" s="1"/>
  <c r="M54" i="360"/>
  <c r="L54" i="360" s="1"/>
  <c r="M55" i="360"/>
  <c r="L55" i="360" s="1"/>
  <c r="M56" i="360"/>
  <c r="L56" i="360" s="1"/>
  <c r="M57" i="360"/>
  <c r="L57" i="360" s="1"/>
  <c r="M58" i="360"/>
  <c r="L58" i="360" s="1"/>
  <c r="M59" i="360"/>
  <c r="L59" i="360" s="1"/>
  <c r="M60" i="360"/>
  <c r="L60" i="360" s="1"/>
  <c r="M61" i="360"/>
  <c r="L61" i="360" s="1"/>
  <c r="M62" i="360"/>
  <c r="L62" i="360" s="1"/>
  <c r="M63" i="360"/>
  <c r="L63" i="360" s="1"/>
  <c r="M64" i="360"/>
  <c r="L64" i="360" s="1"/>
  <c r="M65" i="360"/>
  <c r="L65" i="360" s="1"/>
  <c r="M66" i="360"/>
  <c r="L66" i="360" s="1"/>
  <c r="M67" i="360"/>
  <c r="L67" i="360" s="1"/>
  <c r="M68" i="360"/>
  <c r="L68" i="360" s="1"/>
  <c r="M69" i="360"/>
  <c r="L69" i="360" s="1"/>
  <c r="M70" i="360"/>
  <c r="L70" i="360" s="1"/>
  <c r="M71" i="360"/>
  <c r="L71" i="360" s="1"/>
  <c r="M72" i="360"/>
  <c r="L72" i="360" s="1"/>
  <c r="M73" i="360"/>
  <c r="L73" i="360" s="1"/>
  <c r="M74" i="360"/>
  <c r="L74" i="360" s="1"/>
  <c r="M75" i="360"/>
  <c r="L75" i="360" s="1"/>
  <c r="M76" i="360"/>
  <c r="L76" i="360" s="1"/>
  <c r="M77" i="360"/>
  <c r="L77" i="360" s="1"/>
  <c r="M78" i="360"/>
  <c r="L78" i="360" s="1"/>
  <c r="M79" i="360"/>
  <c r="L79" i="360" s="1"/>
  <c r="M80" i="360"/>
  <c r="L80" i="360" s="1"/>
  <c r="M81" i="360"/>
  <c r="L81" i="360" s="1"/>
  <c r="M82" i="360"/>
  <c r="L82" i="360" s="1"/>
  <c r="M83" i="360"/>
  <c r="L83" i="360" s="1"/>
  <c r="M84" i="360"/>
  <c r="L84" i="360" s="1"/>
  <c r="M85" i="360"/>
  <c r="L85" i="360" s="1"/>
  <c r="M86" i="360"/>
  <c r="L86" i="360" s="1"/>
  <c r="M87" i="360"/>
  <c r="L87" i="360" s="1"/>
  <c r="M88" i="360"/>
  <c r="L88" i="360" s="1"/>
  <c r="M89" i="360"/>
  <c r="L89" i="360" s="1"/>
  <c r="M90" i="360"/>
  <c r="L90" i="360" s="1"/>
  <c r="M91" i="360"/>
  <c r="L91" i="360" s="1"/>
  <c r="M92" i="360"/>
  <c r="L92" i="360" s="1"/>
  <c r="M93" i="360"/>
  <c r="L93" i="360" s="1"/>
  <c r="M94" i="360"/>
  <c r="L94" i="360" s="1"/>
  <c r="M95" i="360"/>
  <c r="L95" i="360" s="1"/>
  <c r="M96" i="360"/>
  <c r="L96" i="360" s="1"/>
  <c r="M97" i="360"/>
  <c r="L97" i="360" s="1"/>
  <c r="M98" i="360"/>
  <c r="L98" i="360" s="1"/>
  <c r="M99" i="360"/>
  <c r="L99" i="360" s="1"/>
  <c r="M100" i="360"/>
  <c r="L100" i="360" s="1"/>
  <c r="M101" i="360"/>
  <c r="L101" i="360" s="1"/>
  <c r="M102" i="360"/>
  <c r="L102" i="360" s="1"/>
  <c r="M103" i="360"/>
  <c r="L103" i="360" s="1"/>
  <c r="M104" i="360"/>
  <c r="L104" i="360" s="1"/>
  <c r="M105" i="360"/>
  <c r="L105" i="360" s="1"/>
  <c r="M106" i="360"/>
  <c r="L106" i="360" s="1"/>
  <c r="M107" i="360"/>
  <c r="L107" i="360" s="1"/>
  <c r="M108" i="360"/>
  <c r="L108" i="360" s="1"/>
  <c r="M109" i="360"/>
  <c r="L109" i="360" s="1"/>
  <c r="M110" i="360"/>
  <c r="L110" i="360" s="1"/>
  <c r="M111" i="360"/>
  <c r="L111" i="360" s="1"/>
  <c r="M112" i="360"/>
  <c r="L112" i="360" s="1"/>
  <c r="M113" i="360"/>
  <c r="L113" i="360" s="1"/>
  <c r="M114" i="360"/>
  <c r="L114" i="360" s="1"/>
  <c r="M115" i="360"/>
  <c r="L115" i="360" s="1"/>
  <c r="M116" i="360"/>
  <c r="L116" i="360" s="1"/>
  <c r="M117" i="360"/>
  <c r="L117" i="360" s="1"/>
  <c r="M118" i="360"/>
  <c r="L118" i="360" s="1"/>
  <c r="M119" i="360"/>
  <c r="L119" i="360" s="1"/>
  <c r="M120" i="360"/>
  <c r="L120" i="360" s="1"/>
  <c r="M121" i="360"/>
  <c r="L121" i="360" s="1"/>
  <c r="M122" i="360"/>
  <c r="L122" i="360" s="1"/>
  <c r="M123" i="360"/>
  <c r="L123" i="360" s="1"/>
  <c r="M124" i="360"/>
  <c r="L124" i="360" s="1"/>
  <c r="M125" i="360"/>
  <c r="L125" i="360" s="1"/>
  <c r="M126" i="360"/>
  <c r="L126" i="360" s="1"/>
  <c r="M127" i="360"/>
  <c r="L127" i="360" s="1"/>
  <c r="M128" i="360"/>
  <c r="L128" i="360" s="1"/>
  <c r="M129" i="360"/>
  <c r="L129" i="360" s="1"/>
  <c r="M130" i="360"/>
  <c r="L130" i="360" s="1"/>
  <c r="M131" i="360"/>
  <c r="L131" i="360" s="1"/>
  <c r="M132" i="360"/>
  <c r="L132" i="360" s="1"/>
  <c r="M133" i="360"/>
  <c r="L133" i="360" s="1"/>
  <c r="M134" i="360"/>
  <c r="L134" i="360" s="1"/>
  <c r="M135" i="360"/>
  <c r="L135" i="360" s="1"/>
  <c r="M136" i="360"/>
  <c r="L136" i="360" s="1"/>
  <c r="M137" i="360"/>
  <c r="L137" i="360" s="1"/>
  <c r="M138" i="360"/>
  <c r="L138" i="360" s="1"/>
  <c r="M139" i="360"/>
  <c r="L139" i="360" s="1"/>
  <c r="M140" i="360"/>
  <c r="L140" i="360" s="1"/>
  <c r="M141" i="360"/>
  <c r="L141" i="360" s="1"/>
  <c r="M142" i="360"/>
  <c r="L142" i="360" s="1"/>
  <c r="M143" i="360"/>
  <c r="L143" i="360" s="1"/>
  <c r="M144" i="360"/>
  <c r="L144" i="360" s="1"/>
  <c r="M145" i="360"/>
  <c r="L145" i="360" s="1"/>
  <c r="M146" i="360"/>
  <c r="L146" i="360" s="1"/>
  <c r="M147" i="360"/>
  <c r="L147" i="360" s="1"/>
  <c r="M148" i="360"/>
  <c r="L148" i="360" s="1"/>
  <c r="M149" i="360"/>
  <c r="L149" i="360" s="1"/>
  <c r="M150" i="360"/>
  <c r="L150" i="360" s="1"/>
  <c r="M151" i="360"/>
  <c r="L151" i="360" s="1"/>
  <c r="M152" i="360"/>
  <c r="L152" i="360" s="1"/>
  <c r="M153" i="360"/>
  <c r="L153" i="360" s="1"/>
  <c r="M154" i="360"/>
  <c r="L154" i="360" s="1"/>
  <c r="M155" i="360"/>
  <c r="L155" i="360" s="1"/>
  <c r="M156" i="360"/>
  <c r="L156" i="360" s="1"/>
  <c r="M157" i="360"/>
  <c r="L157" i="360" s="1"/>
  <c r="M158" i="360"/>
  <c r="L158" i="360" s="1"/>
  <c r="M159" i="360"/>
  <c r="L159" i="360" s="1"/>
  <c r="M160" i="360"/>
  <c r="L160" i="360" s="1"/>
  <c r="M161" i="360"/>
  <c r="L161" i="360" s="1"/>
  <c r="M162" i="360"/>
  <c r="L162" i="360" s="1"/>
  <c r="M163" i="360"/>
  <c r="L163" i="360" s="1"/>
  <c r="M164" i="360"/>
  <c r="L164" i="360" s="1"/>
  <c r="M165" i="360"/>
  <c r="L165" i="360" s="1"/>
  <c r="M166" i="360"/>
  <c r="L166" i="360" s="1"/>
  <c r="M167" i="360"/>
  <c r="L167" i="360" s="1"/>
  <c r="M168" i="360"/>
  <c r="L168" i="360" s="1"/>
  <c r="M169" i="360"/>
  <c r="L169" i="360" s="1"/>
  <c r="M170" i="360"/>
  <c r="L170" i="360" s="1"/>
  <c r="M171" i="360"/>
  <c r="L171" i="360" s="1"/>
  <c r="M172" i="360"/>
  <c r="L172" i="360" s="1"/>
  <c r="M173" i="360"/>
  <c r="L173" i="360" s="1"/>
  <c r="M174" i="360"/>
  <c r="L174" i="360" s="1"/>
  <c r="M175" i="360"/>
  <c r="L175" i="360" s="1"/>
  <c r="M176" i="360"/>
  <c r="L176" i="360" s="1"/>
  <c r="M177" i="360"/>
  <c r="L177" i="360" s="1"/>
  <c r="M178" i="360"/>
  <c r="L178" i="360" s="1"/>
  <c r="M179" i="360"/>
  <c r="L179" i="360" s="1"/>
  <c r="M180" i="360"/>
  <c r="L180" i="360" s="1"/>
  <c r="M181" i="360"/>
  <c r="L181" i="360" s="1"/>
  <c r="M182" i="360"/>
  <c r="L182" i="360" s="1"/>
  <c r="M183" i="360"/>
  <c r="L183" i="360" s="1"/>
  <c r="M184" i="360"/>
  <c r="L184" i="360" s="1"/>
  <c r="M185" i="360"/>
  <c r="L185" i="360" s="1"/>
  <c r="M186" i="360"/>
  <c r="L186" i="360" s="1"/>
  <c r="M187" i="360"/>
  <c r="L187" i="360" s="1"/>
  <c r="M188" i="360"/>
  <c r="L188" i="360" s="1"/>
  <c r="M189" i="360"/>
  <c r="L189" i="360" s="1"/>
  <c r="M190" i="360"/>
  <c r="L190" i="360" s="1"/>
  <c r="M191" i="360"/>
  <c r="L191" i="360" s="1"/>
  <c r="M192" i="360"/>
  <c r="L192" i="360" s="1"/>
  <c r="M193" i="360"/>
  <c r="L193" i="360" s="1"/>
  <c r="M194" i="360"/>
  <c r="L194" i="360" s="1"/>
  <c r="M195" i="360"/>
  <c r="L195" i="360" s="1"/>
  <c r="M196" i="360"/>
  <c r="L196" i="360" s="1"/>
  <c r="M197" i="360"/>
  <c r="L197" i="360" s="1"/>
  <c r="M198" i="360"/>
  <c r="L198" i="360" s="1"/>
  <c r="M199" i="360"/>
  <c r="L199" i="360" s="1"/>
  <c r="M200" i="360"/>
  <c r="L200" i="360" s="1"/>
  <c r="M201" i="360"/>
  <c r="L201" i="360" s="1"/>
  <c r="M202" i="360"/>
  <c r="L202" i="360" s="1"/>
  <c r="M203" i="360"/>
  <c r="L203" i="360" s="1"/>
  <c r="M204" i="360"/>
  <c r="L204" i="360" s="1"/>
  <c r="M205" i="360"/>
  <c r="L205" i="360" s="1"/>
  <c r="M206" i="360"/>
  <c r="L206" i="360" s="1"/>
  <c r="M207" i="360"/>
  <c r="L207" i="360" s="1"/>
  <c r="M208" i="360"/>
  <c r="L208" i="360" s="1"/>
  <c r="M209" i="360"/>
  <c r="L209" i="360" s="1"/>
  <c r="M210" i="360"/>
  <c r="L210" i="360" s="1"/>
  <c r="M211" i="360"/>
  <c r="L211" i="360" s="1"/>
  <c r="M212" i="360"/>
  <c r="L212" i="360" s="1"/>
  <c r="M213" i="360"/>
  <c r="L213" i="360" s="1"/>
  <c r="M214" i="360"/>
  <c r="L214" i="360" s="1"/>
  <c r="M215" i="360"/>
  <c r="L215" i="360" s="1"/>
  <c r="M216" i="360"/>
  <c r="L216" i="360" s="1"/>
  <c r="M217" i="360"/>
  <c r="L217" i="360" s="1"/>
  <c r="M218" i="360"/>
  <c r="L218" i="360" s="1"/>
  <c r="M219" i="360"/>
  <c r="L219" i="360" s="1"/>
  <c r="M220" i="360"/>
  <c r="L220" i="360" s="1"/>
  <c r="M221" i="360"/>
  <c r="L221" i="360" s="1"/>
  <c r="M222" i="360"/>
  <c r="L222" i="360" s="1"/>
  <c r="M223" i="360"/>
  <c r="L223" i="360" s="1"/>
  <c r="M224" i="360"/>
  <c r="L224" i="360" s="1"/>
  <c r="M225" i="360"/>
  <c r="L225" i="360" s="1"/>
  <c r="M226" i="360"/>
  <c r="L226" i="360" s="1"/>
  <c r="M227" i="360"/>
  <c r="L227" i="360" s="1"/>
  <c r="M228" i="360"/>
  <c r="L228" i="360" s="1"/>
  <c r="M229" i="360"/>
  <c r="L229" i="360" s="1"/>
  <c r="M230" i="360"/>
  <c r="L230" i="360" s="1"/>
  <c r="M231" i="360"/>
  <c r="L231" i="360" s="1"/>
  <c r="M232" i="360"/>
  <c r="L232" i="360" s="1"/>
  <c r="M233" i="360"/>
  <c r="L233" i="360" s="1"/>
  <c r="M234" i="360"/>
  <c r="L234" i="360" s="1"/>
  <c r="M235" i="360"/>
  <c r="L235" i="360" s="1"/>
  <c r="M236" i="360"/>
  <c r="L236" i="360" s="1"/>
  <c r="M237" i="360"/>
  <c r="L237" i="360" s="1"/>
  <c r="M238" i="360"/>
  <c r="L238" i="360" s="1"/>
  <c r="M239" i="360"/>
  <c r="L239" i="360" s="1"/>
  <c r="M240" i="360"/>
  <c r="L240" i="360" s="1"/>
  <c r="M241" i="360"/>
  <c r="L241" i="360" s="1"/>
  <c r="M242" i="360"/>
  <c r="L242" i="360" s="1"/>
  <c r="M243" i="360"/>
  <c r="L243" i="360" s="1"/>
  <c r="M244" i="360"/>
  <c r="L244" i="360" s="1"/>
  <c r="M245" i="360"/>
  <c r="L245" i="360" s="1"/>
  <c r="M246" i="360"/>
  <c r="L246" i="360" s="1"/>
  <c r="M247" i="360"/>
  <c r="L247" i="360" s="1"/>
  <c r="M248" i="360"/>
  <c r="L248" i="360" s="1"/>
  <c r="M249" i="360"/>
  <c r="L249" i="360" s="1"/>
  <c r="M250" i="360"/>
  <c r="L250" i="360" s="1"/>
  <c r="M251" i="360"/>
  <c r="L251" i="360" s="1"/>
  <c r="M252" i="360"/>
  <c r="L252" i="360" s="1"/>
  <c r="M253" i="360"/>
  <c r="L253" i="360" s="1"/>
  <c r="M254" i="360"/>
  <c r="L254" i="360" s="1"/>
  <c r="M255" i="360"/>
  <c r="L255" i="360" s="1"/>
  <c r="M256" i="360"/>
  <c r="L256" i="360" s="1"/>
  <c r="M257" i="360"/>
  <c r="L257" i="360" s="1"/>
  <c r="M258" i="360"/>
  <c r="L258" i="360" s="1"/>
  <c r="M259" i="360"/>
  <c r="L259" i="360" s="1"/>
  <c r="M260" i="360"/>
  <c r="L260" i="360" s="1"/>
  <c r="M261" i="360"/>
  <c r="L261" i="360" s="1"/>
  <c r="M262" i="360"/>
  <c r="L262" i="360" s="1"/>
  <c r="M263" i="360"/>
  <c r="L263" i="360" s="1"/>
  <c r="M264" i="360"/>
  <c r="L264" i="360" s="1"/>
  <c r="M265" i="360"/>
  <c r="L265" i="360" s="1"/>
  <c r="M266" i="360"/>
  <c r="L266" i="360" s="1"/>
  <c r="M267" i="360"/>
  <c r="L267" i="360" s="1"/>
  <c r="M268" i="360"/>
  <c r="L268" i="360" s="1"/>
  <c r="M269" i="360"/>
  <c r="L269" i="360" s="1"/>
  <c r="M270" i="360"/>
  <c r="L270" i="360" s="1"/>
  <c r="M271" i="360"/>
  <c r="L271" i="360" s="1"/>
  <c r="M272" i="360"/>
  <c r="L272" i="360" s="1"/>
  <c r="M273" i="360"/>
  <c r="L273" i="360" s="1"/>
  <c r="M274" i="360"/>
  <c r="L274" i="360" s="1"/>
  <c r="M275" i="360"/>
  <c r="L275" i="360" s="1"/>
  <c r="M2" i="360"/>
  <c r="L2" i="360" s="1"/>
  <c r="A4" i="338"/>
  <c r="A8" i="338" s="1" a="1"/>
  <c r="A8" i="338" s="1"/>
  <c r="A15" i="338" s="1" a="1"/>
  <c r="A15" i="338" s="1"/>
  <c r="A8" i="365" l="1" a="1"/>
  <c r="A8" i="365" s="1"/>
  <c r="A15" i="365" s="1" a="1"/>
  <c r="A15" i="365" s="1"/>
  <c r="E3" i="363"/>
  <c r="E1" i="364" a="1"/>
  <c r="A8" i="363" a="1"/>
  <c r="A8" i="363" s="1"/>
  <c r="E4" i="363"/>
  <c r="E2" i="363"/>
  <c r="C2" i="363" a="1"/>
  <c r="C4" i="363" s="1"/>
  <c r="A14" i="368"/>
  <c r="B20" i="368"/>
  <c r="C5" i="365"/>
  <c r="C4" i="365"/>
  <c r="C3" i="365"/>
  <c r="G1" i="364"/>
  <c r="A11" i="338" a="1"/>
  <c r="A11" i="338" s="1"/>
  <c r="A12" i="338" s="1" a="1"/>
  <c r="A12" i="338" s="1"/>
  <c r="A13" i="338" s="1" a="1"/>
  <c r="A13" i="338" s="1"/>
  <c r="A14" i="338" a="1"/>
  <c r="A14" i="338" s="1"/>
  <c r="E1" i="364" l="1"/>
  <c r="F1" i="364"/>
  <c r="H1" i="364"/>
  <c r="E2" i="364" a="1"/>
  <c r="E2" i="364" s="1"/>
  <c r="A14" i="365" a="1"/>
  <c r="A14" i="365" s="1"/>
  <c r="A11" i="365" a="1"/>
  <c r="A11" i="365" s="1"/>
  <c r="A12" i="365" s="1" a="1"/>
  <c r="A12" i="365" s="1"/>
  <c r="A13" i="365" s="1" a="1"/>
  <c r="A13" i="365" s="1"/>
  <c r="H4" i="364"/>
  <c r="G4" i="364"/>
  <c r="F4" i="364"/>
  <c r="H3" i="364"/>
  <c r="G3" i="364"/>
  <c r="F3" i="364"/>
  <c r="H2" i="364"/>
  <c r="G2" i="364"/>
  <c r="F2" i="364"/>
  <c r="G5" i="364"/>
  <c r="F5" i="364"/>
  <c r="H5" i="364"/>
  <c r="C3" i="363"/>
  <c r="C2" i="363"/>
  <c r="C5" i="363"/>
  <c r="A15" i="368"/>
  <c r="B22" i="368" s="1"/>
  <c r="B21" i="368"/>
  <c r="B21" i="328" a="1"/>
  <c r="B21" i="328" s="1"/>
  <c r="T3" i="320" a="1"/>
  <c r="T3" i="320" s="1"/>
  <c r="C14" i="324"/>
  <c r="B14" i="318"/>
  <c r="C13" i="318"/>
  <c r="C14" i="322"/>
  <c r="E3" i="364" l="1"/>
  <c r="E4" i="364"/>
  <c r="E5" i="364"/>
  <c r="C2" i="364" a="1"/>
  <c r="B22" i="328"/>
  <c r="C22" i="328"/>
  <c r="C23" i="328"/>
  <c r="C21" i="328"/>
  <c r="B23" i="328"/>
  <c r="T5" i="320"/>
  <c r="T4" i="320"/>
  <c r="J14" i="360"/>
  <c r="J15" i="360"/>
  <c r="H12" i="360"/>
  <c r="I12" i="360"/>
  <c r="H13" i="360"/>
  <c r="J13" i="360" s="1"/>
  <c r="I13" i="360"/>
  <c r="A15" i="359"/>
  <c r="C3" i="357"/>
  <c r="C4" i="357"/>
  <c r="C5" i="357"/>
  <c r="C6" i="357"/>
  <c r="C6" i="360"/>
  <c r="C5" i="360"/>
  <c r="C4" i="360"/>
  <c r="C3" i="360"/>
  <c r="B9" i="360" s="1"/>
  <c r="A11" i="359"/>
  <c r="A16" i="359" s="1"/>
  <c r="B16" i="359" s="1"/>
  <c r="D7" i="359"/>
  <c r="A14" i="358"/>
  <c r="A13" i="358"/>
  <c r="A12" i="358"/>
  <c r="B12" i="358" s="1" a="1"/>
  <c r="B12" i="358" s="1"/>
  <c r="A11" i="358"/>
  <c r="B11" i="358" s="1" a="1"/>
  <c r="B11" i="358" s="1"/>
  <c r="B10" i="356"/>
  <c r="B5" i="356"/>
  <c r="B9" i="356"/>
  <c r="B4" i="356"/>
  <c r="B8" i="356"/>
  <c r="B3" i="356"/>
  <c r="J12" i="360" l="1"/>
  <c r="B10" i="360"/>
  <c r="B12" i="357"/>
  <c r="C3" i="364"/>
  <c r="C2" i="364"/>
  <c r="C5" i="364"/>
  <c r="C4" i="364"/>
  <c r="A9" i="360"/>
  <c r="B12" i="360"/>
  <c r="A10" i="360"/>
  <c r="B11" i="360"/>
  <c r="A12" i="360"/>
  <c r="A11" i="360"/>
  <c r="A18" i="359"/>
  <c r="A20" i="359"/>
  <c r="B20" i="359" s="1"/>
  <c r="A17" i="359"/>
  <c r="B17" i="359" s="1"/>
  <c r="A19" i="359"/>
  <c r="A21" i="359"/>
  <c r="B21" i="359" s="1"/>
  <c r="B13" i="358" a="1"/>
  <c r="B13" i="358" s="1"/>
  <c r="B14" i="358" a="1"/>
  <c r="B14" i="358" s="1"/>
  <c r="B10" i="357"/>
  <c r="A9" i="357"/>
  <c r="B9" i="357"/>
  <c r="A10" i="357"/>
  <c r="B11" i="357"/>
  <c r="A12" i="357"/>
  <c r="A11" i="357"/>
  <c r="B19" i="359" l="1"/>
  <c r="B18" i="359"/>
  <c r="E13" i="355" l="1" a="1"/>
  <c r="E13" i="355" s="1"/>
  <c r="E18" i="355" s="1" a="1"/>
  <c r="E18" i="355" s="1"/>
  <c r="F18" i="355" s="1"/>
  <c r="B12" i="354" a="1"/>
  <c r="B12" i="354" s="1"/>
  <c r="V2" i="354"/>
  <c r="U2" i="354"/>
  <c r="E2" i="352" a="1"/>
  <c r="E2" i="352" s="1"/>
  <c r="E24" i="355" l="1" a="1"/>
  <c r="E24" i="355" s="1"/>
  <c r="F24" i="355" s="1"/>
  <c r="E16" i="355" a="1"/>
  <c r="E16" i="355" s="1"/>
  <c r="F16" i="355" s="1"/>
  <c r="E23" i="355" a="1"/>
  <c r="E23" i="355" s="1"/>
  <c r="F23" i="355" s="1"/>
  <c r="E19" i="355" a="1"/>
  <c r="E19" i="355" s="1"/>
  <c r="F19" i="355" s="1"/>
  <c r="E15" i="355" a="1"/>
  <c r="E15" i="355" s="1"/>
  <c r="F15" i="355" s="1"/>
  <c r="E21" i="355" a="1"/>
  <c r="E21" i="355" s="1"/>
  <c r="F21" i="355" s="1"/>
  <c r="E17" i="355" a="1"/>
  <c r="E17" i="355" s="1"/>
  <c r="F17" i="355" s="1"/>
  <c r="E20" i="355" a="1"/>
  <c r="E20" i="355" s="1"/>
  <c r="F20" i="355" s="1"/>
  <c r="E22" i="355" a="1"/>
  <c r="E22" i="355" s="1"/>
  <c r="F22" i="355" s="1"/>
  <c r="B18" i="354" a="1"/>
  <c r="B18" i="354" s="1"/>
  <c r="B17" i="354" a="1"/>
  <c r="B17" i="354" s="1"/>
  <c r="B16" i="354" a="1"/>
  <c r="B16" i="354" s="1"/>
  <c r="D15" i="354" a="1"/>
  <c r="D15" i="354" s="1"/>
  <c r="D18" i="354" a="1"/>
  <c r="D18" i="354" s="1"/>
  <c r="D17" i="354" a="1"/>
  <c r="D17" i="354" s="1"/>
  <c r="D16" i="354" a="1"/>
  <c r="D16" i="354" s="1"/>
  <c r="B15" i="354" a="1"/>
  <c r="B15" i="354" s="1"/>
  <c r="C18" i="354" a="1"/>
  <c r="C18" i="354" s="1"/>
  <c r="A18" i="354" a="1"/>
  <c r="A18" i="354" s="1"/>
  <c r="C17" i="354" a="1"/>
  <c r="C17" i="354" s="1"/>
  <c r="A17" i="354" a="1"/>
  <c r="A17" i="354" s="1"/>
  <c r="C16" i="354" a="1"/>
  <c r="C16" i="354" s="1"/>
  <c r="A16" i="354" a="1"/>
  <c r="A16" i="354" s="1"/>
  <c r="C15" i="354" a="1"/>
  <c r="C15" i="354" s="1"/>
  <c r="A15" i="354" a="1"/>
  <c r="A15" i="354" s="1"/>
  <c r="E11" i="352" a="1"/>
  <c r="E11" i="352" s="1"/>
  <c r="E6" i="352" a="1"/>
  <c r="E6" i="352" s="1"/>
  <c r="E8" i="352" a="1"/>
  <c r="E8" i="352" s="1"/>
  <c r="E10" i="352" a="1"/>
  <c r="E10" i="352" s="1"/>
  <c r="E12" i="352" a="1"/>
  <c r="E12" i="352" s="1"/>
  <c r="E7" i="352" a="1"/>
  <c r="E7" i="352" s="1"/>
  <c r="E9" i="352" a="1"/>
  <c r="E9" i="352" s="1"/>
  <c r="E13" i="352" a="1"/>
  <c r="E13" i="352" s="1"/>
  <c r="E6" i="348" l="1" a="1"/>
  <c r="E6" i="348" s="1"/>
  <c r="E11" i="348" a="1"/>
  <c r="E11" i="348" s="1"/>
  <c r="E13" i="348" a="1"/>
  <c r="E13" i="348" s="1"/>
  <c r="E9" i="348" a="1"/>
  <c r="E9" i="348" s="1"/>
  <c r="E7" i="348" a="1"/>
  <c r="E7" i="348" s="1"/>
  <c r="E8" i="348" a="1"/>
  <c r="E8" i="348" s="1"/>
  <c r="E14" i="348" a="1"/>
  <c r="E14" i="348" s="1"/>
  <c r="E12" i="348" a="1"/>
  <c r="E12" i="348" s="1"/>
  <c r="E10" i="348" a="1"/>
  <c r="E10" i="348" s="1"/>
  <c r="E5" i="348" a="1"/>
  <c r="E5" i="348" s="1"/>
  <c r="E2" i="347" a="1"/>
  <c r="E2" i="347" s="1"/>
  <c r="D2" i="344"/>
  <c r="D3" i="344" s="1"/>
  <c r="D4" i="344" s="1"/>
  <c r="D5" i="344" s="1"/>
  <c r="D6" i="344" s="1"/>
  <c r="D7" i="344" s="1"/>
  <c r="D8" i="344" s="1"/>
  <c r="D9" i="344" s="1"/>
  <c r="T2" i="342"/>
  <c r="S2" i="342"/>
  <c r="E2" i="340"/>
  <c r="V2" i="340"/>
  <c r="U2" i="340"/>
  <c r="U2" i="339"/>
  <c r="T2" i="339"/>
  <c r="F2" i="337"/>
  <c r="F3" i="337"/>
  <c r="F4" i="337"/>
  <c r="F5" i="337"/>
  <c r="F6" i="337"/>
  <c r="T2" i="337"/>
  <c r="S2" i="337"/>
  <c r="E3" i="340" l="1"/>
  <c r="E4" i="340" s="1"/>
  <c r="E5" i="340" s="1"/>
  <c r="E6" i="340" s="1"/>
  <c r="E7" i="340" s="1"/>
  <c r="E8" i="340" s="1"/>
  <c r="E9" i="340" s="1"/>
  <c r="E10" i="340" s="1"/>
  <c r="E6" i="347" a="1"/>
  <c r="E6" i="347" s="1"/>
  <c r="E9" i="347" a="1"/>
  <c r="E9" i="347" s="1"/>
  <c r="E7" i="347" a="1"/>
  <c r="E7" i="347" s="1"/>
  <c r="E5" i="347" a="1"/>
  <c r="E5" i="347" s="1"/>
  <c r="E8" i="347" a="1"/>
  <c r="E8" i="347" s="1"/>
  <c r="D12" i="344"/>
  <c r="B12" i="340" l="1"/>
  <c r="D15" i="344"/>
  <c r="D19" i="344"/>
  <c r="D16" i="344"/>
  <c r="D20" i="344"/>
  <c r="D17" i="344"/>
  <c r="D21" i="344"/>
  <c r="D18" i="344"/>
  <c r="C18" i="340" l="1"/>
  <c r="C15" i="340"/>
  <c r="C16" i="340"/>
  <c r="C17" i="340"/>
  <c r="B15" i="340"/>
  <c r="D18" i="340"/>
  <c r="D15" i="340"/>
  <c r="D16" i="340"/>
  <c r="D17" i="340"/>
  <c r="A18" i="340"/>
  <c r="A15" i="340"/>
  <c r="A16" i="340"/>
  <c r="A17" i="340"/>
  <c r="B18" i="340"/>
  <c r="B16" i="340"/>
  <c r="B17" i="340"/>
  <c r="Y19" i="336"/>
  <c r="X19" i="336"/>
  <c r="AE19" i="336" s="1"/>
  <c r="V19" i="336"/>
  <c r="U19" i="336"/>
  <c r="S19" i="336"/>
  <c r="R19" i="336"/>
  <c r="Y18" i="336"/>
  <c r="AF18" i="336" s="1"/>
  <c r="X18" i="336"/>
  <c r="V18" i="336"/>
  <c r="U18" i="336"/>
  <c r="S18" i="336"/>
  <c r="R18" i="336"/>
  <c r="Y17" i="336"/>
  <c r="AF17" i="336" s="1"/>
  <c r="X17" i="336"/>
  <c r="V17" i="336"/>
  <c r="U17" i="336"/>
  <c r="S17" i="336"/>
  <c r="R17" i="336"/>
  <c r="D7" i="336"/>
  <c r="D8" i="336" s="1" a="1"/>
  <c r="D8" i="336" s="1"/>
  <c r="D6" i="335"/>
  <c r="D8" i="335" s="1" a="1"/>
  <c r="D8" i="335" s="1"/>
  <c r="F5" i="335"/>
  <c r="F4" i="335"/>
  <c r="F3" i="335"/>
  <c r="F3" i="334"/>
  <c r="F4" i="334"/>
  <c r="F5" i="334"/>
  <c r="D6" i="334"/>
  <c r="D8" i="334"/>
  <c r="V19" i="334"/>
  <c r="AD21" i="334" s="1"/>
  <c r="AD40" i="334" s="1"/>
  <c r="U19" i="334"/>
  <c r="U27" i="334" s="1"/>
  <c r="S19" i="334"/>
  <c r="R19" i="334"/>
  <c r="P19" i="334"/>
  <c r="O19" i="334"/>
  <c r="V18" i="334"/>
  <c r="AD20" i="334" s="1"/>
  <c r="AD39" i="334" s="1"/>
  <c r="U18" i="334"/>
  <c r="AC20" i="334" s="1"/>
  <c r="AC39" i="334" s="1"/>
  <c r="S18" i="334"/>
  <c r="R18" i="334"/>
  <c r="P18" i="334"/>
  <c r="O18" i="334"/>
  <c r="V17" i="334"/>
  <c r="AD19" i="334" s="1"/>
  <c r="AD38" i="334" s="1"/>
  <c r="U17" i="334"/>
  <c r="AC19" i="334" s="1"/>
  <c r="AC38" i="334" s="1"/>
  <c r="S17" i="334"/>
  <c r="R17" i="334"/>
  <c r="P17" i="334"/>
  <c r="O17" i="334"/>
  <c r="P4" i="165"/>
  <c r="Q4" i="165"/>
  <c r="P5" i="165"/>
  <c r="Q5" i="165"/>
  <c r="P6" i="165"/>
  <c r="Q6" i="165"/>
  <c r="M4" i="165"/>
  <c r="N4" i="165"/>
  <c r="M5" i="165"/>
  <c r="N5" i="165"/>
  <c r="M6" i="165"/>
  <c r="N6" i="165"/>
  <c r="J4" i="165"/>
  <c r="K4" i="165"/>
  <c r="J5" i="165"/>
  <c r="K5" i="165"/>
  <c r="J6" i="165"/>
  <c r="K6" i="165"/>
  <c r="X17" i="332"/>
  <c r="AE17" i="332" s="1"/>
  <c r="Y17" i="332"/>
  <c r="AF17" i="332" s="1"/>
  <c r="X18" i="332"/>
  <c r="Y18" i="332"/>
  <c r="AF18" i="332" s="1"/>
  <c r="X19" i="332"/>
  <c r="AE19" i="332" s="1"/>
  <c r="Y19" i="332"/>
  <c r="AF19" i="332" s="1"/>
  <c r="U18" i="332"/>
  <c r="V18" i="332"/>
  <c r="U19" i="332"/>
  <c r="V19" i="332"/>
  <c r="V17" i="332"/>
  <c r="U17" i="332"/>
  <c r="R17" i="332"/>
  <c r="S17" i="332"/>
  <c r="R18" i="332"/>
  <c r="S18" i="332"/>
  <c r="R19" i="332"/>
  <c r="S19" i="332"/>
  <c r="D6" i="332"/>
  <c r="D8" i="332" s="1"/>
  <c r="F5" i="332"/>
  <c r="F4" i="332"/>
  <c r="F3" i="332"/>
  <c r="AC18" i="332" l="1"/>
  <c r="G4" i="335"/>
  <c r="H4" i="335" s="1"/>
  <c r="I4" i="335" s="1"/>
  <c r="AC18" i="336"/>
  <c r="AH17" i="332"/>
  <c r="G5" i="335"/>
  <c r="H5" i="335" s="1"/>
  <c r="I5" i="335" s="1"/>
  <c r="AA17" i="336"/>
  <c r="G3" i="335"/>
  <c r="H3" i="335" s="1"/>
  <c r="I3" i="335" s="1"/>
  <c r="AC17" i="336"/>
  <c r="AA19" i="336"/>
  <c r="AE18" i="336"/>
  <c r="AH18" i="336" s="1"/>
  <c r="AF19" i="336"/>
  <c r="AH19" i="336" s="1"/>
  <c r="AE17" i="336"/>
  <c r="AH17" i="336" s="1"/>
  <c r="AA18" i="336"/>
  <c r="AC19" i="336"/>
  <c r="G4" i="332"/>
  <c r="H4" i="332" s="1"/>
  <c r="I4" i="332" s="1"/>
  <c r="G5" i="332"/>
  <c r="H5" i="332" s="1"/>
  <c r="I5" i="332" s="1"/>
  <c r="G3" i="332"/>
  <c r="H3" i="332" s="1"/>
  <c r="I3" i="332" s="1"/>
  <c r="V26" i="334"/>
  <c r="U26" i="334"/>
  <c r="V27" i="334"/>
  <c r="Z27" i="334" s="1"/>
  <c r="V25" i="334"/>
  <c r="U25" i="334"/>
  <c r="G5" i="334"/>
  <c r="H5" i="334" s="1"/>
  <c r="I5" i="334" s="1"/>
  <c r="G4" i="334"/>
  <c r="H4" i="334" s="1"/>
  <c r="I4" i="334" s="1"/>
  <c r="G3" i="334"/>
  <c r="H3" i="334" s="1"/>
  <c r="I3" i="334" s="1"/>
  <c r="AI20" i="334"/>
  <c r="AI19" i="334"/>
  <c r="Z18" i="334"/>
  <c r="X19" i="334"/>
  <c r="X17" i="334"/>
  <c r="Z17" i="334"/>
  <c r="AC21" i="334"/>
  <c r="X18" i="334"/>
  <c r="Z19" i="334"/>
  <c r="AH19" i="332"/>
  <c r="AC17" i="332"/>
  <c r="AC19" i="332"/>
  <c r="AA18" i="332"/>
  <c r="AE18" i="332"/>
  <c r="AH18" i="332" s="1"/>
  <c r="AA17" i="332"/>
  <c r="AA19" i="332"/>
  <c r="X27" i="334" l="1"/>
  <c r="I6" i="332"/>
  <c r="I7" i="332" s="1"/>
  <c r="I6" i="335"/>
  <c r="I7" i="335" s="1"/>
  <c r="Z26" i="334"/>
  <c r="X26" i="334"/>
  <c r="X25" i="334"/>
  <c r="Z25" i="334"/>
  <c r="AI21" i="334"/>
  <c r="AC40" i="334"/>
  <c r="AI38" i="334" s="1" a="1"/>
  <c r="I6" i="334"/>
  <c r="I7" i="334" s="1"/>
  <c r="G6" i="327" a="1"/>
  <c r="G6" i="327" s="1"/>
  <c r="P3" i="327" a="1"/>
  <c r="Q4" i="327" s="1"/>
  <c r="D2" i="327" a="1"/>
  <c r="D2" i="327" s="1"/>
  <c r="B2" i="325" a="1"/>
  <c r="B2" i="325" s="1"/>
  <c r="G3" i="320"/>
  <c r="G4" i="320"/>
  <c r="G5" i="320"/>
  <c r="Q3" i="320" a="1"/>
  <c r="Q4" i="320" s="1"/>
  <c r="C8" i="320" s="1"/>
  <c r="O8" i="320"/>
  <c r="M8" i="320"/>
  <c r="K8" i="320"/>
  <c r="I8" i="320"/>
  <c r="D6" i="328"/>
  <c r="F5" i="328"/>
  <c r="F4" i="328"/>
  <c r="F3" i="328"/>
  <c r="D9" i="319"/>
  <c r="D10" i="319"/>
  <c r="I3" i="319"/>
  <c r="M3" i="319"/>
  <c r="K3" i="319"/>
  <c r="G3" i="319"/>
  <c r="A10" i="326" a="1"/>
  <c r="D10" i="326" s="1"/>
  <c r="M3" i="326"/>
  <c r="K3" i="326"/>
  <c r="I3" i="326"/>
  <c r="G3" i="326"/>
  <c r="C10" i="320" l="1"/>
  <c r="C9" i="320"/>
  <c r="G8" i="326"/>
  <c r="I6" i="326"/>
  <c r="AI40" i="334"/>
  <c r="AI39" i="334"/>
  <c r="AI38" i="334"/>
  <c r="G5" i="328"/>
  <c r="H5" i="328" s="1"/>
  <c r="I5" i="328" s="1"/>
  <c r="G3" i="328"/>
  <c r="H3" i="328" s="1"/>
  <c r="I3" i="328" s="1"/>
  <c r="G4" i="328"/>
  <c r="H4" i="328" s="1"/>
  <c r="I4" i="328" s="1"/>
  <c r="H6" i="327"/>
  <c r="G7" i="327"/>
  <c r="H7" i="327"/>
  <c r="Q3" i="327"/>
  <c r="P3" i="327"/>
  <c r="P4" i="327"/>
  <c r="E3" i="327"/>
  <c r="E2" i="327"/>
  <c r="D3" i="327"/>
  <c r="K11" i="325"/>
  <c r="G11" i="325"/>
  <c r="C11" i="325"/>
  <c r="I10" i="325"/>
  <c r="E10" i="325"/>
  <c r="K9" i="325"/>
  <c r="G9" i="325"/>
  <c r="C9" i="325"/>
  <c r="I8" i="325"/>
  <c r="E8" i="325"/>
  <c r="K7" i="325"/>
  <c r="G7" i="325"/>
  <c r="C7" i="325"/>
  <c r="I6" i="325"/>
  <c r="E6" i="325"/>
  <c r="K5" i="325"/>
  <c r="G5" i="325"/>
  <c r="C5" i="325"/>
  <c r="I4" i="325"/>
  <c r="E4" i="325"/>
  <c r="K3" i="325"/>
  <c r="G3" i="325"/>
  <c r="C3" i="325"/>
  <c r="I2" i="325"/>
  <c r="E2" i="325"/>
  <c r="J11" i="325"/>
  <c r="F11" i="325"/>
  <c r="B11" i="325"/>
  <c r="H10" i="325"/>
  <c r="D10" i="325"/>
  <c r="J9" i="325"/>
  <c r="F9" i="325"/>
  <c r="B9" i="325"/>
  <c r="H8" i="325"/>
  <c r="D8" i="325"/>
  <c r="J7" i="325"/>
  <c r="F7" i="325"/>
  <c r="B7" i="325"/>
  <c r="H6" i="325"/>
  <c r="D6" i="325"/>
  <c r="J5" i="325"/>
  <c r="F5" i="325"/>
  <c r="B5" i="325"/>
  <c r="H4" i="325"/>
  <c r="D4" i="325"/>
  <c r="J3" i="325"/>
  <c r="F3" i="325"/>
  <c r="B3" i="325"/>
  <c r="H2" i="325"/>
  <c r="D2" i="325"/>
  <c r="I11" i="325"/>
  <c r="E11" i="325"/>
  <c r="K10" i="325"/>
  <c r="G10" i="325"/>
  <c r="C10" i="325"/>
  <c r="I9" i="325"/>
  <c r="E9" i="325"/>
  <c r="K8" i="325"/>
  <c r="G8" i="325"/>
  <c r="C8" i="325"/>
  <c r="I7" i="325"/>
  <c r="E7" i="325"/>
  <c r="K6" i="325"/>
  <c r="G6" i="325"/>
  <c r="C6" i="325"/>
  <c r="I5" i="325"/>
  <c r="E5" i="325"/>
  <c r="K4" i="325"/>
  <c r="G4" i="325"/>
  <c r="C4" i="325"/>
  <c r="I3" i="325"/>
  <c r="E3" i="325"/>
  <c r="K2" i="325"/>
  <c r="G2" i="325"/>
  <c r="C2" i="325"/>
  <c r="H11" i="325"/>
  <c r="D11" i="325"/>
  <c r="J10" i="325"/>
  <c r="F10" i="325"/>
  <c r="B10" i="325"/>
  <c r="H9" i="325"/>
  <c r="D9" i="325"/>
  <c r="J8" i="325"/>
  <c r="F8" i="325"/>
  <c r="B8" i="325"/>
  <c r="H7" i="325"/>
  <c r="D7" i="325"/>
  <c r="J6" i="325"/>
  <c r="F6" i="325"/>
  <c r="B6" i="325"/>
  <c r="H5" i="325"/>
  <c r="D5" i="325"/>
  <c r="J4" i="325"/>
  <c r="F4" i="325"/>
  <c r="B4" i="325"/>
  <c r="H3" i="325"/>
  <c r="D3" i="325"/>
  <c r="J2" i="325"/>
  <c r="F2" i="325"/>
  <c r="G7" i="319"/>
  <c r="Q3" i="320"/>
  <c r="K11" i="320"/>
  <c r="Q5" i="320"/>
  <c r="I13" i="320"/>
  <c r="I5" i="319"/>
  <c r="B11" i="326"/>
  <c r="C10" i="326"/>
  <c r="E11" i="326"/>
  <c r="A11" i="326"/>
  <c r="B10" i="326"/>
  <c r="E10" i="326"/>
  <c r="A10" i="326"/>
  <c r="D11" i="326"/>
  <c r="C11" i="326"/>
  <c r="E8" i="320" l="1"/>
  <c r="E9" i="320"/>
  <c r="E10" i="320"/>
  <c r="A9" i="320"/>
  <c r="A10" i="320"/>
  <c r="G8" i="320" a="1"/>
  <c r="A8" i="320"/>
  <c r="I6" i="328"/>
  <c r="I7" i="328" s="1"/>
  <c r="S3" i="327" a="1"/>
  <c r="G2" i="327" a="1"/>
  <c r="H2" i="327" s="1"/>
  <c r="G9" i="320" l="1"/>
  <c r="G8" i="320"/>
  <c r="G10" i="320"/>
  <c r="S4" i="327"/>
  <c r="T3" i="327"/>
  <c r="S3" i="327"/>
  <c r="T4" i="327"/>
  <c r="H3" i="327"/>
  <c r="G3" i="327"/>
  <c r="G2" i="327"/>
  <c r="S5" i="325" l="1"/>
  <c r="Q5" i="325"/>
  <c r="O5" i="325"/>
  <c r="M5" i="325"/>
  <c r="B15" i="324" a="1"/>
  <c r="B15" i="324" s="1"/>
  <c r="C17" i="324"/>
  <c r="B17" i="324"/>
  <c r="B14" i="324"/>
  <c r="L5" i="324"/>
  <c r="J5" i="324"/>
  <c r="H5" i="324"/>
  <c r="F5" i="324"/>
  <c r="B15" i="322" a="1"/>
  <c r="B15" i="322" s="1"/>
  <c r="A6" i="323"/>
  <c r="C14" i="318"/>
  <c r="C17" i="322"/>
  <c r="B17" i="322"/>
  <c r="B14" i="322"/>
  <c r="L5" i="322"/>
  <c r="J5" i="322"/>
  <c r="H5" i="322"/>
  <c r="F5" i="322"/>
  <c r="N5" i="317"/>
  <c r="L5" i="317"/>
  <c r="J5" i="317"/>
  <c r="H5" i="317"/>
  <c r="B14" i="317"/>
  <c r="F6" i="317" l="1" a="1"/>
  <c r="F6" i="317" s="1"/>
  <c r="F7" i="317" a="1"/>
  <c r="F7" i="317" s="1"/>
  <c r="F5" i="317" a="1"/>
  <c r="F5" i="317" s="1"/>
  <c r="O8" i="325"/>
  <c r="M10" i="325"/>
  <c r="C15" i="324"/>
  <c r="C15" i="322"/>
  <c r="F17" i="317"/>
  <c r="F4" i="317" a="1"/>
  <c r="F4" i="317" s="1"/>
  <c r="F16" i="317"/>
  <c r="F15" i="317"/>
  <c r="F14" i="317"/>
  <c r="B13" i="318"/>
  <c r="D4" i="316" l="1"/>
  <c r="D5" i="316"/>
  <c r="D6" i="316"/>
  <c r="D7" i="316"/>
  <c r="D8" i="316"/>
  <c r="D3" i="316"/>
  <c r="A13" i="316" a="1"/>
  <c r="A13" i="316" s="1"/>
  <c r="D15" i="316"/>
  <c r="A11" i="316" l="1"/>
  <c r="B4" i="315"/>
  <c r="B5" i="315"/>
  <c r="B6" i="315"/>
  <c r="B7" i="315"/>
  <c r="B8" i="315"/>
  <c r="B9" i="315"/>
  <c r="B10" i="315"/>
  <c r="B3" i="315"/>
  <c r="B12" i="315" l="1"/>
  <c r="A15" i="314"/>
  <c r="A12" i="314" a="1"/>
  <c r="A12" i="314" s="1"/>
  <c r="C13" i="313"/>
  <c r="C8" i="313"/>
  <c r="C11" i="313"/>
  <c r="C6" i="313"/>
  <c r="A19" i="311"/>
  <c r="A15" i="311" a="1"/>
  <c r="A15" i="311" s="1"/>
  <c r="A14" i="311" l="1"/>
  <c r="A12" i="310" l="1" a="1"/>
  <c r="A12" i="310" s="1"/>
  <c r="A13" i="310"/>
  <c r="A11" i="310" l="1"/>
  <c r="A13" i="309" l="1"/>
  <c r="A12" i="309"/>
  <c r="A11" i="309"/>
  <c r="A13" i="312"/>
  <c r="A12" i="312"/>
  <c r="A11" i="312"/>
  <c r="B11" i="308" l="1"/>
  <c r="B10" i="308"/>
  <c r="D10" i="307" l="1"/>
  <c r="F10" i="307" s="1"/>
  <c r="D5" i="307"/>
  <c r="E5" i="307" s="1"/>
  <c r="F5" i="307" l="1"/>
  <c r="C11" i="307"/>
  <c r="E10" i="307"/>
  <c r="C6" i="307"/>
  <c r="D11" i="307" l="1"/>
  <c r="D6" i="307"/>
  <c r="C7" i="307" s="1"/>
  <c r="E6" i="307" l="1"/>
  <c r="F6" i="307"/>
  <c r="C12" i="307"/>
  <c r="F11" i="307"/>
  <c r="D12" i="307"/>
  <c r="F12" i="307" s="1"/>
  <c r="E11" i="307"/>
  <c r="D7" i="307"/>
  <c r="F7" i="307" s="1"/>
  <c r="E7" i="307"/>
  <c r="E12" i="307" l="1"/>
  <c r="E17" i="306" l="1"/>
  <c r="D17" i="306"/>
  <c r="E16" i="306"/>
  <c r="D16" i="306"/>
  <c r="E15" i="306"/>
  <c r="D15" i="306"/>
  <c r="E14" i="306"/>
  <c r="D14" i="306"/>
  <c r="E11" i="306"/>
  <c r="D11" i="306"/>
  <c r="E10" i="306"/>
  <c r="D10" i="306"/>
  <c r="E9" i="306"/>
  <c r="D9" i="306"/>
  <c r="E8" i="306"/>
  <c r="D8" i="306"/>
  <c r="D5" i="306"/>
  <c r="D4" i="306"/>
  <c r="D3" i="306"/>
  <c r="E2" i="306" a="1"/>
  <c r="E4" i="306" s="1"/>
  <c r="D2" i="306"/>
  <c r="C8" i="305"/>
  <c r="C7" i="305"/>
  <c r="C6" i="305"/>
  <c r="C5" i="305"/>
  <c r="C4" i="305"/>
  <c r="C3" i="305"/>
  <c r="D3" i="305" a="1"/>
  <c r="D8" i="305" s="1"/>
  <c r="E2" i="306" l="1"/>
  <c r="F1" i="307"/>
  <c r="F2" i="307"/>
  <c r="E5" i="306"/>
  <c r="E3" i="306"/>
  <c r="D3" i="305"/>
  <c r="D7" i="305"/>
  <c r="D5" i="305"/>
  <c r="D6" i="305"/>
  <c r="D4" i="305"/>
  <c r="E8" i="304"/>
  <c r="E7" i="304"/>
  <c r="E6" i="304"/>
  <c r="E5" i="304"/>
  <c r="E4" i="304"/>
  <c r="E3" i="304"/>
  <c r="D3" i="304" a="1"/>
  <c r="D8" i="304" s="1"/>
  <c r="D3" i="303" a="1"/>
  <c r="D7" i="303" s="1"/>
  <c r="D3" i="300" a="1"/>
  <c r="E3" i="300" s="1"/>
  <c r="D3" i="302" a="1"/>
  <c r="D10" i="302" s="1"/>
  <c r="E8" i="301"/>
  <c r="E7" i="301"/>
  <c r="E6" i="301"/>
  <c r="E5" i="301"/>
  <c r="E4" i="301"/>
  <c r="F3" i="301" a="1"/>
  <c r="F6" i="301" s="1"/>
  <c r="E3" i="301"/>
  <c r="D5" i="304" l="1"/>
  <c r="D3" i="304"/>
  <c r="D7" i="304"/>
  <c r="D6" i="304"/>
  <c r="D4" i="304"/>
  <c r="D4" i="303"/>
  <c r="D8" i="303"/>
  <c r="D5" i="303"/>
  <c r="D6" i="303"/>
  <c r="D3" i="303"/>
  <c r="F3" i="300"/>
  <c r="H3" i="300"/>
  <c r="D3" i="300"/>
  <c r="G3" i="300"/>
  <c r="I3" i="300"/>
  <c r="D4" i="302"/>
  <c r="D8" i="302"/>
  <c r="D5" i="302"/>
  <c r="D9" i="302"/>
  <c r="D3" i="302"/>
  <c r="D7" i="302"/>
  <c r="D6" i="302"/>
  <c r="F7" i="301"/>
  <c r="F5" i="301"/>
  <c r="F3" i="301"/>
  <c r="F8" i="301"/>
  <c r="F4" i="301"/>
  <c r="E5" i="298" a="1"/>
  <c r="E6" i="298" s="1"/>
  <c r="D16" i="298"/>
  <c r="D15" i="298"/>
  <c r="D14" i="298"/>
  <c r="D10" i="298"/>
  <c r="D9" i="298"/>
  <c r="D8" i="298"/>
  <c r="D7" i="298"/>
  <c r="D6" i="298"/>
  <c r="D5" i="298"/>
  <c r="E9" i="298" l="1"/>
  <c r="E5" i="298"/>
  <c r="E8" i="298"/>
  <c r="E7" i="298"/>
  <c r="E10" i="298"/>
  <c r="I5" i="297" l="1"/>
  <c r="G9" i="297" s="1"/>
  <c r="G3" i="296"/>
  <c r="L12" i="296" s="1"/>
  <c r="E18" i="295"/>
  <c r="E24" i="295" s="1" a="1"/>
  <c r="E24" i="295" s="1"/>
  <c r="E11" i="295" a="1"/>
  <c r="E11" i="295" s="1"/>
  <c r="E5" i="295"/>
  <c r="E9" i="295" s="1" a="1"/>
  <c r="E9" i="295" s="1"/>
  <c r="E26" i="295" l="1" a="1"/>
  <c r="E26" i="295" s="1"/>
  <c r="E13" i="295" a="1"/>
  <c r="E13" i="295" s="1"/>
  <c r="E25" i="295" a="1"/>
  <c r="E25" i="295" s="1"/>
  <c r="E10" i="295" a="1"/>
  <c r="E10" i="295" s="1"/>
  <c r="E23" i="295" a="1"/>
  <c r="E23" i="295" s="1"/>
  <c r="E12" i="295" a="1"/>
  <c r="E12" i="295" s="1"/>
  <c r="E22" i="295" a="1"/>
  <c r="E22" i="295" s="1"/>
  <c r="G8" i="297"/>
  <c r="H18" i="297"/>
  <c r="G17" i="297"/>
  <c r="I15" i="297"/>
  <c r="H14" i="297"/>
  <c r="G13" i="297"/>
  <c r="I11" i="297"/>
  <c r="H10" i="297"/>
  <c r="I8" i="297"/>
  <c r="G18" i="297"/>
  <c r="I16" i="297"/>
  <c r="H15" i="297"/>
  <c r="G14" i="297"/>
  <c r="I12" i="297"/>
  <c r="H11" i="297"/>
  <c r="G10" i="297"/>
  <c r="H8" i="297"/>
  <c r="I17" i="297"/>
  <c r="H16" i="297"/>
  <c r="G15" i="297"/>
  <c r="I13" i="297"/>
  <c r="H12" i="297"/>
  <c r="G11" i="297"/>
  <c r="I9" i="297"/>
  <c r="I18" i="297"/>
  <c r="H17" i="297"/>
  <c r="G16" i="297"/>
  <c r="I14" i="297"/>
  <c r="H13" i="297"/>
  <c r="G12" i="297"/>
  <c r="I10" i="297"/>
  <c r="H9" i="297"/>
  <c r="L15" i="296"/>
  <c r="L11" i="296"/>
  <c r="L18" i="296"/>
  <c r="L14" i="296"/>
  <c r="L10" i="296"/>
  <c r="H10" i="296" s="1"/>
  <c r="L17" i="296"/>
  <c r="L13" i="296"/>
  <c r="L16" i="296"/>
  <c r="F5" i="294"/>
  <c r="C4" i="294"/>
  <c r="H14" i="294" l="1"/>
  <c r="G11" i="294"/>
  <c r="J10" i="296"/>
  <c r="I10" i="296"/>
  <c r="G10" i="296"/>
  <c r="J11" i="296"/>
  <c r="G11" i="296"/>
  <c r="H11" i="296"/>
  <c r="I11" i="296"/>
  <c r="G14" i="296"/>
  <c r="H14" i="296"/>
  <c r="I14" i="296"/>
  <c r="J14" i="296"/>
  <c r="I12" i="296"/>
  <c r="J12" i="296"/>
  <c r="G12" i="296"/>
  <c r="H12" i="296"/>
  <c r="G18" i="296"/>
  <c r="H18" i="296"/>
  <c r="I18" i="296"/>
  <c r="J18" i="296"/>
  <c r="I16" i="296"/>
  <c r="J16" i="296"/>
  <c r="G16" i="296"/>
  <c r="H16" i="296"/>
  <c r="H13" i="296"/>
  <c r="I13" i="296"/>
  <c r="J13" i="296"/>
  <c r="G13" i="296"/>
  <c r="J15" i="296"/>
  <c r="G15" i="296"/>
  <c r="H15" i="296"/>
  <c r="I15" i="296"/>
  <c r="H17" i="296"/>
  <c r="I17" i="296"/>
  <c r="J17" i="296"/>
  <c r="G17" i="296"/>
  <c r="G12" i="294"/>
  <c r="H13" i="294"/>
  <c r="G13" i="294"/>
  <c r="H12" i="294"/>
  <c r="G14" i="294"/>
  <c r="H11" i="294"/>
  <c r="G6" i="293" l="1" a="1"/>
  <c r="G6" i="293" s="1"/>
  <c r="F14" i="293" l="1" a="1"/>
  <c r="F14" i="293" s="1"/>
  <c r="F11" i="293" a="1"/>
  <c r="F11" i="293" s="1"/>
  <c r="G16" i="293" a="1"/>
  <c r="G16" i="293" s="1"/>
  <c r="F15" i="293" a="1"/>
  <c r="F15" i="293" s="1"/>
  <c r="G12" i="293" a="1"/>
  <c r="G12" i="293" s="1"/>
  <c r="F16" i="293" a="1"/>
  <c r="F16" i="293" s="1"/>
  <c r="G13" i="293" a="1"/>
  <c r="G13" i="293" s="1"/>
  <c r="F12" i="293" a="1"/>
  <c r="F12" i="293" s="1"/>
  <c r="G11" i="293" a="1"/>
  <c r="G11" i="293" s="1"/>
  <c r="G14" i="293" a="1"/>
  <c r="G14" i="293" s="1"/>
  <c r="F13" i="293" a="1"/>
  <c r="F13" i="293" s="1"/>
  <c r="G15" i="293" a="1"/>
  <c r="G15" i="293" s="1"/>
  <c r="M5" i="291" l="1"/>
  <c r="I7" i="291" s="1" a="1"/>
  <c r="I7" i="291" s="1"/>
  <c r="A4" i="292"/>
  <c r="A5" i="292"/>
  <c r="A6" i="292"/>
  <c r="A7" i="292"/>
  <c r="A8" i="292"/>
  <c r="A9" i="292"/>
  <c r="A10" i="292"/>
  <c r="A11" i="292"/>
  <c r="A12" i="292"/>
  <c r="A13" i="292"/>
  <c r="A14" i="292"/>
  <c r="A15" i="292"/>
  <c r="A16" i="292"/>
  <c r="A17" i="292"/>
  <c r="A18" i="292"/>
  <c r="A19" i="292"/>
  <c r="A20" i="292"/>
  <c r="A21" i="292"/>
  <c r="A22" i="292"/>
  <c r="A23" i="292"/>
  <c r="A24" i="292"/>
  <c r="A25" i="292"/>
  <c r="A26" i="292"/>
  <c r="A27" i="292"/>
  <c r="A28" i="292"/>
  <c r="A29" i="292"/>
  <c r="A30" i="292"/>
  <c r="A31" i="292"/>
  <c r="A32" i="292"/>
  <c r="A33" i="292"/>
  <c r="A34" i="292"/>
  <c r="A35" i="292"/>
  <c r="A36" i="292"/>
  <c r="A37" i="292"/>
  <c r="A38" i="292"/>
  <c r="A39" i="292"/>
  <c r="A40" i="292"/>
  <c r="A41" i="292"/>
  <c r="A42" i="292"/>
  <c r="A43" i="292"/>
  <c r="A44" i="292"/>
  <c r="A45" i="292"/>
  <c r="A46" i="292"/>
  <c r="A47" i="292"/>
  <c r="A48" i="292"/>
  <c r="A49" i="292"/>
  <c r="A50" i="292"/>
  <c r="A51" i="292"/>
  <c r="A52" i="292"/>
  <c r="A3" i="292"/>
  <c r="F3" i="292"/>
  <c r="A1" i="292"/>
  <c r="E9" i="292" l="1"/>
  <c r="I19" i="291" a="1"/>
  <c r="I19" i="291" s="1"/>
  <c r="I15" i="291" a="1"/>
  <c r="I15" i="291" s="1"/>
  <c r="I11" i="291" a="1"/>
  <c r="I11" i="291" s="1"/>
  <c r="I6" i="291" a="1"/>
  <c r="I6" i="291" s="1"/>
  <c r="I18" i="291" a="1"/>
  <c r="I18" i="291" s="1"/>
  <c r="I14" i="291" a="1"/>
  <c r="I14" i="291" s="1"/>
  <c r="I10" i="291" a="1"/>
  <c r="I10" i="291" s="1"/>
  <c r="I17" i="291" a="1"/>
  <c r="I17" i="291" s="1"/>
  <c r="I13" i="291" a="1"/>
  <c r="I13" i="291" s="1"/>
  <c r="I20" i="291" a="1"/>
  <c r="I20" i="291" s="1"/>
  <c r="I16" i="291" a="1"/>
  <c r="I16" i="291" s="1"/>
  <c r="I12" i="291" a="1"/>
  <c r="I12" i="291" s="1"/>
  <c r="I8" i="291" a="1"/>
  <c r="I8" i="291" s="1"/>
  <c r="I21" i="291" a="1"/>
  <c r="I21" i="291" s="1"/>
  <c r="I9" i="291" a="1"/>
  <c r="I9" i="291" s="1"/>
  <c r="E24" i="292"/>
  <c r="E20" i="292"/>
  <c r="E16" i="292"/>
  <c r="E12" i="292"/>
  <c r="E8" i="292"/>
  <c r="E23" i="292"/>
  <c r="E19" i="292"/>
  <c r="E15" i="292"/>
  <c r="E11" i="292"/>
  <c r="E7" i="292"/>
  <c r="E6" i="292"/>
  <c r="E22" i="292"/>
  <c r="E18" i="292"/>
  <c r="E14" i="292"/>
  <c r="E10" i="292"/>
  <c r="E25" i="292"/>
  <c r="E21" i="292"/>
  <c r="E17" i="292"/>
  <c r="E13" i="292"/>
  <c r="N10" i="278"/>
  <c r="N11" i="278" s="1"/>
  <c r="N12" i="278" s="1"/>
  <c r="N13" i="278" s="1"/>
  <c r="N14" i="278" s="1"/>
  <c r="N15" i="278" s="1"/>
  <c r="N16" i="278" s="1"/>
  <c r="N17" i="278" s="1"/>
  <c r="N18" i="278" s="1"/>
  <c r="N19" i="278" s="1"/>
  <c r="A10" i="278"/>
  <c r="A11" i="278" s="1"/>
  <c r="A12" i="278" s="1"/>
  <c r="A13" i="278" s="1"/>
  <c r="A14" i="278" s="1"/>
  <c r="A15" i="278" s="1"/>
  <c r="A16" i="278" s="1"/>
  <c r="A17" i="278" s="1"/>
  <c r="A18" i="278" s="1"/>
  <c r="A19" i="278" s="1"/>
  <c r="G5" i="291" l="1"/>
  <c r="L9" i="291" l="1"/>
  <c r="L11" i="291"/>
  <c r="L13" i="291"/>
  <c r="L15" i="291"/>
  <c r="L17" i="291"/>
  <c r="L19" i="291"/>
  <c r="L21" i="291"/>
  <c r="L23" i="291"/>
  <c r="L25" i="291"/>
  <c r="L27" i="291"/>
  <c r="L29" i="291"/>
  <c r="L31" i="291"/>
  <c r="L33" i="291"/>
  <c r="L35" i="291"/>
  <c r="L37" i="291"/>
  <c r="L39" i="291"/>
  <c r="L41" i="291"/>
  <c r="L43" i="291"/>
  <c r="L45" i="291"/>
  <c r="L47" i="291"/>
  <c r="L49" i="291"/>
  <c r="L51" i="291"/>
  <c r="L53" i="291"/>
  <c r="L55" i="291"/>
  <c r="L57" i="291"/>
  <c r="L59" i="291"/>
  <c r="L61" i="291"/>
  <c r="L63" i="291"/>
  <c r="L65" i="291"/>
  <c r="L67" i="291"/>
  <c r="L69" i="291"/>
  <c r="L71" i="291"/>
  <c r="L73" i="291"/>
  <c r="L75" i="291"/>
  <c r="L77" i="291"/>
  <c r="L79" i="291"/>
  <c r="L81" i="291"/>
  <c r="L83" i="291"/>
  <c r="L85" i="291"/>
  <c r="L87" i="291"/>
  <c r="L89" i="291"/>
  <c r="L91" i="291"/>
  <c r="L93" i="291"/>
  <c r="L95" i="291"/>
  <c r="L97" i="291"/>
  <c r="L99" i="291"/>
  <c r="L101" i="291"/>
  <c r="L103" i="291"/>
  <c r="L105" i="291"/>
  <c r="L107" i="291"/>
  <c r="L109" i="291"/>
  <c r="L111" i="291"/>
  <c r="L113" i="291"/>
  <c r="L115" i="291"/>
  <c r="L117" i="291"/>
  <c r="L119" i="291"/>
  <c r="L121" i="291"/>
  <c r="L123" i="291"/>
  <c r="L125" i="291"/>
  <c r="L127" i="291"/>
  <c r="L129" i="291"/>
  <c r="L131" i="291"/>
  <c r="L133" i="291"/>
  <c r="L135" i="291"/>
  <c r="L137" i="291"/>
  <c r="L139" i="291"/>
  <c r="L141" i="291"/>
  <c r="L143" i="291"/>
  <c r="L145" i="291"/>
  <c r="L147" i="291"/>
  <c r="L149" i="291"/>
  <c r="L151" i="291"/>
  <c r="L153" i="291"/>
  <c r="L155" i="291"/>
  <c r="L157" i="291"/>
  <c r="L159" i="291"/>
  <c r="L161" i="291"/>
  <c r="L163" i="291"/>
  <c r="L165" i="291"/>
  <c r="L167" i="291"/>
  <c r="L169" i="291"/>
  <c r="L171" i="291"/>
  <c r="L173" i="291"/>
  <c r="L175" i="291"/>
  <c r="L177" i="291"/>
  <c r="M9" i="291"/>
  <c r="M11" i="291"/>
  <c r="M13" i="291"/>
  <c r="M15" i="291"/>
  <c r="M17" i="291"/>
  <c r="L10" i="291"/>
  <c r="L12" i="291"/>
  <c r="L14" i="291"/>
  <c r="L16" i="291"/>
  <c r="L18" i="291"/>
  <c r="L20" i="291"/>
  <c r="L22" i="291"/>
  <c r="L24" i="291"/>
  <c r="L26" i="291"/>
  <c r="L28" i="291"/>
  <c r="L30" i="291"/>
  <c r="L32" i="291"/>
  <c r="L34" i="291"/>
  <c r="L36" i="291"/>
  <c r="L38" i="291"/>
  <c r="L40" i="291"/>
  <c r="L42" i="291"/>
  <c r="L44" i="291"/>
  <c r="L46" i="291"/>
  <c r="L48" i="291"/>
  <c r="L50" i="291"/>
  <c r="L52" i="291"/>
  <c r="L54" i="291"/>
  <c r="L56" i="291"/>
  <c r="L58" i="291"/>
  <c r="L60" i="291"/>
  <c r="L62" i="291"/>
  <c r="L64" i="291"/>
  <c r="L66" i="291"/>
  <c r="L68" i="291"/>
  <c r="L70" i="291"/>
  <c r="L72" i="291"/>
  <c r="L74" i="291"/>
  <c r="L76" i="291"/>
  <c r="L78" i="291"/>
  <c r="L80" i="291"/>
  <c r="L82" i="291"/>
  <c r="L84" i="291"/>
  <c r="L86" i="291"/>
  <c r="L88" i="291"/>
  <c r="L90" i="291"/>
  <c r="L92" i="291"/>
  <c r="L94" i="291"/>
  <c r="L96" i="291"/>
  <c r="L98" i="291"/>
  <c r="L100" i="291"/>
  <c r="L102" i="291"/>
  <c r="L104" i="291"/>
  <c r="L106" i="291"/>
  <c r="L108" i="291"/>
  <c r="L110" i="291"/>
  <c r="L112" i="291"/>
  <c r="L114" i="291"/>
  <c r="L116" i="291"/>
  <c r="L118" i="291"/>
  <c r="L120" i="291"/>
  <c r="L122" i="291"/>
  <c r="L124" i="291"/>
  <c r="L126" i="291"/>
  <c r="L128" i="291"/>
  <c r="L130" i="291"/>
  <c r="L132" i="291"/>
  <c r="L134" i="291"/>
  <c r="L136" i="291"/>
  <c r="L138" i="291"/>
  <c r="L140" i="291"/>
  <c r="L142" i="291"/>
  <c r="L144" i="291"/>
  <c r="L146" i="291"/>
  <c r="L148" i="291"/>
  <c r="L150" i="291"/>
  <c r="L152" i="291"/>
  <c r="L154" i="291"/>
  <c r="L156" i="291"/>
  <c r="L158" i="291"/>
  <c r="L160" i="291"/>
  <c r="L162" i="291"/>
  <c r="L164" i="291"/>
  <c r="L166" i="291"/>
  <c r="L168" i="291"/>
  <c r="M10" i="291"/>
  <c r="M18" i="291"/>
  <c r="M22" i="291"/>
  <c r="M26" i="291"/>
  <c r="M30" i="291"/>
  <c r="M34" i="291"/>
  <c r="M38" i="291"/>
  <c r="M42" i="291"/>
  <c r="M46" i="291"/>
  <c r="M50" i="291"/>
  <c r="M54" i="291"/>
  <c r="M58" i="291"/>
  <c r="M62" i="291"/>
  <c r="M66" i="291"/>
  <c r="M70" i="291"/>
  <c r="M74" i="291"/>
  <c r="M78" i="291"/>
  <c r="M82" i="291"/>
  <c r="M86" i="291"/>
  <c r="M90" i="291"/>
  <c r="M94" i="291"/>
  <c r="M98" i="291"/>
  <c r="M102" i="291"/>
  <c r="M106" i="291"/>
  <c r="M110" i="291"/>
  <c r="M114" i="291"/>
  <c r="M118" i="291"/>
  <c r="M122" i="291"/>
  <c r="M126" i="291"/>
  <c r="M130" i="291"/>
  <c r="M134" i="291"/>
  <c r="M138" i="291"/>
  <c r="M142" i="291"/>
  <c r="M146" i="291"/>
  <c r="M150" i="291"/>
  <c r="M154" i="291"/>
  <c r="M158" i="291"/>
  <c r="M162" i="291"/>
  <c r="M166" i="291"/>
  <c r="L170" i="291"/>
  <c r="M172" i="291"/>
  <c r="M175" i="291"/>
  <c r="L178" i="291"/>
  <c r="L180" i="291"/>
  <c r="L182" i="291"/>
  <c r="L184" i="291"/>
  <c r="L186" i="291"/>
  <c r="L188" i="291"/>
  <c r="L190" i="291"/>
  <c r="L192" i="291"/>
  <c r="L194" i="291"/>
  <c r="L196" i="291"/>
  <c r="L198" i="291"/>
  <c r="L200" i="291"/>
  <c r="L202" i="291"/>
  <c r="L204" i="291"/>
  <c r="L206" i="291"/>
  <c r="M8" i="291"/>
  <c r="M19" i="291"/>
  <c r="M31" i="291"/>
  <c r="M39" i="291"/>
  <c r="M47" i="291"/>
  <c r="M51" i="291"/>
  <c r="M59" i="291"/>
  <c r="M67" i="291"/>
  <c r="M71" i="291"/>
  <c r="M79" i="291"/>
  <c r="M87" i="291"/>
  <c r="M91" i="291"/>
  <c r="M99" i="291"/>
  <c r="M107" i="291"/>
  <c r="M111" i="291"/>
  <c r="M119" i="291"/>
  <c r="M127" i="291"/>
  <c r="M131" i="291"/>
  <c r="M139" i="291"/>
  <c r="M143" i="291"/>
  <c r="M151" i="291"/>
  <c r="M159" i="291"/>
  <c r="M163" i="291"/>
  <c r="M170" i="291"/>
  <c r="L176" i="291"/>
  <c r="M178" i="291"/>
  <c r="M182" i="291"/>
  <c r="M184" i="291"/>
  <c r="M188" i="291"/>
  <c r="M192" i="291"/>
  <c r="M196" i="291"/>
  <c r="M198" i="291"/>
  <c r="M202" i="291"/>
  <c r="M206" i="291"/>
  <c r="M16" i="291"/>
  <c r="M25" i="291"/>
  <c r="M29" i="291"/>
  <c r="M33" i="291"/>
  <c r="M37" i="291"/>
  <c r="M45" i="291"/>
  <c r="M53" i="291"/>
  <c r="M61" i="291"/>
  <c r="M69" i="291"/>
  <c r="M77" i="291"/>
  <c r="M81" i="291"/>
  <c r="M89" i="291"/>
  <c r="M97" i="291"/>
  <c r="M109" i="291"/>
  <c r="M117" i="291"/>
  <c r="M125" i="291"/>
  <c r="M133" i="291"/>
  <c r="M145" i="291"/>
  <c r="M157" i="291"/>
  <c r="M165" i="291"/>
  <c r="M174" i="291"/>
  <c r="M181" i="291"/>
  <c r="M187" i="291"/>
  <c r="M193" i="291"/>
  <c r="M199" i="291"/>
  <c r="M205" i="291"/>
  <c r="M12" i="291"/>
  <c r="M23" i="291"/>
  <c r="M27" i="291"/>
  <c r="M35" i="291"/>
  <c r="M43" i="291"/>
  <c r="M55" i="291"/>
  <c r="M63" i="291"/>
  <c r="M75" i="291"/>
  <c r="M83" i="291"/>
  <c r="M95" i="291"/>
  <c r="M103" i="291"/>
  <c r="M115" i="291"/>
  <c r="M123" i="291"/>
  <c r="M135" i="291"/>
  <c r="M147" i="291"/>
  <c r="M155" i="291"/>
  <c r="M167" i="291"/>
  <c r="M173" i="291"/>
  <c r="M180" i="291"/>
  <c r="M186" i="291"/>
  <c r="M190" i="291"/>
  <c r="M194" i="291"/>
  <c r="M200" i="291"/>
  <c r="M204" i="291"/>
  <c r="L8" i="291"/>
  <c r="M21" i="291"/>
  <c r="M41" i="291"/>
  <c r="M49" i="291"/>
  <c r="M57" i="291"/>
  <c r="M65" i="291"/>
  <c r="M73" i="291"/>
  <c r="M85" i="291"/>
  <c r="M93" i="291"/>
  <c r="M101" i="291"/>
  <c r="M113" i="291"/>
  <c r="M121" i="291"/>
  <c r="M129" i="291"/>
  <c r="M141" i="291"/>
  <c r="M149" i="291"/>
  <c r="M161" i="291"/>
  <c r="L172" i="291"/>
  <c r="M177" i="291"/>
  <c r="M183" i="291"/>
  <c r="M189" i="291"/>
  <c r="M195" i="291"/>
  <c r="M201" i="291"/>
  <c r="M207" i="291"/>
  <c r="M14" i="291"/>
  <c r="M20" i="291"/>
  <c r="M24" i="291"/>
  <c r="M28" i="291"/>
  <c r="M32" i="291"/>
  <c r="M36" i="291"/>
  <c r="M40" i="291"/>
  <c r="M44" i="291"/>
  <c r="M48" i="291"/>
  <c r="M52" i="291"/>
  <c r="M56" i="291"/>
  <c r="M60" i="291"/>
  <c r="M64" i="291"/>
  <c r="M68" i="291"/>
  <c r="M72" i="291"/>
  <c r="M76" i="291"/>
  <c r="M80" i="291"/>
  <c r="M84" i="291"/>
  <c r="M88" i="291"/>
  <c r="M92" i="291"/>
  <c r="M96" i="291"/>
  <c r="M100" i="291"/>
  <c r="M104" i="291"/>
  <c r="M108" i="291"/>
  <c r="M112" i="291"/>
  <c r="M116" i="291"/>
  <c r="M120" i="291"/>
  <c r="M124" i="291"/>
  <c r="M128" i="291"/>
  <c r="M132" i="291"/>
  <c r="M136" i="291"/>
  <c r="M140" i="291"/>
  <c r="M144" i="291"/>
  <c r="M148" i="291"/>
  <c r="M152" i="291"/>
  <c r="M156" i="291"/>
  <c r="M160" i="291"/>
  <c r="M164" i="291"/>
  <c r="M168" i="291"/>
  <c r="M171" i="291"/>
  <c r="L174" i="291"/>
  <c r="M176" i="291"/>
  <c r="L179" i="291"/>
  <c r="L181" i="291"/>
  <c r="L183" i="291"/>
  <c r="L185" i="291"/>
  <c r="L187" i="291"/>
  <c r="L189" i="291"/>
  <c r="L191" i="291"/>
  <c r="L193" i="291"/>
  <c r="L195" i="291"/>
  <c r="L197" i="291"/>
  <c r="L199" i="291"/>
  <c r="L201" i="291"/>
  <c r="L203" i="291"/>
  <c r="L205" i="291"/>
  <c r="L207" i="291"/>
  <c r="M105" i="291"/>
  <c r="M137" i="291"/>
  <c r="M153" i="291"/>
  <c r="M169" i="291"/>
  <c r="M179" i="291"/>
  <c r="M185" i="291"/>
  <c r="M191" i="291"/>
  <c r="M197" i="291"/>
  <c r="M203" i="291"/>
  <c r="F9" i="291" a="1"/>
  <c r="F9" i="291" s="1"/>
  <c r="G10" i="291" a="1"/>
  <c r="G10" i="291" s="1"/>
  <c r="G12" i="291" a="1"/>
  <c r="G12" i="291" s="1"/>
  <c r="G14" i="291" a="1"/>
  <c r="G14" i="291" s="1"/>
  <c r="G16" i="291" a="1"/>
  <c r="G16" i="291" s="1"/>
  <c r="G18" i="291" a="1"/>
  <c r="G18" i="291" s="1"/>
  <c r="F22" i="291" a="1"/>
  <c r="F22" i="291" s="1"/>
  <c r="F24" i="291" a="1"/>
  <c r="F24" i="291" s="1"/>
  <c r="G25" i="291" a="1"/>
  <c r="G25" i="291" s="1"/>
  <c r="G27" i="291" a="1"/>
  <c r="G27" i="291" s="1"/>
  <c r="F29" i="291" a="1"/>
  <c r="F29" i="291" s="1"/>
  <c r="F31" i="291" a="1"/>
  <c r="F31" i="291" s="1"/>
  <c r="G32" i="291" a="1"/>
  <c r="G32" i="291" s="1"/>
  <c r="G34" i="291" a="1"/>
  <c r="G34" i="291" s="1"/>
  <c r="F38" i="291" a="1"/>
  <c r="F38" i="291" s="1"/>
  <c r="F40" i="291" a="1"/>
  <c r="F40" i="291" s="1"/>
  <c r="G41" i="291" a="1"/>
  <c r="G41" i="291" s="1"/>
  <c r="G43" i="291" a="1"/>
  <c r="G43" i="291" s="1"/>
  <c r="F45" i="291" a="1"/>
  <c r="F45" i="291" s="1"/>
  <c r="F47" i="291" a="1"/>
  <c r="F47" i="291" s="1"/>
  <c r="G48" i="291" a="1"/>
  <c r="G48" i="291" s="1"/>
  <c r="G50" i="291" a="1"/>
  <c r="G50" i="291" s="1"/>
  <c r="F54" i="291" a="1"/>
  <c r="F54" i="291" s="1"/>
  <c r="F56" i="291" a="1"/>
  <c r="F56" i="291" s="1"/>
  <c r="G57" i="291" a="1"/>
  <c r="G57" i="291" s="1"/>
  <c r="G59" i="291" a="1"/>
  <c r="G59" i="291" s="1"/>
  <c r="F61" i="291" a="1"/>
  <c r="F61" i="291" s="1"/>
  <c r="F63" i="291" a="1"/>
  <c r="F63" i="291" s="1"/>
  <c r="G64" i="291" a="1"/>
  <c r="G64" i="291" s="1"/>
  <c r="G66" i="291" a="1"/>
  <c r="G66" i="291" s="1"/>
  <c r="F70" i="291" a="1"/>
  <c r="F70" i="291" s="1"/>
  <c r="F72" i="291" a="1"/>
  <c r="F72" i="291" s="1"/>
  <c r="G73" i="291" a="1"/>
  <c r="G73" i="291" s="1"/>
  <c r="G75" i="291" a="1"/>
  <c r="G75" i="291" s="1"/>
  <c r="F77" i="291" a="1"/>
  <c r="F77" i="291" s="1"/>
  <c r="F79" i="291" a="1"/>
  <c r="F79" i="291" s="1"/>
  <c r="G80" i="291" a="1"/>
  <c r="G80" i="291" s="1"/>
  <c r="G82" i="291" a="1"/>
  <c r="G82" i="291" s="1"/>
  <c r="F86" i="291" a="1"/>
  <c r="F86" i="291" s="1"/>
  <c r="F88" i="291" a="1"/>
  <c r="F88" i="291" s="1"/>
  <c r="G89" i="291" a="1"/>
  <c r="G89" i="291" s="1"/>
  <c r="G91" i="291" a="1"/>
  <c r="G91" i="291" s="1"/>
  <c r="F93" i="291" a="1"/>
  <c r="F93" i="291" s="1"/>
  <c r="G96" i="291" a="1"/>
  <c r="G96" i="291" s="1"/>
  <c r="G9" i="291" a="1"/>
  <c r="G9" i="291" s="1"/>
  <c r="F11" i="291" a="1"/>
  <c r="F11" i="291" s="1"/>
  <c r="F13" i="291" a="1"/>
  <c r="F13" i="291" s="1"/>
  <c r="F15" i="291" a="1"/>
  <c r="F15" i="291" s="1"/>
  <c r="F17" i="291" a="1"/>
  <c r="F17" i="291" s="1"/>
  <c r="F19" i="291" a="1"/>
  <c r="F19" i="291" s="1"/>
  <c r="G20" i="291" a="1"/>
  <c r="G20" i="291" s="1"/>
  <c r="G22" i="291" a="1"/>
  <c r="G22" i="291" s="1"/>
  <c r="F26" i="291" a="1"/>
  <c r="F26" i="291" s="1"/>
  <c r="F28" i="291" a="1"/>
  <c r="F28" i="291" s="1"/>
  <c r="G29" i="291" a="1"/>
  <c r="G29" i="291" s="1"/>
  <c r="G31" i="291" a="1"/>
  <c r="G31" i="291" s="1"/>
  <c r="F33" i="291" a="1"/>
  <c r="F33" i="291" s="1"/>
  <c r="F35" i="291" a="1"/>
  <c r="F35" i="291" s="1"/>
  <c r="G36" i="291" a="1"/>
  <c r="G36" i="291" s="1"/>
  <c r="G38" i="291" a="1"/>
  <c r="G38" i="291" s="1"/>
  <c r="F42" i="291" a="1"/>
  <c r="F42" i="291" s="1"/>
  <c r="F44" i="291" a="1"/>
  <c r="F44" i="291" s="1"/>
  <c r="G45" i="291" a="1"/>
  <c r="G45" i="291" s="1"/>
  <c r="G47" i="291" a="1"/>
  <c r="G47" i="291" s="1"/>
  <c r="F49" i="291" a="1"/>
  <c r="F49" i="291" s="1"/>
  <c r="F51" i="291" a="1"/>
  <c r="F51" i="291" s="1"/>
  <c r="G52" i="291" a="1"/>
  <c r="G52" i="291" s="1"/>
  <c r="G54" i="291" a="1"/>
  <c r="G54" i="291" s="1"/>
  <c r="F58" i="291" a="1"/>
  <c r="F58" i="291" s="1"/>
  <c r="F60" i="291" a="1"/>
  <c r="F60" i="291" s="1"/>
  <c r="G61" i="291" a="1"/>
  <c r="G61" i="291" s="1"/>
  <c r="G63" i="291" a="1"/>
  <c r="G63" i="291" s="1"/>
  <c r="F65" i="291" a="1"/>
  <c r="F65" i="291" s="1"/>
  <c r="F67" i="291" a="1"/>
  <c r="F67" i="291" s="1"/>
  <c r="G68" i="291" a="1"/>
  <c r="G68" i="291" s="1"/>
  <c r="G70" i="291" a="1"/>
  <c r="G70" i="291" s="1"/>
  <c r="F74" i="291" a="1"/>
  <c r="F74" i="291" s="1"/>
  <c r="F76" i="291" a="1"/>
  <c r="F76" i="291" s="1"/>
  <c r="G77" i="291" a="1"/>
  <c r="G77" i="291" s="1"/>
  <c r="G79" i="291" a="1"/>
  <c r="G79" i="291" s="1"/>
  <c r="F81" i="291" a="1"/>
  <c r="F81" i="291" s="1"/>
  <c r="F83" i="291" a="1"/>
  <c r="F83" i="291" s="1"/>
  <c r="G84" i="291" a="1"/>
  <c r="G84" i="291" s="1"/>
  <c r="G86" i="291" a="1"/>
  <c r="G86" i="291" s="1"/>
  <c r="F90" i="291" a="1"/>
  <c r="F90" i="291" s="1"/>
  <c r="F92" i="291" a="1"/>
  <c r="F92" i="291" s="1"/>
  <c r="G93" i="291" a="1"/>
  <c r="G93" i="291" s="1"/>
  <c r="F95" i="291" a="1"/>
  <c r="F95" i="291" s="1"/>
  <c r="F12" i="291" a="1"/>
  <c r="F12" i="291" s="1"/>
  <c r="F14" i="291" a="1"/>
  <c r="F14" i="291" s="1"/>
  <c r="F16" i="291" a="1"/>
  <c r="F16" i="291" s="1"/>
  <c r="F18" i="291" a="1"/>
  <c r="F18" i="291" s="1"/>
  <c r="F20" i="291" a="1"/>
  <c r="F20" i="291" s="1"/>
  <c r="G21" i="291" a="1"/>
  <c r="G21" i="291" s="1"/>
  <c r="G23" i="291" a="1"/>
  <c r="G23" i="291" s="1"/>
  <c r="F25" i="291" a="1"/>
  <c r="F25" i="291" s="1"/>
  <c r="F27" i="291" a="1"/>
  <c r="F27" i="291" s="1"/>
  <c r="G28" i="291" a="1"/>
  <c r="G28" i="291" s="1"/>
  <c r="G30" i="291" a="1"/>
  <c r="G30" i="291" s="1"/>
  <c r="F34" i="291" a="1"/>
  <c r="F34" i="291" s="1"/>
  <c r="F36" i="291" a="1"/>
  <c r="F36" i="291" s="1"/>
  <c r="G37" i="291" a="1"/>
  <c r="G37" i="291" s="1"/>
  <c r="G39" i="291" a="1"/>
  <c r="G39" i="291" s="1"/>
  <c r="F41" i="291" a="1"/>
  <c r="F41" i="291" s="1"/>
  <c r="F43" i="291" a="1"/>
  <c r="F43" i="291" s="1"/>
  <c r="G44" i="291" a="1"/>
  <c r="G44" i="291" s="1"/>
  <c r="G46" i="291" a="1"/>
  <c r="G46" i="291" s="1"/>
  <c r="F50" i="291" a="1"/>
  <c r="F50" i="291" s="1"/>
  <c r="F52" i="291" a="1"/>
  <c r="F52" i="291" s="1"/>
  <c r="G53" i="291" a="1"/>
  <c r="G53" i="291" s="1"/>
  <c r="G55" i="291" a="1"/>
  <c r="G55" i="291" s="1"/>
  <c r="F57" i="291" a="1"/>
  <c r="F57" i="291" s="1"/>
  <c r="F59" i="291" a="1"/>
  <c r="F59" i="291" s="1"/>
  <c r="G60" i="291" a="1"/>
  <c r="G60" i="291" s="1"/>
  <c r="G62" i="291" a="1"/>
  <c r="G62" i="291" s="1"/>
  <c r="F66" i="291" a="1"/>
  <c r="F66" i="291" s="1"/>
  <c r="F68" i="291" a="1"/>
  <c r="F68" i="291" s="1"/>
  <c r="G69" i="291" a="1"/>
  <c r="G69" i="291" s="1"/>
  <c r="G71" i="291" a="1"/>
  <c r="G71" i="291" s="1"/>
  <c r="F73" i="291" a="1"/>
  <c r="F73" i="291" s="1"/>
  <c r="F75" i="291" a="1"/>
  <c r="F75" i="291" s="1"/>
  <c r="G76" i="291" a="1"/>
  <c r="G76" i="291" s="1"/>
  <c r="G78" i="291" a="1"/>
  <c r="G78" i="291" s="1"/>
  <c r="F82" i="291" a="1"/>
  <c r="F82" i="291" s="1"/>
  <c r="F84" i="291" a="1"/>
  <c r="F84" i="291" s="1"/>
  <c r="G85" i="291" a="1"/>
  <c r="G85" i="291" s="1"/>
  <c r="G87" i="291" a="1"/>
  <c r="G87" i="291" s="1"/>
  <c r="F89" i="291" a="1"/>
  <c r="F89" i="291" s="1"/>
  <c r="F91" i="291" a="1"/>
  <c r="F91" i="291" s="1"/>
  <c r="G92" i="291" a="1"/>
  <c r="G92" i="291" s="1"/>
  <c r="G94" i="291" a="1"/>
  <c r="G94" i="291" s="1"/>
  <c r="F96" i="291" a="1"/>
  <c r="F96" i="291" s="1"/>
  <c r="G99" i="291" a="1"/>
  <c r="G99" i="291" s="1"/>
  <c r="G101" i="291" a="1"/>
  <c r="G101" i="291" s="1"/>
  <c r="F103" i="291" a="1"/>
  <c r="F103" i="291" s="1"/>
  <c r="F105" i="291" a="1"/>
  <c r="F105" i="291" s="1"/>
  <c r="G106" i="291" a="1"/>
  <c r="G106" i="291" s="1"/>
  <c r="G108" i="291" a="1"/>
  <c r="G108" i="291" s="1"/>
  <c r="F110" i="291" a="1"/>
  <c r="F110" i="291" s="1"/>
  <c r="F112" i="291" a="1"/>
  <c r="F112" i="291" s="1"/>
  <c r="G115" i="291" a="1"/>
  <c r="G115" i="291" s="1"/>
  <c r="G117" i="291" a="1"/>
  <c r="G117" i="291" s="1"/>
  <c r="F119" i="291" a="1"/>
  <c r="F119" i="291" s="1"/>
  <c r="F121" i="291" a="1"/>
  <c r="F121" i="291" s="1"/>
  <c r="G122" i="291" a="1"/>
  <c r="G122" i="291" s="1"/>
  <c r="F124" i="291" a="1"/>
  <c r="F124" i="291" s="1"/>
  <c r="G127" i="291" a="1"/>
  <c r="G127" i="291" s="1"/>
  <c r="G129" i="291" a="1"/>
  <c r="G129" i="291" s="1"/>
  <c r="F131" i="291" a="1"/>
  <c r="F131" i="291" s="1"/>
  <c r="F133" i="291" a="1"/>
  <c r="F133" i="291" s="1"/>
  <c r="G134" i="291" a="1"/>
  <c r="G134" i="291" s="1"/>
  <c r="F136" i="291" a="1"/>
  <c r="F136" i="291" s="1"/>
  <c r="G139" i="291" a="1"/>
  <c r="G139" i="291" s="1"/>
  <c r="G141" i="291" a="1"/>
  <c r="G141" i="291" s="1"/>
  <c r="F143" i="291" a="1"/>
  <c r="F143" i="291" s="1"/>
  <c r="F145" i="291" a="1"/>
  <c r="F145" i="291" s="1"/>
  <c r="G146" i="291" a="1"/>
  <c r="G146" i="291" s="1"/>
  <c r="G148" i="291" a="1"/>
  <c r="G148" i="291" s="1"/>
  <c r="F150" i="291" a="1"/>
  <c r="F150" i="291" s="1"/>
  <c r="F152" i="291" a="1"/>
  <c r="F152" i="291" s="1"/>
  <c r="G155" i="291" a="1"/>
  <c r="G155" i="291" s="1"/>
  <c r="G157" i="291" a="1"/>
  <c r="G157" i="291" s="1"/>
  <c r="F159" i="291" a="1"/>
  <c r="F159" i="291" s="1"/>
  <c r="F10" i="291" a="1"/>
  <c r="F10" i="291" s="1"/>
  <c r="G17" i="291" a="1"/>
  <c r="G17" i="291" s="1"/>
  <c r="G24" i="291" a="1"/>
  <c r="G24" i="291" s="1"/>
  <c r="F32" i="291" a="1"/>
  <c r="F32" i="291" s="1"/>
  <c r="F39" i="291" a="1"/>
  <c r="F39" i="291" s="1"/>
  <c r="F46" i="291" a="1"/>
  <c r="F46" i="291" s="1"/>
  <c r="F53" i="291" a="1"/>
  <c r="F53" i="291" s="1"/>
  <c r="G67" i="291" a="1"/>
  <c r="G67" i="291" s="1"/>
  <c r="G74" i="291" a="1"/>
  <c r="G74" i="291" s="1"/>
  <c r="G81" i="291" a="1"/>
  <c r="G81" i="291" s="1"/>
  <c r="G88" i="291" a="1"/>
  <c r="G88" i="291" s="1"/>
  <c r="G95" i="291" a="1"/>
  <c r="G95" i="291" s="1"/>
  <c r="G98" i="291" a="1"/>
  <c r="G98" i="291" s="1"/>
  <c r="F101" i="291" a="1"/>
  <c r="F101" i="291" s="1"/>
  <c r="G103" i="291" a="1"/>
  <c r="G103" i="291" s="1"/>
  <c r="F108" i="291" a="1"/>
  <c r="F108" i="291" s="1"/>
  <c r="G110" i="291" a="1"/>
  <c r="G110" i="291" s="1"/>
  <c r="F113" i="291" a="1"/>
  <c r="F113" i="291" s="1"/>
  <c r="F115" i="291" a="1"/>
  <c r="F115" i="291" s="1"/>
  <c r="F120" i="291" a="1"/>
  <c r="F120" i="291" s="1"/>
  <c r="F122" i="291" a="1"/>
  <c r="F122" i="291" s="1"/>
  <c r="G124" i="291" a="1"/>
  <c r="G124" i="291" s="1"/>
  <c r="G126" i="291" a="1"/>
  <c r="G126" i="291" s="1"/>
  <c r="F129" i="291" a="1"/>
  <c r="F129" i="291" s="1"/>
  <c r="G131" i="291" a="1"/>
  <c r="G131" i="291" s="1"/>
  <c r="G135" i="291" a="1"/>
  <c r="G135" i="291" s="1"/>
  <c r="F138" i="291" a="1"/>
  <c r="F138" i="291" s="1"/>
  <c r="G140" i="291" a="1"/>
  <c r="G140" i="291" s="1"/>
  <c r="G142" i="291" a="1"/>
  <c r="G142" i="291" s="1"/>
  <c r="G145" i="291" a="1"/>
  <c r="G145" i="291" s="1"/>
  <c r="G147" i="291" a="1"/>
  <c r="G147" i="291" s="1"/>
  <c r="G152" i="291" a="1"/>
  <c r="G152" i="291" s="1"/>
  <c r="G154" i="291" a="1"/>
  <c r="G154" i="291" s="1"/>
  <c r="F157" i="291" a="1"/>
  <c r="F157" i="291" s="1"/>
  <c r="G159" i="291" a="1"/>
  <c r="G159" i="291" s="1"/>
  <c r="G161" i="291" a="1"/>
  <c r="G161" i="291" s="1"/>
  <c r="G163" i="291" a="1"/>
  <c r="G163" i="291" s="1"/>
  <c r="G165" i="291" a="1"/>
  <c r="G165" i="291" s="1"/>
  <c r="G167" i="291" a="1"/>
  <c r="G167" i="291" s="1"/>
  <c r="G169" i="291" a="1"/>
  <c r="G169" i="291" s="1"/>
  <c r="G171" i="291" a="1"/>
  <c r="G171" i="291" s="1"/>
  <c r="G173" i="291" a="1"/>
  <c r="G173" i="291" s="1"/>
  <c r="G175" i="291" a="1"/>
  <c r="G175" i="291" s="1"/>
  <c r="G177" i="291" a="1"/>
  <c r="G177" i="291" s="1"/>
  <c r="G179" i="291" a="1"/>
  <c r="G179" i="291" s="1"/>
  <c r="G181" i="291" a="1"/>
  <c r="G181" i="291" s="1"/>
  <c r="G183" i="291" a="1"/>
  <c r="G183" i="291" s="1"/>
  <c r="G185" i="291" a="1"/>
  <c r="G185" i="291" s="1"/>
  <c r="G187" i="291" a="1"/>
  <c r="G187" i="291" s="1"/>
  <c r="G189" i="291" a="1"/>
  <c r="G189" i="291" s="1"/>
  <c r="G191" i="291" a="1"/>
  <c r="G191" i="291" s="1"/>
  <c r="G193" i="291" a="1"/>
  <c r="G193" i="291" s="1"/>
  <c r="G195" i="291" a="1"/>
  <c r="G195" i="291" s="1"/>
  <c r="G197" i="291" a="1"/>
  <c r="G197" i="291" s="1"/>
  <c r="G199" i="291" a="1"/>
  <c r="G199" i="291" s="1"/>
  <c r="G201" i="291" a="1"/>
  <c r="G201" i="291" s="1"/>
  <c r="G203" i="291" a="1"/>
  <c r="G203" i="291" s="1"/>
  <c r="G205" i="291" a="1"/>
  <c r="G205" i="291" s="1"/>
  <c r="G207" i="291" a="1"/>
  <c r="G207" i="291" s="1"/>
  <c r="F21" i="291" a="1"/>
  <c r="F21" i="291" s="1"/>
  <c r="G42" i="291" a="1"/>
  <c r="G42" i="291" s="1"/>
  <c r="G56" i="291" a="1"/>
  <c r="G56" i="291" s="1"/>
  <c r="F71" i="291" a="1"/>
  <c r="F71" i="291" s="1"/>
  <c r="F85" i="291" a="1"/>
  <c r="F85" i="291" s="1"/>
  <c r="G97" i="291" a="1"/>
  <c r="G97" i="291" s="1"/>
  <c r="F102" i="291" a="1"/>
  <c r="F102" i="291" s="1"/>
  <c r="F107" i="291" a="1"/>
  <c r="F107" i="291" s="1"/>
  <c r="G111" i="291" a="1"/>
  <c r="G111" i="291" s="1"/>
  <c r="G116" i="291" a="1"/>
  <c r="G116" i="291" s="1"/>
  <c r="G121" i="291" a="1"/>
  <c r="G121" i="291" s="1"/>
  <c r="G125" i="291" a="1"/>
  <c r="G125" i="291" s="1"/>
  <c r="F130" i="291" a="1"/>
  <c r="F130" i="291" s="1"/>
  <c r="F137" i="291" a="1"/>
  <c r="F137" i="291" s="1"/>
  <c r="F146" i="291" a="1"/>
  <c r="F146" i="291" s="1"/>
  <c r="F151" i="291" a="1"/>
  <c r="F151" i="291" s="1"/>
  <c r="F156" i="291" a="1"/>
  <c r="F156" i="291" s="1"/>
  <c r="G160" i="291" a="1"/>
  <c r="G160" i="291" s="1"/>
  <c r="G11" i="291" a="1"/>
  <c r="G11" i="291" s="1"/>
  <c r="G19" i="291" a="1"/>
  <c r="G19" i="291" s="1"/>
  <c r="G26" i="291" a="1"/>
  <c r="G26" i="291" s="1"/>
  <c r="G33" i="291" a="1"/>
  <c r="G33" i="291" s="1"/>
  <c r="G40" i="291" a="1"/>
  <c r="G40" i="291" s="1"/>
  <c r="F48" i="291" a="1"/>
  <c r="F48" i="291" s="1"/>
  <c r="F55" i="291" a="1"/>
  <c r="F55" i="291" s="1"/>
  <c r="F62" i="291" a="1"/>
  <c r="F62" i="291" s="1"/>
  <c r="F69" i="291" a="1"/>
  <c r="F69" i="291" s="1"/>
  <c r="G83" i="291" a="1"/>
  <c r="G83" i="291" s="1"/>
  <c r="G90" i="291" a="1"/>
  <c r="G90" i="291" s="1"/>
  <c r="F97" i="291" a="1"/>
  <c r="F97" i="291" s="1"/>
  <c r="F99" i="291" a="1"/>
  <c r="F99" i="291" s="1"/>
  <c r="F104" i="291" a="1"/>
  <c r="F104" i="291" s="1"/>
  <c r="F106" i="291" a="1"/>
  <c r="F106" i="291" s="1"/>
  <c r="F109" i="291" a="1"/>
  <c r="F109" i="291" s="1"/>
  <c r="F111" i="291" a="1"/>
  <c r="F111" i="291" s="1"/>
  <c r="G113" i="291" a="1"/>
  <c r="G113" i="291" s="1"/>
  <c r="F116" i="291" a="1"/>
  <c r="F116" i="291" s="1"/>
  <c r="F118" i="291" a="1"/>
  <c r="F118" i="291" s="1"/>
  <c r="G120" i="291" a="1"/>
  <c r="G120" i="291" s="1"/>
  <c r="F125" i="291" a="1"/>
  <c r="F125" i="291" s="1"/>
  <c r="F127" i="291" a="1"/>
  <c r="F127" i="291" s="1"/>
  <c r="F132" i="291" a="1"/>
  <c r="F132" i="291" s="1"/>
  <c r="F134" i="291" a="1"/>
  <c r="F134" i="291" s="1"/>
  <c r="G136" i="291" a="1"/>
  <c r="G136" i="291" s="1"/>
  <c r="G138" i="291" a="1"/>
  <c r="G138" i="291" s="1"/>
  <c r="F141" i="291" a="1"/>
  <c r="F141" i="291" s="1"/>
  <c r="G143" i="291" a="1"/>
  <c r="G143" i="291" s="1"/>
  <c r="F148" i="291" a="1"/>
  <c r="F148" i="291" s="1"/>
  <c r="G150" i="291" a="1"/>
  <c r="G150" i="291" s="1"/>
  <c r="F153" i="291" a="1"/>
  <c r="F153" i="291" s="1"/>
  <c r="F155" i="291" a="1"/>
  <c r="F155" i="291" s="1"/>
  <c r="F160" i="291" a="1"/>
  <c r="F160" i="291" s="1"/>
  <c r="F162" i="291" a="1"/>
  <c r="F162" i="291" s="1"/>
  <c r="F164" i="291" a="1"/>
  <c r="F164" i="291" s="1"/>
  <c r="F166" i="291" a="1"/>
  <c r="F166" i="291" s="1"/>
  <c r="F168" i="291" a="1"/>
  <c r="F168" i="291" s="1"/>
  <c r="F170" i="291" a="1"/>
  <c r="F170" i="291" s="1"/>
  <c r="F172" i="291" a="1"/>
  <c r="F172" i="291" s="1"/>
  <c r="F174" i="291" a="1"/>
  <c r="F174" i="291" s="1"/>
  <c r="F176" i="291" a="1"/>
  <c r="F176" i="291" s="1"/>
  <c r="F178" i="291" a="1"/>
  <c r="F178" i="291" s="1"/>
  <c r="F180" i="291" a="1"/>
  <c r="F180" i="291" s="1"/>
  <c r="F182" i="291" a="1"/>
  <c r="F182" i="291" s="1"/>
  <c r="F184" i="291" a="1"/>
  <c r="F184" i="291" s="1"/>
  <c r="F186" i="291" a="1"/>
  <c r="F186" i="291" s="1"/>
  <c r="F188" i="291" a="1"/>
  <c r="F188" i="291" s="1"/>
  <c r="F190" i="291" a="1"/>
  <c r="F190" i="291" s="1"/>
  <c r="F192" i="291" a="1"/>
  <c r="F192" i="291" s="1"/>
  <c r="F194" i="291" a="1"/>
  <c r="F194" i="291" s="1"/>
  <c r="F196" i="291" a="1"/>
  <c r="F196" i="291" s="1"/>
  <c r="F198" i="291" a="1"/>
  <c r="F198" i="291" s="1"/>
  <c r="F200" i="291" a="1"/>
  <c r="F200" i="291" s="1"/>
  <c r="F202" i="291" a="1"/>
  <c r="F202" i="291" s="1"/>
  <c r="F204" i="291" a="1"/>
  <c r="F204" i="291" s="1"/>
  <c r="F206" i="291" a="1"/>
  <c r="F206" i="291" s="1"/>
  <c r="G8" i="291" a="1"/>
  <c r="G8" i="291" s="1"/>
  <c r="G13" i="291" a="1"/>
  <c r="G13" i="291" s="1"/>
  <c r="G35" i="291" a="1"/>
  <c r="G35" i="291" s="1"/>
  <c r="G49" i="291" a="1"/>
  <c r="G49" i="291" s="1"/>
  <c r="F64" i="291" a="1"/>
  <c r="F64" i="291" s="1"/>
  <c r="F78" i="291" a="1"/>
  <c r="F78" i="291" s="1"/>
  <c r="F100" i="291" a="1"/>
  <c r="F100" i="291" s="1"/>
  <c r="G104" i="291" a="1"/>
  <c r="G104" i="291" s="1"/>
  <c r="G109" i="291" a="1"/>
  <c r="G109" i="291" s="1"/>
  <c r="F114" i="291" a="1"/>
  <c r="F114" i="291" s="1"/>
  <c r="G118" i="291" a="1"/>
  <c r="G118" i="291" s="1"/>
  <c r="F123" i="291" a="1"/>
  <c r="F123" i="291" s="1"/>
  <c r="F128" i="291" a="1"/>
  <c r="F128" i="291" s="1"/>
  <c r="G132" i="291" a="1"/>
  <c r="G132" i="291" s="1"/>
  <c r="F139" i="291" a="1"/>
  <c r="F139" i="291" s="1"/>
  <c r="F144" i="291" a="1"/>
  <c r="F144" i="291" s="1"/>
  <c r="F149" i="291" a="1"/>
  <c r="F149" i="291" s="1"/>
  <c r="G153" i="291" a="1"/>
  <c r="G153" i="291" s="1"/>
  <c r="F158" i="291" a="1"/>
  <c r="F158" i="291" s="1"/>
  <c r="G162" i="291" a="1"/>
  <c r="G162" i="291" s="1"/>
  <c r="G15" i="291" a="1"/>
  <c r="G15" i="291" s="1"/>
  <c r="F23" i="291" a="1"/>
  <c r="F23" i="291" s="1"/>
  <c r="F30" i="291" a="1"/>
  <c r="F30" i="291" s="1"/>
  <c r="F37" i="291" a="1"/>
  <c r="F37" i="291" s="1"/>
  <c r="G51" i="291" a="1"/>
  <c r="G51" i="291" s="1"/>
  <c r="G58" i="291" a="1"/>
  <c r="G58" i="291" s="1"/>
  <c r="G65" i="291" a="1"/>
  <c r="G65" i="291" s="1"/>
  <c r="G72" i="291" a="1"/>
  <c r="G72" i="291" s="1"/>
  <c r="F80" i="291" a="1"/>
  <c r="F80" i="291" s="1"/>
  <c r="F87" i="291" a="1"/>
  <c r="F87" i="291" s="1"/>
  <c r="F94" i="291" a="1"/>
  <c r="F94" i="291" s="1"/>
  <c r="F98" i="291" a="1"/>
  <c r="F98" i="291" s="1"/>
  <c r="G100" i="291" a="1"/>
  <c r="G100" i="291" s="1"/>
  <c r="G102" i="291" a="1"/>
  <c r="G102" i="291" s="1"/>
  <c r="G105" i="291" a="1"/>
  <c r="G105" i="291" s="1"/>
  <c r="G107" i="291" a="1"/>
  <c r="G107" i="291" s="1"/>
  <c r="G112" i="291" a="1"/>
  <c r="G112" i="291" s="1"/>
  <c r="G114" i="291" a="1"/>
  <c r="G114" i="291" s="1"/>
  <c r="F117" i="291" a="1"/>
  <c r="F117" i="291" s="1"/>
  <c r="G119" i="291" a="1"/>
  <c r="G119" i="291" s="1"/>
  <c r="G123" i="291" a="1"/>
  <c r="G123" i="291" s="1"/>
  <c r="F126" i="291" a="1"/>
  <c r="F126" i="291" s="1"/>
  <c r="G128" i="291" a="1"/>
  <c r="G128" i="291" s="1"/>
  <c r="G130" i="291" a="1"/>
  <c r="G130" i="291" s="1"/>
  <c r="G133" i="291" a="1"/>
  <c r="G133" i="291" s="1"/>
  <c r="F135" i="291" a="1"/>
  <c r="F135" i="291" s="1"/>
  <c r="G137" i="291" a="1"/>
  <c r="G137" i="291" s="1"/>
  <c r="F140" i="291" a="1"/>
  <c r="F140" i="291" s="1"/>
  <c r="F142" i="291" a="1"/>
  <c r="F142" i="291" s="1"/>
  <c r="G144" i="291" a="1"/>
  <c r="G144" i="291" s="1"/>
  <c r="F147" i="291" a="1"/>
  <c r="F147" i="291" s="1"/>
  <c r="G149" i="291" a="1"/>
  <c r="G149" i="291" s="1"/>
  <c r="G151" i="291" a="1"/>
  <c r="G151" i="291" s="1"/>
  <c r="F154" i="291" a="1"/>
  <c r="F154" i="291" s="1"/>
  <c r="G156" i="291" a="1"/>
  <c r="G156" i="291" s="1"/>
  <c r="G158" i="291" a="1"/>
  <c r="G158" i="291" s="1"/>
  <c r="F161" i="291" a="1"/>
  <c r="F161" i="291" s="1"/>
  <c r="F163" i="291" a="1"/>
  <c r="F163" i="291" s="1"/>
  <c r="F165" i="291" a="1"/>
  <c r="F165" i="291" s="1"/>
  <c r="F167" i="291" a="1"/>
  <c r="F167" i="291" s="1"/>
  <c r="F169" i="291" a="1"/>
  <c r="F169" i="291" s="1"/>
  <c r="F171" i="291" a="1"/>
  <c r="F171" i="291" s="1"/>
  <c r="F173" i="291" a="1"/>
  <c r="F173" i="291" s="1"/>
  <c r="F175" i="291" a="1"/>
  <c r="F175" i="291" s="1"/>
  <c r="F177" i="291" a="1"/>
  <c r="F177" i="291" s="1"/>
  <c r="F179" i="291" a="1"/>
  <c r="F179" i="291" s="1"/>
  <c r="F181" i="291" a="1"/>
  <c r="F181" i="291" s="1"/>
  <c r="F183" i="291" a="1"/>
  <c r="F183" i="291" s="1"/>
  <c r="F185" i="291" a="1"/>
  <c r="F185" i="291" s="1"/>
  <c r="F187" i="291" a="1"/>
  <c r="F187" i="291" s="1"/>
  <c r="F189" i="291" a="1"/>
  <c r="F189" i="291" s="1"/>
  <c r="F191" i="291" a="1"/>
  <c r="F191" i="291" s="1"/>
  <c r="F193" i="291" a="1"/>
  <c r="F193" i="291" s="1"/>
  <c r="F195" i="291" a="1"/>
  <c r="F195" i="291" s="1"/>
  <c r="F197" i="291" a="1"/>
  <c r="F197" i="291" s="1"/>
  <c r="F199" i="291" a="1"/>
  <c r="F199" i="291" s="1"/>
  <c r="F201" i="291" a="1"/>
  <c r="F201" i="291" s="1"/>
  <c r="F203" i="291" a="1"/>
  <c r="F203" i="291" s="1"/>
  <c r="F205" i="291" a="1"/>
  <c r="F205" i="291" s="1"/>
  <c r="F207" i="291" a="1"/>
  <c r="F207" i="291" s="1"/>
  <c r="G170" i="291" a="1"/>
  <c r="G170" i="291" s="1"/>
  <c r="G178" i="291" a="1"/>
  <c r="G178" i="291" s="1"/>
  <c r="G186" i="291" a="1"/>
  <c r="G186" i="291" s="1"/>
  <c r="G194" i="291" a="1"/>
  <c r="G194" i="291" s="1"/>
  <c r="G202" i="291" a="1"/>
  <c r="G202" i="291" s="1"/>
  <c r="G164" i="291" a="1"/>
  <c r="G164" i="291" s="1"/>
  <c r="G172" i="291" a="1"/>
  <c r="G172" i="291" s="1"/>
  <c r="G180" i="291" a="1"/>
  <c r="G180" i="291" s="1"/>
  <c r="G188" i="291" a="1"/>
  <c r="G188" i="291" s="1"/>
  <c r="G196" i="291" a="1"/>
  <c r="G196" i="291" s="1"/>
  <c r="G204" i="291" a="1"/>
  <c r="G204" i="291" s="1"/>
  <c r="G166" i="291" a="1"/>
  <c r="G166" i="291" s="1"/>
  <c r="G174" i="291" a="1"/>
  <c r="G174" i="291" s="1"/>
  <c r="G182" i="291" a="1"/>
  <c r="G182" i="291" s="1"/>
  <c r="G190" i="291" a="1"/>
  <c r="G190" i="291" s="1"/>
  <c r="G198" i="291" a="1"/>
  <c r="G198" i="291" s="1"/>
  <c r="G206" i="291" a="1"/>
  <c r="G206" i="291" s="1"/>
  <c r="G168" i="291" a="1"/>
  <c r="G168" i="291" s="1"/>
  <c r="G176" i="291" a="1"/>
  <c r="G176" i="291" s="1"/>
  <c r="G184" i="291" a="1"/>
  <c r="G184" i="291" s="1"/>
  <c r="G192" i="291" a="1"/>
  <c r="G192" i="291" s="1"/>
  <c r="G200" i="291" a="1"/>
  <c r="G200" i="291" s="1"/>
  <c r="F8" i="291" a="1"/>
  <c r="F8" i="291" s="1"/>
  <c r="E3" i="290"/>
  <c r="G11" i="290" l="1" a="1"/>
  <c r="G11" i="290" s="1"/>
  <c r="G15" i="290" a="1"/>
  <c r="G15" i="290" s="1"/>
  <c r="G19" i="290" a="1"/>
  <c r="G19" i="290" s="1"/>
  <c r="G23" i="290" a="1"/>
  <c r="G23" i="290" s="1"/>
  <c r="G27" i="290" a="1"/>
  <c r="G27" i="290" s="1"/>
  <c r="D8" i="290"/>
  <c r="D12" i="290"/>
  <c r="D16" i="290"/>
  <c r="D20" i="290"/>
  <c r="D24" i="290"/>
  <c r="G12" i="290" a="1"/>
  <c r="G12" i="290" s="1"/>
  <c r="G20" i="290" a="1"/>
  <c r="G20" i="290" s="1"/>
  <c r="G24" i="290" a="1"/>
  <c r="G24" i="290" s="1"/>
  <c r="G8" i="290" a="1"/>
  <c r="G8" i="290" s="1"/>
  <c r="D9" i="290"/>
  <c r="D13" i="290"/>
  <c r="D17" i="290"/>
  <c r="D21" i="290"/>
  <c r="D25" i="290"/>
  <c r="G14" i="290" a="1"/>
  <c r="G14" i="290" s="1"/>
  <c r="G22" i="290" a="1"/>
  <c r="G22" i="290" s="1"/>
  <c r="D7" i="290"/>
  <c r="D19" i="290"/>
  <c r="G16" i="290" a="1"/>
  <c r="G16" i="290" s="1"/>
  <c r="G18" i="290" a="1"/>
  <c r="G18" i="290" s="1"/>
  <c r="D11" i="290"/>
  <c r="D23" i="290"/>
  <c r="G9" i="290" a="1"/>
  <c r="G9" i="290" s="1"/>
  <c r="G13" i="290" a="1"/>
  <c r="G13" i="290" s="1"/>
  <c r="G17" i="290" a="1"/>
  <c r="G17" i="290" s="1"/>
  <c r="G21" i="290" a="1"/>
  <c r="G21" i="290" s="1"/>
  <c r="G25" i="290" a="1"/>
  <c r="G25" i="290" s="1"/>
  <c r="D6" i="290"/>
  <c r="D10" i="290"/>
  <c r="D14" i="290"/>
  <c r="D18" i="290"/>
  <c r="D22" i="290"/>
  <c r="G10" i="290" a="1"/>
  <c r="G10" i="290" s="1"/>
  <c r="G26" i="290" a="1"/>
  <c r="G26" i="290" s="1"/>
  <c r="D15" i="290"/>
  <c r="A7" i="289"/>
  <c r="F12" i="289" l="1"/>
  <c r="F13" i="289"/>
  <c r="F14" i="289"/>
  <c r="F15" i="289"/>
  <c r="F16" i="289"/>
  <c r="F17" i="289"/>
  <c r="G12" i="289"/>
  <c r="G13" i="289"/>
  <c r="G14" i="289"/>
  <c r="G15" i="289"/>
  <c r="G16" i="289"/>
  <c r="G17" i="289"/>
  <c r="H12" i="289"/>
  <c r="H13" i="289"/>
  <c r="H14" i="289"/>
  <c r="H15" i="289"/>
  <c r="H16" i="289"/>
  <c r="H17" i="289"/>
  <c r="I12" i="289"/>
  <c r="I13" i="289"/>
  <c r="I14" i="289"/>
  <c r="I15" i="289"/>
  <c r="I16" i="289"/>
  <c r="I17" i="289"/>
  <c r="A7" i="288"/>
  <c r="A6" i="288"/>
  <c r="E10" i="286"/>
  <c r="E11" i="286" s="1"/>
  <c r="E12" i="286" s="1"/>
  <c r="E13" i="286" s="1"/>
  <c r="E14" i="286" s="1"/>
  <c r="E15" i="286" s="1"/>
  <c r="E16" i="286" s="1"/>
  <c r="E17" i="286" s="1"/>
  <c r="E18" i="286" s="1"/>
  <c r="E19" i="286" s="1"/>
  <c r="F13" i="288" l="1" a="1"/>
  <c r="F13" i="288" s="1"/>
  <c r="F14" i="288" a="1"/>
  <c r="F14" i="288" s="1"/>
  <c r="F15" i="288" a="1"/>
  <c r="F15" i="288" s="1"/>
  <c r="F16" i="288" a="1"/>
  <c r="F16" i="288" s="1"/>
  <c r="F17" i="288" a="1"/>
  <c r="F17" i="288" s="1"/>
  <c r="G12" i="288" a="1"/>
  <c r="G12" i="288" s="1"/>
  <c r="G13" i="288" a="1"/>
  <c r="G13" i="288" s="1"/>
  <c r="G14" i="288" a="1"/>
  <c r="G14" i="288" s="1"/>
  <c r="G15" i="288" a="1"/>
  <c r="G15" i="288" s="1"/>
  <c r="G16" i="288" a="1"/>
  <c r="G16" i="288" s="1"/>
  <c r="G17" i="288" a="1"/>
  <c r="G17" i="288" s="1"/>
  <c r="H13" i="288" a="1"/>
  <c r="H13" i="288" s="1"/>
  <c r="H14" i="288" a="1"/>
  <c r="H14" i="288" s="1"/>
  <c r="H15" i="288" a="1"/>
  <c r="H15" i="288" s="1"/>
  <c r="H16" i="288" a="1"/>
  <c r="H16" i="288" s="1"/>
  <c r="H17" i="288" a="1"/>
  <c r="H17" i="288" s="1"/>
  <c r="I12" i="288" a="1"/>
  <c r="I12" i="288" s="1"/>
  <c r="I13" i="288" a="1"/>
  <c r="I13" i="288" s="1"/>
  <c r="I14" i="288" a="1"/>
  <c r="I14" i="288" s="1"/>
  <c r="I15" i="288" a="1"/>
  <c r="I15" i="288" s="1"/>
  <c r="I16" i="288" a="1"/>
  <c r="I16" i="288" s="1"/>
  <c r="I17" i="288" a="1"/>
  <c r="I17" i="288" s="1"/>
  <c r="F12" i="288" a="1"/>
  <c r="F12" i="288" s="1"/>
  <c r="H12" i="288" a="1"/>
  <c r="H12" i="288" s="1"/>
  <c r="G6" i="286"/>
  <c r="H10" i="286" l="1"/>
  <c r="I9" i="286"/>
  <c r="H9" i="286"/>
  <c r="I10" i="286"/>
  <c r="E8" i="277"/>
  <c r="E9" i="277" s="1"/>
  <c r="E10" i="277" s="1"/>
  <c r="E11" i="277" s="1"/>
  <c r="E12" i="277" s="1"/>
  <c r="E13" i="277" s="1"/>
  <c r="E14" i="277" s="1"/>
  <c r="E15" i="277" s="1"/>
  <c r="E16" i="277" s="1"/>
  <c r="E17" i="277" s="1"/>
  <c r="E10" i="284"/>
  <c r="E11" i="284" s="1"/>
  <c r="E12" i="284" s="1"/>
  <c r="E13" i="284" s="1"/>
  <c r="E14" i="284" s="1"/>
  <c r="E15" i="284" s="1"/>
  <c r="E16" i="284" s="1"/>
  <c r="E17" i="284" s="1"/>
  <c r="E18" i="284" s="1"/>
  <c r="E19" i="284" s="1"/>
  <c r="H6" i="277" l="1"/>
  <c r="G6" i="278"/>
  <c r="G10" i="278" s="1"/>
  <c r="J12" i="277" l="1"/>
  <c r="J13" i="277"/>
  <c r="J14" i="277"/>
  <c r="J15" i="277"/>
  <c r="J16" i="277"/>
  <c r="J17" i="277"/>
  <c r="K13" i="277"/>
  <c r="K14" i="277"/>
  <c r="K15" i="277"/>
  <c r="K16" i="277"/>
  <c r="K17" i="277"/>
  <c r="K12" i="277"/>
  <c r="H12" i="277"/>
  <c r="H13" i="277"/>
  <c r="H14" i="277"/>
  <c r="H15" i="277"/>
  <c r="H16" i="277"/>
  <c r="H17" i="277"/>
  <c r="I12" i="277"/>
  <c r="I16" i="277"/>
  <c r="I17" i="277"/>
  <c r="I14" i="277"/>
  <c r="I15" i="277"/>
  <c r="I13" i="277"/>
  <c r="G11" i="278"/>
  <c r="G12" i="278"/>
  <c r="G13" i="278"/>
  <c r="G14" i="278"/>
  <c r="G15" i="278"/>
  <c r="G16" i="278"/>
  <c r="G17" i="278"/>
  <c r="G18" i="278"/>
  <c r="G19" i="278"/>
  <c r="H10" i="278"/>
  <c r="H11" i="278"/>
  <c r="H12" i="278"/>
  <c r="H13" i="278"/>
  <c r="H14" i="278"/>
  <c r="H15" i="278"/>
  <c r="H16" i="278"/>
  <c r="H17" i="278"/>
  <c r="H18" i="278"/>
  <c r="H19" i="278"/>
  <c r="I11" i="278"/>
  <c r="I12" i="278"/>
  <c r="I13" i="278"/>
  <c r="I14" i="278"/>
  <c r="I15" i="278"/>
  <c r="I16" i="278"/>
  <c r="I17" i="278"/>
  <c r="I18" i="278"/>
  <c r="I19" i="278"/>
  <c r="J10" i="278"/>
  <c r="J11" i="278"/>
  <c r="J12" i="278"/>
  <c r="J13" i="278"/>
  <c r="J14" i="278"/>
  <c r="J15" i="278"/>
  <c r="J16" i="278"/>
  <c r="J17" i="278"/>
  <c r="J18" i="278"/>
  <c r="J19" i="278"/>
  <c r="I10" i="278"/>
  <c r="E8" i="283"/>
  <c r="E9" i="283" s="1"/>
  <c r="E10" i="283" s="1"/>
  <c r="E11" i="283" s="1"/>
  <c r="E12" i="283" s="1"/>
  <c r="E13" i="283" s="1"/>
  <c r="E14" i="283" s="1"/>
  <c r="E15" i="283" s="1"/>
  <c r="E16" i="283" s="1"/>
  <c r="E17" i="283" s="1"/>
  <c r="E8" i="282"/>
  <c r="E9" i="282" s="1"/>
  <c r="E10" i="282" s="1"/>
  <c r="E11" i="282" s="1"/>
  <c r="E12" i="282" s="1"/>
  <c r="E13" i="282" s="1"/>
  <c r="E14" i="282" s="1"/>
  <c r="E15" i="282" s="1"/>
  <c r="E16" i="282" s="1"/>
  <c r="E17" i="282" s="1"/>
  <c r="G6" i="284" l="1"/>
  <c r="H6" i="283"/>
  <c r="H6" i="282"/>
  <c r="G12" i="284" l="1"/>
  <c r="G14" i="284"/>
  <c r="H10" i="284"/>
  <c r="H12" i="284"/>
  <c r="H14" i="284"/>
  <c r="G11" i="284"/>
  <c r="G13" i="284"/>
  <c r="G15" i="284"/>
  <c r="H11" i="284"/>
  <c r="H13" i="284"/>
  <c r="H15" i="284"/>
  <c r="G10" i="284"/>
  <c r="I14" i="283"/>
  <c r="I13" i="283"/>
  <c r="I15" i="283"/>
  <c r="I16" i="283"/>
  <c r="I17" i="283"/>
  <c r="J12" i="283"/>
  <c r="J13" i="283"/>
  <c r="J14" i="283"/>
  <c r="J15" i="283"/>
  <c r="J16" i="283"/>
  <c r="J17" i="283"/>
  <c r="K12" i="283"/>
  <c r="K13" i="283"/>
  <c r="K14" i="283"/>
  <c r="K15" i="283"/>
  <c r="K16" i="283"/>
  <c r="K17" i="283"/>
  <c r="H12" i="283"/>
  <c r="H13" i="283"/>
  <c r="H14" i="283"/>
  <c r="H15" i="283"/>
  <c r="H16" i="283"/>
  <c r="H17" i="283"/>
  <c r="I12" i="283"/>
  <c r="K17" i="282"/>
  <c r="H12" i="282"/>
  <c r="J17" i="282"/>
  <c r="K16" i="282"/>
  <c r="H15" i="282"/>
  <c r="I14" i="282"/>
  <c r="J13" i="282"/>
  <c r="K12" i="282"/>
  <c r="I17" i="282"/>
  <c r="J16" i="282"/>
  <c r="K15" i="282"/>
  <c r="H14" i="282"/>
  <c r="I13" i="282"/>
  <c r="J12" i="282"/>
  <c r="H17" i="282"/>
  <c r="I16" i="282"/>
  <c r="J15" i="282"/>
  <c r="K14" i="282"/>
  <c r="H13" i="282"/>
  <c r="I12" i="282"/>
  <c r="H16" i="282"/>
  <c r="I15" i="282"/>
  <c r="J14" i="282"/>
  <c r="K13" i="282"/>
  <c r="B7" i="275" l="1"/>
  <c r="E10" i="274"/>
  <c r="E11" i="274"/>
  <c r="E12" i="274"/>
  <c r="E13" i="274"/>
  <c r="E14" i="274"/>
  <c r="E15" i="274"/>
  <c r="E16" i="274"/>
  <c r="E17" i="274"/>
  <c r="E18" i="274"/>
  <c r="E9" i="274"/>
  <c r="C11" i="174" l="1"/>
  <c r="C10" i="174"/>
  <c r="C5" i="264" l="1"/>
  <c r="C4" i="263" l="1"/>
  <c r="C5" i="263"/>
  <c r="C6" i="263"/>
  <c r="C7" i="263"/>
  <c r="C8" i="263"/>
  <c r="C9" i="263"/>
  <c r="C10" i="263"/>
  <c r="C11" i="263"/>
  <c r="C12" i="263"/>
  <c r="C13" i="263"/>
  <c r="C14" i="263"/>
  <c r="C15" i="263"/>
  <c r="C3" i="263"/>
  <c r="B16" i="263"/>
  <c r="C7" i="262" a="1"/>
  <c r="C7" i="262" s="1"/>
  <c r="C5" i="262"/>
  <c r="A15" i="259" l="1" a="1"/>
  <c r="A15" i="259" s="1"/>
  <c r="A14" i="259" a="1"/>
  <c r="A14" i="259" s="1"/>
  <c r="F2" i="258" l="1" a="1"/>
  <c r="F2" i="258" s="1"/>
  <c r="F4" i="258" a="1"/>
  <c r="F4" i="258" s="1"/>
  <c r="F3" i="258" a="1"/>
  <c r="F3" i="258" s="1"/>
  <c r="C2" i="257" a="1"/>
  <c r="C2" i="257" s="1"/>
  <c r="E3" i="252" a="1"/>
  <c r="E3" i="252" s="1"/>
  <c r="E2" i="252" a="1"/>
  <c r="E2" i="252" s="1"/>
  <c r="A6" i="256"/>
  <c r="E9" i="256" s="1"/>
  <c r="E2" i="256" l="1" a="1"/>
  <c r="E2" i="256" s="1"/>
  <c r="G7" i="251"/>
  <c r="F7" i="251"/>
  <c r="G7" i="248"/>
  <c r="F7" i="248"/>
  <c r="E2" i="247" a="1"/>
  <c r="E2" i="247" s="1"/>
  <c r="E4" i="248" a="1"/>
  <c r="E4" i="248" s="1"/>
  <c r="E2" i="248" a="1"/>
  <c r="E2" i="248" s="1"/>
  <c r="E2" i="246" a="1"/>
  <c r="E2" i="246" s="1"/>
  <c r="E2" i="245" a="1"/>
  <c r="E2" i="245" s="1"/>
  <c r="E2" i="240" l="1" a="1"/>
  <c r="E2" i="240" s="1"/>
  <c r="E4" i="244"/>
  <c r="E2" i="244"/>
  <c r="E4" i="243"/>
  <c r="E2" i="243"/>
  <c r="F2" i="239"/>
  <c r="B3" i="238" l="1"/>
  <c r="A13" i="237" a="1"/>
  <c r="A13" i="237" s="1"/>
  <c r="C14" i="237"/>
  <c r="C3" i="237"/>
  <c r="C13" i="237"/>
  <c r="C2" i="237"/>
  <c r="A16" i="237"/>
  <c r="A6" i="237"/>
  <c r="A2" i="237" s="1"/>
  <c r="H4" i="235" l="1"/>
  <c r="G4" i="235"/>
  <c r="G10" i="235" s="1"/>
  <c r="H3" i="235"/>
  <c r="A1" i="235"/>
  <c r="H3" i="236"/>
  <c r="H4" i="236"/>
  <c r="G4" i="236"/>
  <c r="G10" i="236" s="1"/>
  <c r="H11" i="236" s="1"/>
  <c r="A1" i="236"/>
  <c r="H10" i="235" l="1"/>
  <c r="H11" i="235"/>
  <c r="G11" i="235"/>
  <c r="A8" i="235"/>
  <c r="H10" i="236"/>
  <c r="A8" i="236"/>
  <c r="G11" i="236"/>
  <c r="C3" i="234" l="1"/>
  <c r="C4" i="234"/>
  <c r="C5" i="234"/>
  <c r="C6" i="234"/>
  <c r="C7" i="234"/>
  <c r="C2" i="234"/>
  <c r="I5" i="234"/>
  <c r="I7" i="234"/>
  <c r="B8" i="234"/>
  <c r="C2" i="233" l="1"/>
  <c r="C2" i="232"/>
  <c r="A10" i="231" l="1"/>
  <c r="A14" i="231" a="1"/>
  <c r="A14" i="231" s="1"/>
  <c r="A13" i="231"/>
  <c r="A9" i="231"/>
  <c r="C2" i="230"/>
  <c r="C3" i="230"/>
  <c r="C4" i="230"/>
  <c r="C5" i="230"/>
  <c r="C6" i="230"/>
  <c r="C7" i="230"/>
  <c r="C8" i="230"/>
  <c r="A13" i="230"/>
  <c r="A12" i="230"/>
  <c r="A14" i="230"/>
  <c r="C3" i="231"/>
  <c r="C4" i="231"/>
  <c r="C5" i="231"/>
  <c r="C6" i="231"/>
  <c r="C2" i="231"/>
  <c r="A15" i="230"/>
  <c r="A12" i="231" l="1"/>
  <c r="A11" i="231"/>
  <c r="A11" i="230"/>
  <c r="B27" i="229"/>
  <c r="B20" i="229" a="1"/>
  <c r="B20" i="229" s="1"/>
  <c r="B19" i="229" a="1"/>
  <c r="B19" i="229" s="1"/>
  <c r="B18" i="229" a="1"/>
  <c r="B18" i="229" s="1"/>
  <c r="B17" i="229"/>
  <c r="B16" i="229" a="1"/>
  <c r="B16" i="229" s="1"/>
  <c r="A14" i="229"/>
  <c r="F7" i="229"/>
  <c r="F6" i="229"/>
  <c r="F5" i="229"/>
  <c r="F4" i="229"/>
  <c r="F3" i="229"/>
  <c r="F2" i="229"/>
  <c r="A14" i="224"/>
  <c r="B19" i="225"/>
  <c r="B15" i="225"/>
  <c r="B15" i="229" l="1"/>
  <c r="B17" i="224"/>
  <c r="B16" i="224" a="1"/>
  <c r="B16" i="224" s="1"/>
  <c r="B21" i="225" l="1" a="1"/>
  <c r="B21" i="225" s="1"/>
  <c r="B20" i="225"/>
  <c r="B17" i="225"/>
  <c r="B13" i="225"/>
  <c r="B13" i="228" l="1"/>
  <c r="B11" i="228"/>
  <c r="B12" i="227"/>
  <c r="B10" i="223" l="1"/>
  <c r="B14" i="225" l="1" a="1"/>
  <c r="B14" i="225" s="1"/>
  <c r="A10" i="225" l="1"/>
  <c r="B11" i="225"/>
  <c r="B19" i="224" a="1"/>
  <c r="B19" i="224" s="1"/>
  <c r="B20" i="224" a="1"/>
  <c r="B20" i="224" s="1"/>
  <c r="B10" i="228" a="1"/>
  <c r="B10" i="228" s="1"/>
  <c r="B12" i="228" a="1"/>
  <c r="B12" i="228" s="1"/>
  <c r="B11" i="227" a="1"/>
  <c r="B11" i="227" s="1"/>
  <c r="B13" i="227"/>
  <c r="B10" i="227" a="1"/>
  <c r="B10" i="227" s="1"/>
  <c r="B11" i="226" a="1"/>
  <c r="B11" i="226" s="1"/>
  <c r="B10" i="226"/>
  <c r="B27" i="224" l="1"/>
  <c r="F6" i="224"/>
  <c r="B18" i="224" a="1"/>
  <c r="B18" i="224" s="1"/>
  <c r="F3" i="224"/>
  <c r="F4" i="224"/>
  <c r="F5" i="224"/>
  <c r="F7" i="224"/>
  <c r="F2" i="224"/>
  <c r="B15" i="224" l="1"/>
  <c r="B11" i="223" l="1"/>
  <c r="B4" i="222" l="1"/>
  <c r="B10" i="221"/>
  <c r="B8" i="223" a="1"/>
  <c r="B8" i="223" s="1"/>
  <c r="B12" i="223"/>
  <c r="B6" i="222"/>
  <c r="B5" i="222" a="1"/>
  <c r="B5" i="222" s="1"/>
  <c r="B3" i="222"/>
  <c r="B2" i="222"/>
  <c r="B9" i="221"/>
  <c r="B12" i="221"/>
  <c r="B11" i="221" a="1"/>
  <c r="B11" i="221" s="1"/>
  <c r="B8" i="221"/>
  <c r="D2" i="220"/>
  <c r="D3" i="220"/>
  <c r="D4" i="220"/>
  <c r="D5" i="220"/>
  <c r="D6" i="220"/>
  <c r="B6" i="219"/>
  <c r="B5" i="219"/>
  <c r="B4" i="219"/>
  <c r="B3" i="219"/>
  <c r="B2" i="219"/>
  <c r="B1" i="219"/>
  <c r="E11" i="218" l="1"/>
  <c r="E12" i="218"/>
  <c r="E13" i="218"/>
  <c r="E14" i="218"/>
  <c r="E15" i="218"/>
  <c r="E16" i="218"/>
  <c r="E17" i="218"/>
  <c r="E10" i="218"/>
  <c r="E8" i="218"/>
  <c r="E7" i="218"/>
  <c r="E6" i="218"/>
  <c r="E5" i="218"/>
  <c r="E4" i="218"/>
  <c r="E3" i="218"/>
  <c r="E2" i="218"/>
  <c r="E1" i="218"/>
  <c r="E3" i="212" l="1"/>
  <c r="E4" i="212"/>
  <c r="E5" i="212"/>
  <c r="E6" i="212"/>
  <c r="E2" i="212"/>
  <c r="E2" i="207"/>
  <c r="E3" i="207"/>
  <c r="E4" i="207"/>
  <c r="E5" i="207"/>
  <c r="E6" i="207"/>
  <c r="B12" i="212" l="1"/>
  <c r="B12" i="207"/>
  <c r="B17" i="202"/>
  <c r="B15" i="202"/>
  <c r="B16" i="202" l="1"/>
  <c r="B18" i="202" l="1" a="1"/>
  <c r="B18" i="202" s="1"/>
  <c r="B12" i="202"/>
  <c r="B13" i="202"/>
  <c r="B14" i="202"/>
  <c r="A11" i="172" l="1" a="1"/>
  <c r="A11" i="172" s="1"/>
  <c r="A10" i="172"/>
  <c r="A6" i="172" a="1"/>
  <c r="A6" i="172" s="1"/>
  <c r="A5" i="172"/>
  <c r="B3" i="170" l="1"/>
  <c r="B4" i="170"/>
  <c r="A5" i="200" l="1"/>
  <c r="A5" i="199"/>
  <c r="A4" i="194"/>
  <c r="A5" i="198"/>
  <c r="A5" i="194"/>
  <c r="D7" i="192" l="1"/>
  <c r="A11" i="164" l="1" a="1"/>
  <c r="A11" i="164" s="1"/>
  <c r="D6" i="192" l="1"/>
  <c r="D5" i="192"/>
  <c r="D4" i="192"/>
  <c r="D3" i="192"/>
  <c r="D2" i="192"/>
  <c r="C2" i="181" l="1"/>
  <c r="F2" i="181" l="1"/>
  <c r="C3" i="181"/>
  <c r="F3" i="181"/>
  <c r="C4" i="181"/>
  <c r="F4" i="181"/>
  <c r="C5" i="181"/>
  <c r="F5" i="181"/>
  <c r="C6" i="181"/>
  <c r="F6" i="181"/>
  <c r="D2" i="182" l="1"/>
  <c r="F3" i="188"/>
  <c r="G3" i="188"/>
  <c r="F4" i="188"/>
  <c r="G4" i="188"/>
  <c r="F5" i="188"/>
  <c r="G5" i="188"/>
  <c r="E7" i="187"/>
  <c r="E5" i="187"/>
  <c r="E7" i="186"/>
  <c r="E5" i="186"/>
  <c r="E7" i="167" l="1"/>
  <c r="E5" i="167"/>
  <c r="D39" i="165" l="1"/>
  <c r="D6" i="165"/>
  <c r="E27" i="165"/>
  <c r="B8" i="176" l="1"/>
  <c r="B15" i="176"/>
  <c r="B5" i="175" l="1" a="1"/>
  <c r="B5" i="175" s="1"/>
  <c r="B4" i="175"/>
  <c r="A13" i="163"/>
  <c r="A24" i="165"/>
  <c r="B24" i="165"/>
  <c r="A25" i="165"/>
  <c r="B25" i="165"/>
  <c r="A26" i="165"/>
  <c r="B26" i="165"/>
  <c r="H2" i="174"/>
  <c r="H3" i="174"/>
  <c r="H4" i="174"/>
  <c r="D3" i="174"/>
  <c r="G3" i="174" s="1"/>
  <c r="G4" i="174"/>
  <c r="G2" i="174"/>
  <c r="B6" i="174" l="1"/>
  <c r="H5" i="174"/>
  <c r="B27" i="165"/>
  <c r="B4" i="163"/>
  <c r="E1" i="173"/>
  <c r="F5" i="173" s="1"/>
  <c r="D38" i="165"/>
  <c r="A10" i="164"/>
  <c r="F4" i="173" l="1"/>
  <c r="F6" i="173"/>
  <c r="F4" i="75"/>
  <c r="E3" i="161" l="1" a="1"/>
  <c r="E6" i="161" s="1"/>
  <c r="E9" i="161" l="1"/>
  <c r="E5" i="161"/>
  <c r="E8" i="161"/>
  <c r="E4" i="161"/>
  <c r="E7" i="161"/>
  <c r="E3" i="161"/>
  <c r="E10" i="161"/>
  <c r="E3" i="160"/>
  <c r="E4" i="160"/>
  <c r="E5" i="160"/>
  <c r="E6" i="160"/>
  <c r="E7" i="160"/>
  <c r="E8" i="160"/>
  <c r="E9" i="160"/>
  <c r="E10" i="160"/>
  <c r="E13" i="159"/>
  <c r="E12" i="159"/>
  <c r="E4" i="159" l="1"/>
  <c r="E10" i="159"/>
  <c r="E6" i="159"/>
  <c r="E7" i="159"/>
  <c r="E3" i="159"/>
  <c r="E9" i="159"/>
  <c r="E5" i="159"/>
  <c r="E8" i="159"/>
  <c r="B7" i="157" l="1"/>
  <c r="B3" i="157"/>
  <c r="C31" i="155" l="1"/>
  <c r="C20" i="155"/>
  <c r="C3" i="156" l="1"/>
  <c r="C4" i="156"/>
  <c r="C5" i="156"/>
  <c r="C6" i="156"/>
  <c r="C2" i="156"/>
  <c r="C30" i="155"/>
  <c r="C29" i="155"/>
  <c r="C28" i="155"/>
  <c r="C26" i="155"/>
  <c r="C27" i="155"/>
  <c r="I35" i="155"/>
  <c r="H35" i="155"/>
  <c r="G35" i="155"/>
  <c r="I34" i="155"/>
  <c r="H34" i="155"/>
  <c r="G34" i="155"/>
  <c r="G31" i="155" a="1"/>
  <c r="H31" i="155" s="1"/>
  <c r="G32" i="155" l="1"/>
  <c r="H32" i="155"/>
  <c r="G31" i="155"/>
  <c r="I31" i="155"/>
  <c r="I32" i="155"/>
  <c r="C25" i="155" l="1"/>
  <c r="C22" i="155"/>
  <c r="C23" i="155"/>
  <c r="C24" i="155"/>
  <c r="C19" i="155"/>
  <c r="C21" i="155" s="1"/>
  <c r="C17" i="155"/>
  <c r="C2" i="154" a="1"/>
  <c r="C3" i="154" s="1"/>
  <c r="C2" i="155"/>
  <c r="C4" i="155" l="1"/>
  <c r="C8" i="155"/>
  <c r="C5" i="155"/>
  <c r="C6" i="155"/>
  <c r="C7" i="155"/>
  <c r="C5" i="154"/>
  <c r="C2" i="154"/>
  <c r="C6" i="154"/>
  <c r="C4" i="154"/>
  <c r="C7" i="153" l="1" a="1"/>
  <c r="C10" i="153" s="1"/>
  <c r="C4" i="153"/>
  <c r="C2" i="153"/>
  <c r="C7" i="152" a="1"/>
  <c r="C8" i="152" s="1"/>
  <c r="C4" i="152"/>
  <c r="C2" i="152"/>
  <c r="C5" i="151"/>
  <c r="C2" i="151"/>
  <c r="K2" i="151"/>
  <c r="C9" i="153" l="1"/>
  <c r="C8" i="153"/>
  <c r="C11" i="153"/>
  <c r="C7" i="153"/>
  <c r="C7" i="152"/>
  <c r="A5" i="149" l="1" a="1"/>
  <c r="A5" i="149" s="1"/>
  <c r="B7" i="149" l="1"/>
  <c r="A6" i="149"/>
  <c r="A7" i="149"/>
  <c r="C5" i="149"/>
  <c r="C6" i="149"/>
  <c r="B5" i="149"/>
  <c r="C7" i="149"/>
  <c r="B6" i="149"/>
  <c r="A5" i="148" a="1"/>
  <c r="A5" i="148" s="1"/>
  <c r="A7" i="148" l="1"/>
  <c r="C5" i="148"/>
  <c r="B7" i="148"/>
  <c r="A6" i="148"/>
  <c r="C6" i="148"/>
  <c r="B5" i="148"/>
  <c r="C7" i="148"/>
  <c r="B6" i="148"/>
  <c r="A7" i="147" a="1"/>
  <c r="B7" i="147" s="1"/>
  <c r="A7" i="146" a="1"/>
  <c r="C7" i="146" s="1"/>
  <c r="B10" i="147" l="1"/>
  <c r="A9" i="147"/>
  <c r="C7" i="147"/>
  <c r="C9" i="147"/>
  <c r="B8" i="147"/>
  <c r="A7" i="147"/>
  <c r="C10" i="147"/>
  <c r="B9" i="147"/>
  <c r="A8" i="147"/>
  <c r="A10" i="147"/>
  <c r="C8" i="147"/>
  <c r="A10" i="146"/>
  <c r="C8" i="146"/>
  <c r="B7" i="146"/>
  <c r="C9" i="146"/>
  <c r="B8" i="146"/>
  <c r="A7" i="146"/>
  <c r="C10" i="146"/>
  <c r="B9" i="146"/>
  <c r="A8" i="146"/>
  <c r="B10" i="146"/>
  <c r="A9" i="146"/>
  <c r="A2" i="145" l="1" a="1"/>
  <c r="B2" i="145" s="1"/>
  <c r="A3" i="145" l="1"/>
  <c r="A4" i="145"/>
  <c r="A2" i="145"/>
  <c r="B3" i="145"/>
  <c r="B4" i="145"/>
  <c r="G2" i="144" a="1"/>
  <c r="G2" i="144" s="1"/>
  <c r="C2" i="144" a="1"/>
  <c r="C2" i="144" s="1"/>
  <c r="C2" i="143"/>
  <c r="C3" i="143"/>
  <c r="C4" i="143"/>
  <c r="F2" i="144" a="1"/>
  <c r="F4" i="144" s="1"/>
  <c r="E2" i="144" a="1"/>
  <c r="E4" i="144" s="1"/>
  <c r="H3" i="141"/>
  <c r="H4" i="141"/>
  <c r="H5" i="141"/>
  <c r="H6" i="141"/>
  <c r="H7" i="141"/>
  <c r="H8" i="141"/>
  <c r="H9" i="141"/>
  <c r="H10" i="141"/>
  <c r="H11" i="141"/>
  <c r="H12" i="141"/>
  <c r="G3" i="141"/>
  <c r="G4" i="141"/>
  <c r="G5" i="141"/>
  <c r="G6" i="141"/>
  <c r="G7" i="141"/>
  <c r="G8" i="141"/>
  <c r="G9" i="141"/>
  <c r="G10" i="141"/>
  <c r="G11" i="141"/>
  <c r="G12" i="141"/>
  <c r="G2" i="141"/>
  <c r="A12" i="141"/>
  <c r="F12" i="141"/>
  <c r="F3" i="141"/>
  <c r="F4" i="141"/>
  <c r="F5" i="141"/>
  <c r="F6" i="141"/>
  <c r="F7" i="141"/>
  <c r="F8" i="141"/>
  <c r="F9" i="141"/>
  <c r="F10" i="141"/>
  <c r="F11" i="141"/>
  <c r="F2" i="141"/>
  <c r="H2" i="141"/>
  <c r="A2" i="141"/>
  <c r="A3" i="141"/>
  <c r="A4" i="141"/>
  <c r="A5" i="141"/>
  <c r="A6" i="141"/>
  <c r="A7" i="141"/>
  <c r="A8" i="141"/>
  <c r="A9" i="141"/>
  <c r="A10" i="141"/>
  <c r="A11" i="141"/>
  <c r="A1" i="141"/>
  <c r="A12" i="140"/>
  <c r="I3" i="140"/>
  <c r="I4" i="140"/>
  <c r="I5" i="140"/>
  <c r="I6" i="140"/>
  <c r="I7" i="140"/>
  <c r="I8" i="140"/>
  <c r="I9" i="140"/>
  <c r="I10" i="140"/>
  <c r="I11" i="140"/>
  <c r="I12" i="140"/>
  <c r="I2" i="140"/>
  <c r="H3" i="140"/>
  <c r="H4" i="140"/>
  <c r="H5" i="140"/>
  <c r="H6" i="140"/>
  <c r="H7" i="140"/>
  <c r="H8" i="140"/>
  <c r="H9" i="140"/>
  <c r="H10" i="140"/>
  <c r="H11" i="140"/>
  <c r="H12" i="140"/>
  <c r="H2" i="140"/>
  <c r="G3" i="140"/>
  <c r="G4" i="140"/>
  <c r="G5" i="140"/>
  <c r="G6" i="140"/>
  <c r="G7" i="140"/>
  <c r="G8" i="140"/>
  <c r="G9" i="140"/>
  <c r="G10" i="140"/>
  <c r="G11" i="140"/>
  <c r="G12" i="140"/>
  <c r="G2" i="140"/>
  <c r="F3" i="140"/>
  <c r="F4" i="140"/>
  <c r="F5" i="140"/>
  <c r="F6" i="140"/>
  <c r="F7" i="140"/>
  <c r="F8" i="140"/>
  <c r="F9" i="140"/>
  <c r="F10" i="140"/>
  <c r="F11" i="140"/>
  <c r="F12" i="140"/>
  <c r="F2" i="140"/>
  <c r="A2" i="140"/>
  <c r="A3" i="140"/>
  <c r="A4" i="140"/>
  <c r="A5" i="140"/>
  <c r="A6" i="140"/>
  <c r="A7" i="140"/>
  <c r="A8" i="140"/>
  <c r="A9" i="140"/>
  <c r="A10" i="140"/>
  <c r="A11" i="140"/>
  <c r="A1" i="140"/>
  <c r="F1" i="141"/>
  <c r="H1" i="141"/>
  <c r="G1" i="141"/>
  <c r="F1" i="144"/>
  <c r="G1" i="144"/>
  <c r="E1" i="144"/>
  <c r="E2" i="145" l="1"/>
  <c r="G4" i="144"/>
  <c r="G3" i="144"/>
  <c r="C4" i="144"/>
  <c r="C3" i="144"/>
  <c r="E2" i="144"/>
  <c r="F2" i="144"/>
  <c r="E3" i="144"/>
  <c r="F3" i="144"/>
  <c r="A2" i="138"/>
  <c r="A3" i="138"/>
  <c r="A4" i="138"/>
  <c r="A5" i="138"/>
  <c r="A6" i="138"/>
  <c r="B1" i="139"/>
  <c r="C1" i="139"/>
  <c r="D1" i="139"/>
  <c r="E1" i="139"/>
  <c r="F1" i="139"/>
  <c r="A9" i="142"/>
  <c r="A8" i="142"/>
  <c r="A7" i="142"/>
  <c r="A6" i="142"/>
  <c r="A5" i="142"/>
  <c r="A4" i="142"/>
  <c r="A3" i="142"/>
  <c r="A2" i="142"/>
  <c r="A1" i="142"/>
  <c r="F1" i="140"/>
  <c r="I1" i="140"/>
  <c r="H1" i="140"/>
  <c r="G1" i="140"/>
  <c r="B1" i="134" l="1" a="1"/>
  <c r="D1" i="134" s="1"/>
  <c r="A2" i="133" a="1"/>
  <c r="A3" i="133" s="1"/>
  <c r="A2" i="131" a="1"/>
  <c r="A5" i="131" s="1"/>
  <c r="A1" i="130" a="1"/>
  <c r="A2" i="130" s="1"/>
  <c r="A5" i="130" l="1"/>
  <c r="A4" i="130"/>
  <c r="A1" i="130"/>
  <c r="F1" i="134"/>
  <c r="E1" i="134"/>
  <c r="C1" i="134"/>
  <c r="B1" i="134"/>
  <c r="A4" i="133"/>
  <c r="A6" i="133"/>
  <c r="A2" i="133"/>
  <c r="A5" i="133"/>
  <c r="A6" i="131"/>
  <c r="A3" i="131"/>
  <c r="A2" i="131"/>
  <c r="A4" i="131"/>
  <c r="A3" i="130"/>
  <c r="A2" i="129" l="1" a="1"/>
  <c r="A2" i="129" s="1"/>
  <c r="A5" i="129" l="1"/>
  <c r="A3" i="129"/>
  <c r="A4" i="129"/>
  <c r="A6" i="129"/>
  <c r="A2" i="132" a="1"/>
  <c r="A5" i="132" s="1"/>
  <c r="A6" i="132" l="1"/>
  <c r="A3" i="132"/>
  <c r="A2" i="132"/>
  <c r="A4" i="132"/>
  <c r="A2" i="125" l="1"/>
  <c r="A2" i="128"/>
  <c r="D3" i="127" a="1"/>
  <c r="D3" i="127" s="1"/>
  <c r="D4" i="127" a="1"/>
  <c r="D4" i="127" s="1"/>
  <c r="D5" i="127" a="1"/>
  <c r="D5" i="127" s="1"/>
  <c r="D2" i="127" a="1"/>
  <c r="D2" i="127" s="1"/>
  <c r="C9" i="124"/>
  <c r="C8" i="124"/>
  <c r="C7" i="124"/>
  <c r="C6" i="124"/>
  <c r="C5" i="124"/>
  <c r="C4" i="124"/>
  <c r="C3" i="124"/>
  <c r="C2" i="124"/>
  <c r="B7" i="117" l="1" a="1"/>
  <c r="B7" i="117" s="1"/>
  <c r="B7" i="118"/>
  <c r="D3" i="122" l="1"/>
  <c r="D4" i="122"/>
  <c r="D5" i="122"/>
  <c r="B9" i="123"/>
  <c r="B11" i="105" l="1"/>
  <c r="E2" i="121"/>
  <c r="D6" i="120"/>
  <c r="E6" i="120" s="1"/>
  <c r="E3" i="121"/>
  <c r="E3" i="120"/>
  <c r="E5" i="120" l="1"/>
  <c r="E2" i="120"/>
  <c r="B7" i="116" l="1"/>
  <c r="B3" i="114" l="1"/>
  <c r="B4" i="114"/>
  <c r="B5" i="114"/>
  <c r="B2" i="114"/>
  <c r="B5" i="115"/>
  <c r="B4" i="115"/>
  <c r="B3" i="115"/>
  <c r="B2" i="115"/>
  <c r="B3" i="113"/>
  <c r="B4" i="113"/>
  <c r="B5" i="113"/>
  <c r="B2" i="113"/>
  <c r="B3" i="112"/>
  <c r="B4" i="112"/>
  <c r="B5" i="112"/>
  <c r="B2" i="112"/>
  <c r="C2" i="104" l="1"/>
  <c r="G6" i="106" l="1"/>
  <c r="G5" i="106"/>
  <c r="G4" i="106"/>
  <c r="G3" i="106"/>
  <c r="B9" i="105" a="1"/>
  <c r="B9" i="105" s="1"/>
  <c r="B9" i="101"/>
  <c r="B9" i="102"/>
  <c r="A15" i="91" l="1"/>
  <c r="B10" i="91"/>
  <c r="B7" i="99" l="1" a="1"/>
  <c r="B7" i="99" s="1"/>
  <c r="B10" i="97" l="1"/>
  <c r="B9" i="97"/>
  <c r="B10" i="96"/>
  <c r="D3" i="90"/>
  <c r="D4" i="90"/>
  <c r="D5" i="90"/>
  <c r="D6" i="90"/>
  <c r="D7" i="90"/>
  <c r="B11" i="97" l="1"/>
  <c r="B9" i="96"/>
  <c r="B11" i="96" s="1"/>
  <c r="B9" i="91" l="1"/>
  <c r="B9" i="90"/>
  <c r="B10" i="90"/>
  <c r="B11" i="90" l="1"/>
  <c r="C2" i="85" l="1"/>
  <c r="C1" i="85" l="1"/>
  <c r="C3" i="84"/>
  <c r="C2" i="84"/>
  <c r="F4" i="76" l="1"/>
  <c r="F5" i="63" a="1"/>
  <c r="F5" i="63" s="1"/>
  <c r="G5" i="63" a="1"/>
  <c r="G5" i="63" s="1"/>
  <c r="F6" i="63" a="1"/>
  <c r="F6" i="63" s="1"/>
  <c r="G6" i="63" a="1"/>
  <c r="G6" i="63" s="1"/>
  <c r="F7" i="63" a="1"/>
  <c r="F7" i="63" s="1"/>
  <c r="G7" i="63" a="1"/>
  <c r="G7" i="63" s="1"/>
  <c r="F8" i="63" a="1"/>
  <c r="F8" i="63" s="1"/>
  <c r="G8" i="63" a="1"/>
  <c r="G8" i="63" s="1"/>
  <c r="F9" i="63" a="1"/>
  <c r="F9" i="63" s="1"/>
  <c r="G9" i="63" a="1"/>
  <c r="G9" i="63" s="1"/>
  <c r="F10" i="63" a="1"/>
  <c r="F10" i="63" s="1"/>
  <c r="G10" i="63" a="1"/>
  <c r="G10" i="63" s="1"/>
  <c r="G4" i="63" a="1"/>
  <c r="G4" i="63" s="1"/>
  <c r="F4" i="63" a="1"/>
  <c r="F4" i="63" s="1"/>
  <c r="K5" i="63" a="1"/>
  <c r="K5" i="63" s="1"/>
  <c r="L5" i="63" a="1"/>
  <c r="L5" i="63" s="1"/>
  <c r="K6" i="63" a="1"/>
  <c r="K6" i="63" s="1"/>
  <c r="L6" i="63" a="1"/>
  <c r="L6" i="63" s="1"/>
  <c r="K7" i="63" a="1"/>
  <c r="K7" i="63" s="1"/>
  <c r="L7" i="63" a="1"/>
  <c r="L7" i="63" s="1"/>
  <c r="K8" i="63" a="1"/>
  <c r="K8" i="63" s="1"/>
  <c r="L8" i="63" a="1"/>
  <c r="L8" i="63" s="1"/>
  <c r="K9" i="63" a="1"/>
  <c r="K9" i="63" s="1"/>
  <c r="L9" i="63" a="1"/>
  <c r="L9" i="63" s="1"/>
  <c r="K10" i="63" a="1"/>
  <c r="K10" i="63" s="1"/>
  <c r="L10" i="63" a="1"/>
  <c r="L10" i="63" s="1"/>
  <c r="L4" i="63" a="1"/>
  <c r="L4" i="63" s="1"/>
  <c r="K4" i="63" a="1"/>
  <c r="K4" i="63" s="1"/>
  <c r="F5" i="56"/>
  <c r="F5" i="76" l="1" a="1"/>
  <c r="F5" i="76" s="1"/>
  <c r="G5" i="76" a="1"/>
  <c r="G5" i="76" s="1"/>
  <c r="F6" i="76" a="1"/>
  <c r="F6" i="76" s="1"/>
  <c r="G6" i="76" a="1"/>
  <c r="G6" i="76" s="1"/>
  <c r="F7" i="76" a="1"/>
  <c r="F7" i="76" s="1"/>
  <c r="G7" i="76" a="1"/>
  <c r="G7" i="76" s="1"/>
  <c r="F8" i="76" a="1"/>
  <c r="F8" i="76" s="1"/>
  <c r="G8" i="76" a="1"/>
  <c r="G8" i="76" s="1"/>
  <c r="F9" i="76" a="1"/>
  <c r="F9" i="76" s="1"/>
  <c r="G9" i="76" a="1"/>
  <c r="G9" i="76" s="1"/>
  <c r="F10" i="76" a="1"/>
  <c r="F10" i="76" s="1"/>
  <c r="G10" i="76" a="1"/>
  <c r="G10" i="76" s="1"/>
  <c r="G4" i="76" a="1"/>
  <c r="G4" i="76" s="1"/>
  <c r="F5" i="74" a="1"/>
  <c r="F5" i="74" s="1"/>
  <c r="G5" i="74" a="1"/>
  <c r="G5" i="74" s="1"/>
  <c r="F6" i="74" a="1"/>
  <c r="F6" i="74" s="1"/>
  <c r="G6" i="74" a="1"/>
  <c r="G6" i="74" s="1"/>
  <c r="F7" i="74" a="1"/>
  <c r="F7" i="74" s="1"/>
  <c r="G7" i="74" a="1"/>
  <c r="G7" i="74" s="1"/>
  <c r="F8" i="74" a="1"/>
  <c r="F8" i="74" s="1"/>
  <c r="G8" i="74" a="1"/>
  <c r="G8" i="74" s="1"/>
  <c r="F9" i="74" a="1"/>
  <c r="F9" i="74" s="1"/>
  <c r="G9" i="74" a="1"/>
  <c r="G9" i="74" s="1"/>
  <c r="F10" i="74" a="1"/>
  <c r="F10" i="74" s="1"/>
  <c r="G10" i="74" a="1"/>
  <c r="G10" i="74" s="1"/>
  <c r="G4" i="74" a="1"/>
  <c r="G4" i="74" s="1"/>
  <c r="F4" i="74" a="1"/>
  <c r="F4" i="74" s="1"/>
  <c r="A14" i="71" l="1"/>
  <c r="A8" i="71"/>
  <c r="A4" i="71"/>
  <c r="A5" i="71"/>
  <c r="A13" i="71"/>
  <c r="A10" i="71"/>
  <c r="A16" i="71"/>
  <c r="A11" i="71"/>
  <c r="A15" i="71"/>
  <c r="A9" i="71"/>
  <c r="A6" i="71"/>
  <c r="A3" i="71"/>
  <c r="A7" i="71"/>
  <c r="A12" i="71"/>
  <c r="G10" i="75"/>
  <c r="F10" i="75"/>
  <c r="G9" i="75"/>
  <c r="F9" i="75"/>
  <c r="G8" i="75"/>
  <c r="F8" i="75"/>
  <c r="G7" i="75"/>
  <c r="F7" i="75"/>
  <c r="G6" i="75"/>
  <c r="F6" i="75"/>
  <c r="G5" i="75"/>
  <c r="F5" i="75"/>
  <c r="G4" i="75"/>
  <c r="G5" i="71" l="1"/>
  <c r="H10" i="71"/>
  <c r="H8" i="71"/>
  <c r="H6" i="71"/>
  <c r="G10" i="71"/>
  <c r="G8" i="71"/>
  <c r="G6" i="71"/>
  <c r="G4" i="71"/>
  <c r="H9" i="71"/>
  <c r="H7" i="71"/>
  <c r="H5" i="71"/>
  <c r="H4" i="71"/>
  <c r="G9" i="71"/>
  <c r="G7" i="71"/>
  <c r="A3" i="67"/>
  <c r="E3" i="66"/>
  <c r="F3" i="66"/>
  <c r="G3" i="66"/>
  <c r="G4" i="66" l="1"/>
  <c r="H8" i="67"/>
  <c r="A4" i="67"/>
  <c r="G6" i="67" s="1"/>
  <c r="A5" i="67"/>
  <c r="A6" i="67"/>
  <c r="A7" i="67"/>
  <c r="A8" i="67"/>
  <c r="A9" i="67"/>
  <c r="A10" i="67"/>
  <c r="A11" i="67"/>
  <c r="A12" i="67"/>
  <c r="A13" i="67"/>
  <c r="A14" i="67"/>
  <c r="A15" i="67"/>
  <c r="A16" i="67"/>
  <c r="H5" i="67" l="1"/>
  <c r="H6" i="67"/>
  <c r="H10" i="67"/>
  <c r="G8" i="67"/>
  <c r="G9" i="67"/>
  <c r="G7" i="67"/>
  <c r="G5" i="67"/>
  <c r="H4" i="67"/>
  <c r="G10" i="67"/>
  <c r="G4" i="67"/>
  <c r="H9" i="67"/>
  <c r="H7" i="67"/>
  <c r="E13" i="62"/>
  <c r="F10" i="62" a="1"/>
  <c r="F10" i="62" s="1"/>
  <c r="F11" i="62" a="1"/>
  <c r="F11" i="62" s="1"/>
  <c r="F9" i="62" a="1"/>
  <c r="F9" i="62" s="1"/>
  <c r="E11" i="62"/>
  <c r="E10" i="62"/>
  <c r="E9" i="62"/>
  <c r="F5" i="62" a="1"/>
  <c r="F5" i="62" s="1"/>
  <c r="F6" i="62" a="1"/>
  <c r="F6" i="62" s="1"/>
  <c r="F4" i="62" a="1"/>
  <c r="F4" i="62" s="1"/>
  <c r="E4" i="62"/>
  <c r="E5" i="62"/>
  <c r="E6" i="62"/>
  <c r="A1" i="60" l="1"/>
  <c r="F2" i="59"/>
  <c r="E2" i="59"/>
  <c r="A1" i="59"/>
  <c r="F4" i="59" l="1"/>
  <c r="F6" i="59" s="1"/>
  <c r="F6" i="56"/>
  <c r="F7" i="56"/>
  <c r="B9" i="35" a="1"/>
  <c r="B9" i="35" s="1"/>
  <c r="F6" i="55" a="1"/>
  <c r="F6" i="55" s="1"/>
  <c r="F7" i="55" a="1"/>
  <c r="F7" i="55" s="1"/>
  <c r="F5" i="55" a="1"/>
  <c r="F5" i="55" s="1"/>
  <c r="I7" i="56"/>
  <c r="I6" i="56"/>
  <c r="I5" i="56"/>
  <c r="F4" i="56"/>
  <c r="E4" i="56"/>
  <c r="E2" i="56"/>
  <c r="A1" i="56"/>
  <c r="E4" i="55" l="1"/>
  <c r="F4" i="55"/>
  <c r="E2" i="55"/>
  <c r="A1" i="55"/>
  <c r="R1" i="55"/>
  <c r="Q1" i="55"/>
  <c r="E6" i="54" l="1"/>
  <c r="A1" i="54"/>
  <c r="E4" i="51" a="1"/>
  <c r="E4" i="51" s="1"/>
  <c r="E5" i="51" a="1"/>
  <c r="E5" i="51" s="1"/>
  <c r="F6" i="49" a="1"/>
  <c r="F6" i="49" s="1"/>
  <c r="F7" i="49" a="1"/>
  <c r="F7" i="49" s="1"/>
  <c r="F5" i="49" a="1"/>
  <c r="F5" i="49" s="1"/>
  <c r="A1" i="53"/>
  <c r="A1" i="49"/>
  <c r="E3" i="51" l="1" a="1"/>
  <c r="E3" i="51" s="1"/>
  <c r="E3" i="45" l="1"/>
  <c r="E7" i="46"/>
  <c r="E5" i="46"/>
  <c r="E3" i="46"/>
  <c r="E3" i="47"/>
  <c r="E5" i="47" s="1"/>
  <c r="E4" i="43" l="1" a="1"/>
  <c r="E4" i="43" s="1"/>
  <c r="E5" i="43" a="1"/>
  <c r="E5" i="43" s="1"/>
  <c r="E3" i="43" a="1"/>
  <c r="E3" i="43" s="1"/>
  <c r="B10" i="42" l="1" a="1"/>
  <c r="B10" i="42" s="1"/>
  <c r="B2" i="38"/>
  <c r="B3" i="38"/>
  <c r="B4" i="38"/>
  <c r="B5" i="38"/>
  <c r="B8" i="39"/>
  <c r="B7" i="38" l="1"/>
  <c r="B10" i="38" s="1"/>
  <c r="B8" i="37" l="1"/>
  <c r="B9" i="37" s="1"/>
  <c r="B8" i="13" a="1"/>
  <c r="B8" i="13" s="1"/>
  <c r="B8" i="36"/>
  <c r="C5" i="36" s="1"/>
  <c r="B8" i="32"/>
  <c r="C4" i="36" l="1"/>
  <c r="C2" i="36"/>
  <c r="C3" i="36"/>
  <c r="B9" i="36" s="1"/>
  <c r="B8" i="35" l="1"/>
  <c r="E6" i="34"/>
  <c r="E5" i="34"/>
  <c r="E4" i="34"/>
  <c r="E3" i="34"/>
  <c r="C10" i="33"/>
  <c r="F2" i="33"/>
  <c r="F5" i="33"/>
  <c r="B8" i="33" a="1"/>
  <c r="B8" i="33" s="1"/>
  <c r="B8" i="34" l="1"/>
  <c r="F7" i="33"/>
  <c r="F6" i="33"/>
  <c r="F4" i="33"/>
  <c r="F3" i="33"/>
  <c r="E6" i="13" l="1"/>
  <c r="E5" i="13"/>
  <c r="E4" i="13"/>
  <c r="E3" i="13"/>
  <c r="E6" i="5"/>
  <c r="E5" i="5"/>
  <c r="E4" i="5"/>
  <c r="E3" i="5"/>
  <c r="E8" i="5" s="1"/>
  <c r="E6" i="12" l="1"/>
  <c r="E5" i="12"/>
  <c r="E4" i="12"/>
  <c r="E3" i="12"/>
  <c r="B8" i="12" s="1"/>
  <c r="D8" i="11" l="1" a="1"/>
  <c r="D8" i="11" s="1"/>
  <c r="B3" i="4" l="1"/>
  <c r="F3" i="3"/>
  <c r="G8" i="3" s="1"/>
  <c r="G7" i="2"/>
  <c r="D4" i="2"/>
  <c r="D5" i="2"/>
  <c r="D6" i="2"/>
  <c r="D7" i="2"/>
  <c r="D3" i="2"/>
  <c r="B4" i="4"/>
  <c r="I8" i="3" l="1"/>
  <c r="I9" i="3"/>
  <c r="I10" i="3"/>
  <c r="I11" i="3"/>
  <c r="J8" i="3"/>
  <c r="J9" i="3"/>
  <c r="J10" i="3"/>
  <c r="J11" i="3"/>
  <c r="G9" i="3"/>
  <c r="G10" i="3"/>
  <c r="G11" i="3"/>
  <c r="H8" i="3"/>
  <c r="H9" i="3"/>
  <c r="H10" i="3"/>
  <c r="H11" i="3"/>
  <c r="D8" i="2"/>
  <c r="E5" i="1" a="1"/>
  <c r="E5" i="1" s="1"/>
  <c r="E4" i="1" a="1"/>
  <c r="E4" i="1" s="1"/>
  <c r="E3" i="1" a="1"/>
  <c r="E3" i="1" s="1"/>
</calcChain>
</file>

<file path=xl/sharedStrings.xml><?xml version="1.0" encoding="utf-8"?>
<sst xmlns="http://schemas.openxmlformats.org/spreadsheetml/2006/main" count="7495" uniqueCount="1901">
  <si>
    <t>City</t>
  </si>
  <si>
    <t>Times (h)</t>
  </si>
  <si>
    <t>Min Time</t>
  </si>
  <si>
    <t>Seattle</t>
  </si>
  <si>
    <t>Oakland</t>
  </si>
  <si>
    <t>Tacoma</t>
  </si>
  <si>
    <t>Calculate smallest sample time for each city in sample.</t>
  </si>
  <si>
    <t>&lt;
&lt;
&lt;</t>
  </si>
  <si>
    <t>Date</t>
  </si>
  <si>
    <t>ItemSold</t>
  </si>
  <si>
    <t>Price</t>
  </si>
  <si>
    <t>Cost</t>
  </si>
  <si>
    <t>Product 1</t>
  </si>
  <si>
    <t>Product 2</t>
  </si>
  <si>
    <t>Product 3</t>
  </si>
  <si>
    <t>Total</t>
  </si>
  <si>
    <t>Lookup Table:</t>
  </si>
  <si>
    <t>Product</t>
  </si>
  <si>
    <t>Single Cell Method</t>
  </si>
  <si>
    <t>(saves space)</t>
  </si>
  <si>
    <t>Lookup and add all costs associated with products.</t>
  </si>
  <si>
    <t>Criteria:</t>
  </si>
  <si>
    <t>Region</t>
  </si>
  <si>
    <t>East</t>
  </si>
  <si>
    <t>Customer</t>
  </si>
  <si>
    <t>Units</t>
  </si>
  <si>
    <t>Extract Area:</t>
  </si>
  <si>
    <t>West</t>
  </si>
  <si>
    <t>WFMI</t>
  </si>
  <si>
    <t>No</t>
  </si>
  <si>
    <t>SW</t>
  </si>
  <si>
    <t>Midwest</t>
  </si>
  <si>
    <t>K</t>
  </si>
  <si>
    <t>Count</t>
  </si>
  <si>
    <t>Extract records automatically when criteria in cells is changes.</t>
  </si>
  <si>
    <t>How Many Friday 13th between these two dates?</t>
  </si>
  <si>
    <t>Start</t>
  </si>
  <si>
    <t>End</t>
  </si>
  <si>
    <t>Count How Many Fri, 13ths:</t>
  </si>
  <si>
    <t>Sioux</t>
  </si>
  <si>
    <t>Stock</t>
  </si>
  <si>
    <t>Open</t>
  </si>
  <si>
    <t>Close</t>
  </si>
  <si>
    <t>Change</t>
  </si>
  <si>
    <t>GOOG</t>
  </si>
  <si>
    <t>MAX</t>
  </si>
  <si>
    <t>Calculate change in stock value.</t>
  </si>
  <si>
    <t>Calculate maximum stock change.</t>
  </si>
  <si>
    <t>Goal: Calculate maximum stock change.</t>
  </si>
  <si>
    <t xml:space="preserve"> &lt;&lt;== Helper Column</t>
  </si>
  <si>
    <t xml:space="preserve"> to show all the detail</t>
  </si>
  <si>
    <t>Add</t>
  </si>
  <si>
    <t>Goal: Add all stock changes.</t>
  </si>
  <si>
    <t>Item</t>
  </si>
  <si>
    <t>GG-234</t>
  </si>
  <si>
    <t>GG-419</t>
  </si>
  <si>
    <t>HG-977</t>
  </si>
  <si>
    <t>RG-327</t>
  </si>
  <si>
    <t>Discount</t>
  </si>
  <si>
    <t>{762;757;763;768}-{759;765;756;762}</t>
  </si>
  <si>
    <t>{3;-8;7;6}</t>
  </si>
  <si>
    <t>D3:D6-C3:C6</t>
  </si>
  <si>
    <t>{759-762;765-757;756-763;762-768}</t>
  </si>
  <si>
    <t>Net Cost</t>
  </si>
  <si>
    <t>Net Cost After Discount</t>
  </si>
  <si>
    <t xml:space="preserve"> &lt;= Helper Column</t>
  </si>
  <si>
    <r>
      <t>B2:B5*</t>
    </r>
    <r>
      <rPr>
        <b/>
        <sz val="11"/>
        <color theme="1"/>
        <rFont val="Calibri"/>
        <family val="2"/>
        <scheme val="minor"/>
      </rPr>
      <t>B8</t>
    </r>
  </si>
  <si>
    <r>
      <t>{12;27;9;18}*</t>
    </r>
    <r>
      <rPr>
        <b/>
        <sz val="11"/>
        <color theme="1"/>
        <rFont val="Calibri"/>
        <family val="2"/>
        <scheme val="minor"/>
      </rPr>
      <t>0.85</t>
    </r>
  </si>
  <si>
    <r>
      <t>{12*</t>
    </r>
    <r>
      <rPr>
        <b/>
        <sz val="11"/>
        <color theme="1"/>
        <rFont val="Calibri"/>
        <family val="2"/>
        <scheme val="minor"/>
      </rPr>
      <t>0.85</t>
    </r>
    <r>
      <rPr>
        <sz val="11"/>
        <color theme="1"/>
        <rFont val="Calibri"/>
        <family val="2"/>
        <scheme val="minor"/>
      </rPr>
      <t>;27*</t>
    </r>
    <r>
      <rPr>
        <b/>
        <sz val="11"/>
        <color theme="1"/>
        <rFont val="Calibri"/>
        <family val="2"/>
        <scheme val="minor"/>
      </rPr>
      <t>0.85</t>
    </r>
    <r>
      <rPr>
        <sz val="11"/>
        <color theme="1"/>
        <rFont val="Calibri"/>
        <family val="2"/>
        <scheme val="minor"/>
      </rPr>
      <t>;9*</t>
    </r>
    <r>
      <rPr>
        <b/>
        <sz val="11"/>
        <color theme="1"/>
        <rFont val="Calibri"/>
        <family val="2"/>
        <scheme val="minor"/>
      </rPr>
      <t>0.86</t>
    </r>
    <r>
      <rPr>
        <sz val="11"/>
        <color theme="1"/>
        <rFont val="Calibri"/>
        <family val="2"/>
        <scheme val="minor"/>
      </rPr>
      <t>;18*</t>
    </r>
    <r>
      <rPr>
        <b/>
        <sz val="11"/>
        <color theme="1"/>
        <rFont val="Calibri"/>
        <family val="2"/>
        <scheme val="minor"/>
      </rPr>
      <t>0.85</t>
    </r>
    <r>
      <rPr>
        <sz val="11"/>
        <color theme="1"/>
        <rFont val="Calibri"/>
        <family val="2"/>
        <scheme val="minor"/>
      </rPr>
      <t>}</t>
    </r>
  </si>
  <si>
    <t>{10.2;22.95;7.65;15.3}</t>
  </si>
  <si>
    <t>Retail Price</t>
  </si>
  <si>
    <t>Net Cost Equivalent</t>
  </si>
  <si>
    <t>Quad</t>
  </si>
  <si>
    <t>Complement</t>
  </si>
  <si>
    <t>Series Discounts</t>
  </si>
  <si>
    <t>Calculate smallest time for each city</t>
  </si>
  <si>
    <t>Step 2: Type all city names in range D6:D8.</t>
  </si>
  <si>
    <t>Step 3: In cell E5, create formula that points to cell E3.</t>
  </si>
  <si>
    <t>Step 4: Highlight range D5:E8, Alt, D, T to open Data Table dialog box.</t>
  </si>
  <si>
    <t>Step 5: Enter D3 in text box for "Column input cell". See dialog box =&gt;&gt;</t>
  </si>
  <si>
    <t>Step 1: Data set must have field names and should have empty cells around data set.</t>
  </si>
  <si>
    <t>Step 1: Create formula in cell E3.</t>
  </si>
  <si>
    <t>Step 4: Drag "City" field to Rows and "Times (h)" field to Values.</t>
  </si>
  <si>
    <t>Min of Times (h)</t>
  </si>
  <si>
    <t>Step 2: With a single cell in your data set, go to the Interest Ribbon tab, Table group, PivotTable.</t>
  </si>
  <si>
    <t>Step 3: In the PivotTable dialog box enter cell D1 in the "Existing worksheet location" textbox .</t>
  </si>
  <si>
    <t>Step 5: Right-click values in PivotTable and click on "Value field settings". Then in "Value field settings" dialog box, chose MIN function.</t>
  </si>
  <si>
    <t>Step 6: Right-click PivotTable and click on "PivotTable Options". Then in "PivotTable Options" dialog box on "Total and Filters" tab, uncheck grand totals.</t>
  </si>
  <si>
    <t>Step 7: On PivotTable Tools Design Ribbon tab, in the Report Layout group, select Tabular</t>
  </si>
  <si>
    <t>Grand Total</t>
  </si>
  <si>
    <t>Sales Rep</t>
  </si>
  <si>
    <t>Sales</t>
  </si>
  <si>
    <t>Chin</t>
  </si>
  <si>
    <t>Moe</t>
  </si>
  <si>
    <t>Max of Sales</t>
  </si>
  <si>
    <r>
      <t xml:space="preserve"> =MAX(IF({</t>
    </r>
    <r>
      <rPr>
        <b/>
        <sz val="11"/>
        <color theme="1"/>
        <rFont val="Calibri"/>
        <family val="2"/>
        <scheme val="minor"/>
      </rPr>
      <t>TRUE</t>
    </r>
    <r>
      <rPr>
        <sz val="11"/>
        <color theme="1"/>
        <rFont val="Calibri"/>
        <family val="2"/>
        <scheme val="minor"/>
      </rPr>
      <t>;FALSE;TRUE;</t>
    </r>
    <r>
      <rPr>
        <b/>
        <sz val="11"/>
        <color theme="1"/>
        <rFont val="Calibri"/>
        <family val="2"/>
        <scheme val="minor"/>
      </rPr>
      <t>TRUE</t>
    </r>
    <r>
      <rPr>
        <sz val="11"/>
        <color theme="1"/>
        <rFont val="Calibri"/>
        <family val="2"/>
        <scheme val="minor"/>
      </rPr>
      <t>;FALSE;TRUE;FALSE;FALSE;FALSE;TRUE},IF({</t>
    </r>
    <r>
      <rPr>
        <b/>
        <sz val="11"/>
        <color theme="1"/>
        <rFont val="Calibri"/>
        <family val="2"/>
        <scheme val="minor"/>
      </rPr>
      <t>TRUE</t>
    </r>
    <r>
      <rPr>
        <sz val="11"/>
        <color theme="1"/>
        <rFont val="Calibri"/>
        <family val="2"/>
        <scheme val="minor"/>
      </rPr>
      <t>;FALSE;FALSE;</t>
    </r>
    <r>
      <rPr>
        <b/>
        <sz val="11"/>
        <color theme="1"/>
        <rFont val="Calibri"/>
        <family val="2"/>
        <scheme val="minor"/>
      </rPr>
      <t>TRUE</t>
    </r>
    <r>
      <rPr>
        <sz val="11"/>
        <color theme="1"/>
        <rFont val="Calibri"/>
        <family val="2"/>
        <scheme val="minor"/>
      </rPr>
      <t>;FALSE;FALSE;TRUE;FALSE;FALSE;FALSE},{</t>
    </r>
    <r>
      <rPr>
        <b/>
        <sz val="11"/>
        <color theme="1"/>
        <rFont val="Calibri"/>
        <family val="2"/>
        <scheme val="minor"/>
      </rPr>
      <t>914</t>
    </r>
    <r>
      <rPr>
        <sz val="11"/>
        <color theme="1"/>
        <rFont val="Calibri"/>
        <family val="2"/>
        <scheme val="minor"/>
      </rPr>
      <t>;355;590;</t>
    </r>
    <r>
      <rPr>
        <b/>
        <sz val="11"/>
        <color theme="1"/>
        <rFont val="Calibri"/>
        <family val="2"/>
        <scheme val="minor"/>
      </rPr>
      <t>610</t>
    </r>
    <r>
      <rPr>
        <sz val="11"/>
        <color theme="1"/>
        <rFont val="Calibri"/>
        <family val="2"/>
        <scheme val="minor"/>
      </rPr>
      <t>;506;825;710;280;363;685})))</t>
    </r>
  </si>
  <si>
    <t>Track</t>
  </si>
  <si>
    <t>SeaTac</t>
  </si>
  <si>
    <t>Time (s)</t>
  </si>
  <si>
    <t>PI</t>
  </si>
  <si>
    <t>Sumner</t>
  </si>
  <si>
    <t>Zaine</t>
  </si>
  <si>
    <t>Logan</t>
  </si>
  <si>
    <t>Isaac</t>
  </si>
  <si>
    <t>(Multiple Items)</t>
  </si>
  <si>
    <t>Min of Time (s)</t>
  </si>
  <si>
    <t>BMX Racer</t>
  </si>
  <si>
    <t>AGGREGATE with 2 Ifs No Ctrl + Shift + Enter</t>
  </si>
  <si>
    <t>MIN</t>
  </si>
  <si>
    <t>&lt;&gt;PI</t>
  </si>
  <si>
    <t>Richmond</t>
  </si>
  <si>
    <t>S.F.</t>
  </si>
  <si>
    <t>Calls to Police</t>
  </si>
  <si>
    <t>Ave</t>
  </si>
  <si>
    <t>S.D.</t>
  </si>
  <si>
    <t>Calculate Standard Deviation for each city.</t>
  </si>
  <si>
    <t>Excel 2010:</t>
  </si>
  <si>
    <t>Excel 2007 or earlier:</t>
  </si>
  <si>
    <t>* Function 7 does not perform array calculations.</t>
  </si>
  <si>
    <t>Code</t>
  </si>
  <si>
    <t>L/R?</t>
  </si>
  <si>
    <t>Qty</t>
  </si>
  <si>
    <t>2A35-2A36</t>
  </si>
  <si>
    <t>R</t>
  </si>
  <si>
    <t>L</t>
  </si>
  <si>
    <t>2A45-2A46</t>
  </si>
  <si>
    <t>2A38-2A39</t>
  </si>
  <si>
    <t>2A39-2A40</t>
  </si>
  <si>
    <t>2A46-2A47</t>
  </si>
  <si>
    <t>2A44-2A45</t>
  </si>
  <si>
    <t>2A48-2A49</t>
  </si>
  <si>
    <t>Create cross tabulated table that looks up quantity sold based on 2 lookup values.</t>
  </si>
  <si>
    <t>Helper</t>
  </si>
  <si>
    <t>Product Code</t>
  </si>
  <si>
    <t>Show Qty</t>
  </si>
  <si>
    <t>1) Sort L/R? column, A to Z.</t>
  </si>
  <si>
    <t>2) Sort Product Code column, A to Z.</t>
  </si>
  <si>
    <t>3) Leave [match_type] argumnet empty to allow Aproximate Match.</t>
  </si>
  <si>
    <t>Safe Join w extra character:</t>
  </si>
  <si>
    <t>Names</t>
  </si>
  <si>
    <t>Stephane Lajoye</t>
  </si>
  <si>
    <t>Jae Klafehn</t>
  </si>
  <si>
    <t>Broderick Hartjen</t>
  </si>
  <si>
    <t>Anjanette Orion</t>
  </si>
  <si>
    <t>Warner Hobb</t>
  </si>
  <si>
    <t>Tri Fly</t>
  </si>
  <si>
    <t>Fun Fly</t>
  </si>
  <si>
    <t>Total Costs</t>
  </si>
  <si>
    <t>Gross Profit</t>
  </si>
  <si>
    <t>Total Sales</t>
  </si>
  <si>
    <t>Calculate total sales, costs and gross profit</t>
  </si>
  <si>
    <t>Calculate total sales, costs and gross profit.</t>
  </si>
  <si>
    <t>* 1st column of table is not sorted.</t>
  </si>
  <si>
    <t>* Lookup Table is not sorted.</t>
  </si>
  <si>
    <t>* Lookup Table IS sorted A to Z.</t>
  </si>
  <si>
    <t>Majestic Beaut</t>
  </si>
  <si>
    <t>Sunshine</t>
  </si>
  <si>
    <t>Golfer</t>
  </si>
  <si>
    <t>Verda Duhamel</t>
  </si>
  <si>
    <t>Randolph Sizelove</t>
  </si>
  <si>
    <t>Rudolph Gliem</t>
  </si>
  <si>
    <t>Shiela Hynum</t>
  </si>
  <si>
    <t>Dorris Farah</t>
  </si>
  <si>
    <t>Suzan Serfass</t>
  </si>
  <si>
    <t>Strokes</t>
  </si>
  <si>
    <t>HLOOKUP also exhibits this:</t>
  </si>
  <si>
    <t>Sum 3 lowest scores</t>
  </si>
  <si>
    <t>Must exclude extra values if tie at 3rd</t>
  </si>
  <si>
    <t>Top</t>
  </si>
  <si>
    <t>Thrower</t>
  </si>
  <si>
    <t>Throw 1</t>
  </si>
  <si>
    <t>Throw 2</t>
  </si>
  <si>
    <t>Throw 3</t>
  </si>
  <si>
    <t>Throw 4</t>
  </si>
  <si>
    <t>Throw 5</t>
  </si>
  <si>
    <t>Dan</t>
  </si>
  <si>
    <t>Rich</t>
  </si>
  <si>
    <t>Vino</t>
  </si>
  <si>
    <t>Gel</t>
  </si>
  <si>
    <t>Total of Best 3</t>
  </si>
  <si>
    <t>Boomerang Tournament Event: Maximum Time Aloft: Add 3 Longest Flights</t>
  </si>
  <si>
    <t>Calls</t>
  </si>
  <si>
    <t>Add 3 smallest including all ties</t>
  </si>
  <si>
    <t>Admin</t>
  </si>
  <si>
    <t>A.C.</t>
  </si>
  <si>
    <t>* Array constants are limited by the number of characters allowed in a formula (8,192).</t>
  </si>
  <si>
    <t>* Array constants to save spreadsheet space.</t>
  </si>
  <si>
    <t>Overhead</t>
  </si>
  <si>
    <t>Packaging</t>
  </si>
  <si>
    <t>Wood</t>
  </si>
  <si>
    <t>Paint</t>
  </si>
  <si>
    <t>Labor</t>
  </si>
  <si>
    <t>Bellen</t>
  </si>
  <si>
    <t>Non-Trace</t>
  </si>
  <si>
    <t>COGS</t>
  </si>
  <si>
    <t>Pack</t>
  </si>
  <si>
    <t>Adm</t>
  </si>
  <si>
    <t>Trace</t>
  </si>
  <si>
    <t>QFD</t>
  </si>
  <si>
    <t>PCV</t>
  </si>
  <si>
    <t>GIGI</t>
  </si>
  <si>
    <t>WFMM</t>
  </si>
  <si>
    <t>DDB</t>
  </si>
  <si>
    <t>SLD</t>
  </si>
  <si>
    <t>MML</t>
  </si>
  <si>
    <t>Formula [2]: Includes ties</t>
  </si>
  <si>
    <t>Formula [1]: Excludes ties</t>
  </si>
  <si>
    <t>SMALL(B3:B8,{1;2;3}) yields {68;69;70}</t>
  </si>
  <si>
    <t>SMALL(B3:B8,{1,2,3}) yields {68,69,70}</t>
  </si>
  <si>
    <t>Series Discount</t>
  </si>
  <si>
    <t>20/05/10/20</t>
  </si>
  <si>
    <t>10/10/08/18</t>
  </si>
  <si>
    <t>15/10/16/16</t>
  </si>
  <si>
    <t>Net cost</t>
  </si>
  <si>
    <t>Extract numbers from text string</t>
  </si>
  <si>
    <t xml:space="preserve"> {"20","05","10","20"}</t>
  </si>
  <si>
    <t>Divide by 100</t>
  </si>
  <si>
    <t xml:space="preserve"> {0.20,0.95,0.90,0.80}</t>
  </si>
  <si>
    <t xml:space="preserve"> (1-0.20)*(1-0.05)*(1-0.10)*(1-0.20)</t>
  </si>
  <si>
    <t xml:space="preserve"> 0.80*0.95*0.90*0.80</t>
  </si>
  <si>
    <t xml:space="preserve"> $37 * 0.5472 = $20.25</t>
  </si>
  <si>
    <t>Extract numbers from text string &amp; calculate net cost</t>
  </si>
  <si>
    <t>Employee</t>
  </si>
  <si>
    <t>Title</t>
  </si>
  <si>
    <t>Meeting T/F?</t>
  </si>
  <si>
    <t>Alvaro Ochocki</t>
  </si>
  <si>
    <t>V.P.</t>
  </si>
  <si>
    <t>Quinton Gesick</t>
  </si>
  <si>
    <t>Manager</t>
  </si>
  <si>
    <t>President</t>
  </si>
  <si>
    <t>Merrilee Steiger</t>
  </si>
  <si>
    <t>Jeffry Nivison</t>
  </si>
  <si>
    <t>Darius Yearick</t>
  </si>
  <si>
    <t>Machine 1</t>
  </si>
  <si>
    <t>Hertha Deperro</t>
  </si>
  <si>
    <t>Machine 2</t>
  </si>
  <si>
    <t>Bryon Freiler</t>
  </si>
  <si>
    <t>Alvaro Longman</t>
  </si>
  <si>
    <t>Finance</t>
  </si>
  <si>
    <t>Net Cost Eqivalent</t>
  </si>
  <si>
    <t>Day 1</t>
  </si>
  <si>
    <t>Day 2</t>
  </si>
  <si>
    <t>Day 3</t>
  </si>
  <si>
    <t>Commission</t>
  </si>
  <si>
    <t>Hard coded array multiplication</t>
  </si>
  <si>
    <t>Order</t>
  </si>
  <si>
    <t>Ellsworth Chanofsky</t>
  </si>
  <si>
    <t>Patricia Glowski</t>
  </si>
  <si>
    <t>Manual Inbody</t>
  </si>
  <si>
    <t>Jude Gunzenhauser</t>
  </si>
  <si>
    <t>Chad Malcome</t>
  </si>
  <si>
    <t>Day</t>
  </si>
  <si>
    <t>Project 10</t>
  </si>
  <si>
    <t>Project 8</t>
  </si>
  <si>
    <t>Project 9</t>
  </si>
  <si>
    <t>Project 7</t>
  </si>
  <si>
    <t>Project 2</t>
  </si>
  <si>
    <t>Rep</t>
  </si>
  <si>
    <t>Jo</t>
  </si>
  <si>
    <t>Mo</t>
  </si>
  <si>
    <t>Pro 1</t>
  </si>
  <si>
    <t>Pro 3</t>
  </si>
  <si>
    <t>Quarter</t>
  </si>
  <si>
    <t>Source Data 1:</t>
  </si>
  <si>
    <t>Product 4</t>
  </si>
  <si>
    <t>Linked and transposed:</t>
  </si>
  <si>
    <t>TRANSPOSE and IF to avoid zeros (0).</t>
  </si>
  <si>
    <t>Source data:</t>
  </si>
  <si>
    <t>Times (mins)</t>
  </si>
  <si>
    <t>2007 or earlier</t>
  </si>
  <si>
    <t>2010 or later</t>
  </si>
  <si>
    <t>&gt; 1 Mode</t>
  </si>
  <si>
    <t>1 Mode</t>
  </si>
  <si>
    <t>Create number:</t>
  </si>
  <si>
    <t>Count Modes</t>
  </si>
  <si>
    <t>Min Mode</t>
  </si>
  <si>
    <t>Max Mode</t>
  </si>
  <si>
    <t xml:space="preserve"> =COUNTIF(MODE.MULT($A$2:$A$10),"&gt;24")</t>
  </si>
  <si>
    <t>Examples of Other Array Functions inside functions that can handle ranges that do not require Ctrl + Shift + Enter:</t>
  </si>
  <si>
    <t>COUNTIF, SUMIF, AVERAGEIF, COUNTIFS, SUMIFS, AVERAGEIFS can't handle arrays, more in later chapters</t>
  </si>
  <si>
    <t>We have to run only 1 VLOOKUP.</t>
  </si>
  <si>
    <t>Comm Rate</t>
  </si>
  <si>
    <t>Before 2007, had to run 2 VLOOKUPs.</t>
  </si>
  <si>
    <t>dfsghfd</t>
  </si>
  <si>
    <t>Phil</t>
  </si>
  <si>
    <t>Value</t>
  </si>
  <si>
    <t>Count of Value</t>
  </si>
  <si>
    <t>Data From Past Class</t>
  </si>
  <si>
    <t>Currect Class</t>
  </si>
  <si>
    <t>X = hours studying for test</t>
  </si>
  <si>
    <t>SLOPE</t>
  </si>
  <si>
    <t>Y = score on test</t>
  </si>
  <si>
    <t>Estimation based on past data</t>
  </si>
  <si>
    <t>INTERCEPT</t>
  </si>
  <si>
    <t>x = hours studying for test</t>
  </si>
  <si>
    <t>f(x) = Estimation of score they will get on test</t>
  </si>
  <si>
    <t>SUMPRODUCT treats non-numeric data as zeroes.</t>
  </si>
  <si>
    <t>SUMPRODUCT to multiple two ranges and then add</t>
  </si>
  <si>
    <t>If you are multiplying arrays that are not the same dimension, you can use the multiplication operator *, but watch out for text entries.</t>
  </si>
  <si>
    <t>Weight</t>
  </si>
  <si>
    <t>Probability of Economic State</t>
  </si>
  <si>
    <t>Bad</t>
  </si>
  <si>
    <t>None</t>
  </si>
  <si>
    <t>OK</t>
  </si>
  <si>
    <t>Great</t>
  </si>
  <si>
    <t>E(R)=Expected Return</t>
  </si>
  <si>
    <t>E(R) = Expected Return</t>
  </si>
  <si>
    <t>Any math operation converts TRUEs and FALEs to 1s and 0s.</t>
  </si>
  <si>
    <t>Operation</t>
  </si>
  <si>
    <t>--</t>
  </si>
  <si>
    <t>+0</t>
  </si>
  <si>
    <t>*1</t>
  </si>
  <si>
    <t>/1</t>
  </si>
  <si>
    <t>^1</t>
  </si>
  <si>
    <t>Project</t>
  </si>
  <si>
    <t>Time</t>
  </si>
  <si>
    <t>Kip</t>
  </si>
  <si>
    <t>Marc</t>
  </si>
  <si>
    <t>Project 1</t>
  </si>
  <si>
    <t>Friday the 13th, COUNTIF can't handle array, but SUMPRODUCT can</t>
  </si>
  <si>
    <t>IF inside SUMPRODUCT</t>
  </si>
  <si>
    <t>Student</t>
  </si>
  <si>
    <t>Tom</t>
  </si>
  <si>
    <t>Shelia</t>
  </si>
  <si>
    <t>Test 1</t>
  </si>
  <si>
    <t>Test 2</t>
  </si>
  <si>
    <t>Test 3</t>
  </si>
  <si>
    <t>Test 4</t>
  </si>
  <si>
    <t>Class Total</t>
  </si>
  <si>
    <t>Gas</t>
  </si>
  <si>
    <t>Total Pressure</t>
  </si>
  <si>
    <t>Moles</t>
  </si>
  <si>
    <t>Temperature (Kelvin)</t>
  </si>
  <si>
    <t>Inverse of Volume (1/Liter)</t>
  </si>
  <si>
    <t>R = (L*Atmosphere)/(Moles*Kelvin)</t>
  </si>
  <si>
    <t>Neon</t>
  </si>
  <si>
    <t>Argon</t>
  </si>
  <si>
    <t>Nitrogen</t>
  </si>
  <si>
    <t>Total Bank Deposit</t>
  </si>
  <si>
    <t>Quantity</t>
  </si>
  <si>
    <t>Monetary Unit</t>
  </si>
  <si>
    <t>Units Purchased</t>
  </si>
  <si>
    <t>Probability</t>
  </si>
  <si>
    <t>From past accounting records:</t>
  </si>
  <si>
    <t>SUMPRODUCT to multiple three ranges with the different dimensions and then add</t>
  </si>
  <si>
    <t>Stock A
Estimated Return</t>
  </si>
  <si>
    <t>Stock B
Estimated Return</t>
  </si>
  <si>
    <t>Long hand:</t>
  </si>
  <si>
    <t>Long Hand:</t>
  </si>
  <si>
    <t>Calculate Rounded Total</t>
  </si>
  <si>
    <t>SUMPRODUCT can be used to house a single array operation when you need to add the resultant array</t>
  </si>
  <si>
    <t>Add Time</t>
  </si>
  <si>
    <t>Count Time</t>
  </si>
  <si>
    <t>Employee/Project</t>
  </si>
  <si>
    <t>Total Times</t>
  </si>
  <si>
    <t>Condition:</t>
  </si>
  <si>
    <t>Formula</t>
  </si>
  <si>
    <t>Convert</t>
  </si>
  <si>
    <t>Budgeted Monthly Order Quantity</t>
  </si>
  <si>
    <t>Other notes below:</t>
  </si>
  <si>
    <t xml:space="preserve"> =SUMPRODUCT(--(A2:A5=C2))</t>
  </si>
  <si>
    <t xml:space="preserve"> =SUMPRODUCT(--({TRUE;FALSE;TRUE;FALSE}))</t>
  </si>
  <si>
    <t xml:space="preserve"> =SUMPRODUCT({1;0;1;0})</t>
  </si>
  <si>
    <t>Formula result = 2</t>
  </si>
  <si>
    <t xml:space="preserve"> =SUMPRODUCT(-{-1;0;-1;0})</t>
  </si>
  <si>
    <t>TRUEs and FALSEs must be converted with math operation.</t>
  </si>
  <si>
    <t>First negation</t>
  </si>
  <si>
    <t>Second negation</t>
  </si>
  <si>
    <t>Calculation of double negative:</t>
  </si>
  <si>
    <t>&gt;=10/7/2013</t>
  </si>
  <si>
    <t>&lt;=10/13/2013</t>
  </si>
  <si>
    <t>Fin</t>
  </si>
  <si>
    <t>SUM</t>
  </si>
  <si>
    <t>Workbook references: SUMIFS and the like can't, SUMPRODUCT can</t>
  </si>
  <si>
    <t>Roger</t>
  </si>
  <si>
    <t>Add with SUMIFS</t>
  </si>
  <si>
    <t>Add with SUMPRODUCT</t>
  </si>
  <si>
    <t>Condition3/2/2013</t>
  </si>
  <si>
    <t xml:space="preserve"> =SUMIFS([ExternalData.xlsm]Names!$B$2:$B$6,[ExternalData.xlsm]Names!$A$2:$A$6,A2)</t>
  </si>
  <si>
    <t xml:space="preserve"> =SUMPRODUCT(--([ExternalData.xlsm]Names!$A$2:$A$6=A2),[ExternalData.xlsm]Names!$B$2:$B$6)</t>
  </si>
  <si>
    <t>Cells A5, A6, A&amp; and A8 contain a single space as the first character in the cell so that the formulas do not calculate. The workbook references point to a path that only existed on the computer that created the formulas.</t>
  </si>
  <si>
    <t xml:space="preserve"> =SUMIFS('H:\[ExternalData.xlsm]Names'!$B$2:$B$6,'H:\[ExternalData.xlsm]Names'!$A$2:$A$6,A2)</t>
  </si>
  <si>
    <t xml:space="preserve"> =SUMPRODUCT(--('H:\[ExternalData.xlsm]Names'!$A$2:$A$6=A2),'H:\[ExternalData.xlsm]Names'!$B$2:$B$6)</t>
  </si>
  <si>
    <t xml:space="preserve"> &lt; This cell was a #VALUE! error</t>
  </si>
  <si>
    <t>How Many Friday 13th?</t>
  </si>
  <si>
    <t>This will not work: =COUNTIF(TEXT(ROW(INDIRECT(B2&amp;":"&amp;B3)),"dddd dd")="Friday 13",TRUE)</t>
  </si>
  <si>
    <t>Less ambiguity if you use these:</t>
  </si>
  <si>
    <t>Auto</t>
  </si>
  <si>
    <t>Toyota</t>
  </si>
  <si>
    <t>Kia</t>
  </si>
  <si>
    <t>Mechanic</t>
  </si>
  <si>
    <t>Meg</t>
  </si>
  <si>
    <t>&gt;1000</t>
  </si>
  <si>
    <t>Average</t>
  </si>
  <si>
    <t>Max</t>
  </si>
  <si>
    <t>Stand Dev</t>
  </si>
  <si>
    <t>Min</t>
  </si>
  <si>
    <t>DMIN Criteria:</t>
  </si>
  <si>
    <t>Sum of Cost</t>
  </si>
  <si>
    <t>Helper:</t>
  </si>
  <si>
    <t>Credit Rating</t>
  </si>
  <si>
    <t>Net Assets</t>
  </si>
  <si>
    <t>OR Criteria:</t>
  </si>
  <si>
    <t>Extend Credit?</t>
  </si>
  <si>
    <t>OR Criteria for DCOUNT:</t>
  </si>
  <si>
    <t>&gt;100000</t>
  </si>
  <si>
    <t>&gt;=3.5</t>
  </si>
  <si>
    <t>J.K. LLC</t>
  </si>
  <si>
    <t>Fruits Inc.</t>
  </si>
  <si>
    <t>PCC</t>
  </si>
  <si>
    <t>Gigi's Inc.</t>
  </si>
  <si>
    <t>Managers</t>
  </si>
  <si>
    <t>OR Criteria</t>
  </si>
  <si>
    <t>Davis Wolford</t>
  </si>
  <si>
    <t>Group 1</t>
  </si>
  <si>
    <t>Bernardina Free</t>
  </si>
  <si>
    <t>Gidget Marlow</t>
  </si>
  <si>
    <t>Celesta Granger</t>
  </si>
  <si>
    <t>Rodger Riddle</t>
  </si>
  <si>
    <t>Nana Hathaway</t>
  </si>
  <si>
    <t>Kym Handy</t>
  </si>
  <si>
    <t>Zulma Farrell</t>
  </si>
  <si>
    <t>Yulanda Casillas</t>
  </si>
  <si>
    <t>Edgardo Dalton</t>
  </si>
  <si>
    <t>Gema Tapia</t>
  </si>
  <si>
    <t>Jama Monk</t>
  </si>
  <si>
    <t>Maricela Hostetler</t>
  </si>
  <si>
    <t>Angelic Mcnair</t>
  </si>
  <si>
    <t>Annamae Varney</t>
  </si>
  <si>
    <t>Lizzie Stinson</t>
  </si>
  <si>
    <t>Normand Mcghee</t>
  </si>
  <si>
    <t>Mammie Ogle</t>
  </si>
  <si>
    <t>Malena Caudle</t>
  </si>
  <si>
    <t>Inge Seiler</t>
  </si>
  <si>
    <t>Dusty Pointer</t>
  </si>
  <si>
    <t>Leo Sigler</t>
  </si>
  <si>
    <t>Rhea Furr</t>
  </si>
  <si>
    <t>Emory Stubblefield</t>
  </si>
  <si>
    <t>Lucienne Chatman</t>
  </si>
  <si>
    <t>Henriette Shell</t>
  </si>
  <si>
    <t>Elfriede Maupin</t>
  </si>
  <si>
    <t>Shantel Fennell</t>
  </si>
  <si>
    <t>Floretta Dozier</t>
  </si>
  <si>
    <t>Jack Koontz</t>
  </si>
  <si>
    <t>Wynona Folse</t>
  </si>
  <si>
    <t>Adena Villa</t>
  </si>
  <si>
    <t>Corrinne Greathouse</t>
  </si>
  <si>
    <t>Colene Garland</t>
  </si>
  <si>
    <t>Maryrose Clawson</t>
  </si>
  <si>
    <t>Monte Maloney</t>
  </si>
  <si>
    <t>Fidelia Clifton</t>
  </si>
  <si>
    <t>Eleonora Redmond</t>
  </si>
  <si>
    <t>Laurine Bullard</t>
  </si>
  <si>
    <t>Deloris Musgrove</t>
  </si>
  <si>
    <t>Lura Maes</t>
  </si>
  <si>
    <t>Ethelene Contreras</t>
  </si>
  <si>
    <t>Silas Barksdale</t>
  </si>
  <si>
    <t>Date of Call</t>
  </si>
  <si>
    <t>Count total calls for group 1</t>
  </si>
  <si>
    <t>Susy Olivo</t>
  </si>
  <si>
    <t>Lavonne Raines</t>
  </si>
  <si>
    <t>Dudley Gunderson</t>
  </si>
  <si>
    <t>Ardell Song</t>
  </si>
  <si>
    <t>Ardelle Covey</t>
  </si>
  <si>
    <t>Venetta Noland</t>
  </si>
  <si>
    <t>Obdulia Rickman</t>
  </si>
  <si>
    <t>Gidget</t>
  </si>
  <si>
    <t>Rodger</t>
  </si>
  <si>
    <t>Davis</t>
  </si>
  <si>
    <t>Bernardina</t>
  </si>
  <si>
    <r>
      <t>[2]</t>
    </r>
    <r>
      <rPr>
        <sz val="12"/>
        <color theme="0"/>
        <rFont val="Calibri"/>
        <family val="2"/>
        <scheme val="minor"/>
      </rPr>
      <t>_</t>
    </r>
    <r>
      <rPr>
        <sz val="11"/>
        <color theme="1"/>
        <rFont val="Calibri"/>
        <family val="2"/>
        <scheme val="minor"/>
      </rPr>
      <t>=DCOUNTA(B8:B518,B8,D10:D16)</t>
    </r>
  </si>
  <si>
    <r>
      <t>[1]</t>
    </r>
    <r>
      <rPr>
        <sz val="11"/>
        <color theme="0"/>
        <rFont val="Calibri"/>
        <family val="2"/>
        <scheme val="minor"/>
      </rPr>
      <t>_</t>
    </r>
    <r>
      <rPr>
        <sz val="11"/>
        <color theme="1"/>
        <rFont val="Calibri"/>
        <family val="2"/>
        <scheme val="minor"/>
      </rPr>
      <t>=COUNTIF(B9:B518,D11)+COUNTIF(B9:B518,D12)+COUNTIF(B9:B518,D13)+
          COUNTIF(B9:B518,D14)+COUNTIF(B9:B518,D15)+COUNTIF(B9:B518,D16)</t>
    </r>
  </si>
  <si>
    <r>
      <t>[3]</t>
    </r>
    <r>
      <rPr>
        <sz val="14"/>
        <color theme="0"/>
        <rFont val="Calibri"/>
        <family val="2"/>
        <scheme val="minor"/>
      </rPr>
      <t>_</t>
    </r>
    <r>
      <rPr>
        <sz val="11"/>
        <color theme="1"/>
        <rFont val="Calibri"/>
        <family val="2"/>
        <scheme val="minor"/>
      </rPr>
      <t>=SUMPRODUCT(--((B9:B518=D11)+(B9:B518=D12)+(B9:B518=D13)+
          (B9:B518=D14)+(B9:B518=D15)+(B9:B518=D16)))</t>
    </r>
  </si>
  <si>
    <r>
      <t>[4]</t>
    </r>
    <r>
      <rPr>
        <sz val="11"/>
        <color theme="0"/>
        <rFont val="Calibri"/>
        <family val="2"/>
        <scheme val="minor"/>
      </rPr>
      <t>_</t>
    </r>
    <r>
      <rPr>
        <sz val="11"/>
        <color theme="1"/>
        <rFont val="Calibri"/>
        <family val="2"/>
        <scheme val="minor"/>
      </rPr>
      <t>{=SUM(IF((B9:B518=D11)+(B9:B518=D12)+(B9:B518=D13)
        +(B9:B518=D14)+(B9:B518=D15)+(B9:B518=D16),1))}</t>
    </r>
  </si>
  <si>
    <r>
      <t>[5]</t>
    </r>
    <r>
      <rPr>
        <sz val="11"/>
        <color theme="0"/>
        <rFont val="Calibri"/>
        <family val="2"/>
        <scheme val="minor"/>
      </rPr>
      <t>_</t>
    </r>
    <r>
      <rPr>
        <sz val="11"/>
        <color theme="1"/>
        <rFont val="Calibri"/>
        <family val="2"/>
        <scheme val="minor"/>
      </rPr>
      <t>=SUMPRODUCT(--ISNUMBER(MATCH(B9:B518,D11:D16,0)))</t>
    </r>
  </si>
  <si>
    <t>Net Income</t>
  </si>
  <si>
    <t>Credit Rating 1</t>
  </si>
  <si>
    <t>Credit Rating 2</t>
  </si>
  <si>
    <t>Fabulous Figs</t>
  </si>
  <si>
    <t>&gt;37500</t>
  </si>
  <si>
    <t>&gt;=6</t>
  </si>
  <si>
    <t>D Function Criteria:</t>
  </si>
  <si>
    <t>Sale</t>
  </si>
  <si>
    <t>MidWest</t>
  </si>
  <si>
    <t>South</t>
  </si>
  <si>
    <t>IGG</t>
  </si>
  <si>
    <t>SWQ</t>
  </si>
  <si>
    <t>Double counts 3rd entry</t>
  </si>
  <si>
    <t>2 Extra array opeartions over [1]</t>
  </si>
  <si>
    <t>Max Net Assets</t>
  </si>
  <si>
    <t>Ave Net Assets</t>
  </si>
  <si>
    <t>Rating 1</t>
  </si>
  <si>
    <t>Rating 2</t>
  </si>
  <si>
    <t>Sum Sales</t>
  </si>
  <si>
    <t>Min Sales</t>
  </si>
  <si>
    <t>OR Criteria comes from 1 column. A particular OR logical test CANNOT get two TRUEs.</t>
  </si>
  <si>
    <t>OR Criteria comes from 2 columns. A particular OR logical test CAN get two TRUEs.</t>
  </si>
  <si>
    <t>OR Criteria from same column (A particular logical test CANNOT result in two TRUEs.</t>
  </si>
  <si>
    <t>OR Criteria from different columns (A particular logical test CAN result in two TRUEs.</t>
  </si>
  <si>
    <t>Ave Sales</t>
  </si>
  <si>
    <t>COUNTIFS(A2:A7,"&gt;="&amp;E3,A2:A7,"&lt;="&amp;F3,B2:B7,G4)</t>
  </si>
  <si>
    <t>SUMIFS(C2:C7,A2:A7,"&gt;="&amp;E3,A2:A7,"&lt;="&amp;F3,B2:B7,G4)</t>
  </si>
  <si>
    <t xml:space="preserve"> [4] =SUMPRODUCT(--(A2:A7&gt;=E3),--(A2:A7&lt;=F3),--ISNUMBER(MATCH(B2:B7,G3:G4,0)))</t>
  </si>
  <si>
    <t xml:space="preserve"> [6] =SUMPRODUCT(--(A2:A7&gt;=E3),--(A2:A7&lt;=F3),--ISNUMBER(MATCH(B2:B7,G3:G4,0)),C2:C7)</t>
  </si>
  <si>
    <t xml:space="preserve"> [7] =AGGREGATE(15,6,C2:C7/((A2:A7&gt;=E3)*(A2:A7&lt;=F3)*((B2:B7=G3)+(B2:B7=G4))),1)</t>
  </si>
  <si>
    <t xml:space="preserve"> [5] =SUMIFS(C2:C7,A2:A7,"&gt;="&amp;E3,A2:A7,"&lt;="&amp;F3,B2:B7,G3)+</t>
  </si>
  <si>
    <t xml:space="preserve"> [1] =COUNTIFS(A2:A7,"&gt;="&amp;E3,A2:A7,"&lt;="&amp;F3,B2:B7,G3)+</t>
  </si>
  <si>
    <t xml:space="preserve"> [2] =SUMPRODUCT(--(A2:A7&gt;=E3),--(A2:A7&lt;=F3),--((B2:B7=G3)+(B2:B7=G4)))</t>
  </si>
  <si>
    <t xml:space="preserve"> [3] {=SUM(IF((A2:A7&gt;=E3)*(A2:A7&lt;=F3)*((B2:B7=G3)+(B2:B7=G4)),1))}</t>
  </si>
  <si>
    <t xml:space="preserve"> 8 {=AVERAGE(IF((A2:A7&gt;=E3)*(A2:A7&lt;=F3)*((B2:B7=G3)+(B2:B7=G4)),C2:C7))}</t>
  </si>
  <si>
    <t>Criteria</t>
  </si>
  <si>
    <t>Oct</t>
  </si>
  <si>
    <t>Year</t>
  </si>
  <si>
    <t>Month</t>
  </si>
  <si>
    <t>Year &amp; month criteria mismatched against serial number dates.</t>
  </si>
  <si>
    <t>Numbers</t>
  </si>
  <si>
    <t>Ave.</t>
  </si>
  <si>
    <t>Win. - 2012</t>
  </si>
  <si>
    <t>What we need is:</t>
  </si>
  <si>
    <t>Fall - 2012</t>
  </si>
  <si>
    <t>Hurdle</t>
  </si>
  <si>
    <t># Greater than 2.5</t>
  </si>
  <si>
    <t>Grades</t>
  </si>
  <si>
    <t>Semester</t>
  </si>
  <si>
    <t>Jan</t>
  </si>
  <si>
    <t>Feb</t>
  </si>
  <si>
    <t>Mar</t>
  </si>
  <si>
    <t>INDEX syntax to lookup row or column:</t>
  </si>
  <si>
    <t>The range returned by INDEX does not require Ctrl + Shift + Enter.</t>
  </si>
  <si>
    <r>
      <t xml:space="preserve">A </t>
    </r>
    <r>
      <rPr>
        <b/>
        <sz val="11"/>
        <color theme="1"/>
        <rFont val="Calibri"/>
        <family val="2"/>
        <scheme val="minor"/>
      </rPr>
      <t>zero</t>
    </r>
    <r>
      <rPr>
        <sz val="11"/>
        <color theme="1"/>
        <rFont val="Calibri"/>
        <family val="2"/>
        <scheme val="minor"/>
      </rPr>
      <t xml:space="preserve"> or </t>
    </r>
    <r>
      <rPr>
        <b/>
        <sz val="11"/>
        <color theme="1"/>
        <rFont val="Calibri"/>
        <family val="2"/>
        <scheme val="minor"/>
      </rPr>
      <t>omitted</t>
    </r>
    <r>
      <rPr>
        <sz val="11"/>
        <color theme="1"/>
        <rFont val="Calibri"/>
        <family val="2"/>
        <scheme val="minor"/>
      </rPr>
      <t xml:space="preserve"> in the row_num argument of INDEX tells the function to lookup "all the rows".</t>
    </r>
  </si>
  <si>
    <r>
      <t xml:space="preserve">A </t>
    </r>
    <r>
      <rPr>
        <b/>
        <sz val="11"/>
        <color theme="1"/>
        <rFont val="Calibri"/>
        <family val="2"/>
        <scheme val="minor"/>
      </rPr>
      <t>zero</t>
    </r>
    <r>
      <rPr>
        <sz val="11"/>
        <color theme="1"/>
        <rFont val="Calibri"/>
        <family val="2"/>
        <scheme val="minor"/>
      </rPr>
      <t xml:space="preserve"> or </t>
    </r>
    <r>
      <rPr>
        <b/>
        <sz val="11"/>
        <color theme="1"/>
        <rFont val="Calibri"/>
        <family val="2"/>
        <scheme val="minor"/>
      </rPr>
      <t>omitted</t>
    </r>
    <r>
      <rPr>
        <sz val="11"/>
        <color theme="1"/>
        <rFont val="Calibri"/>
        <family val="2"/>
        <scheme val="minor"/>
      </rPr>
      <t xml:space="preserve"> in the column_num argument of INDEX tells the function to lookup "all the columns".</t>
    </r>
  </si>
  <si>
    <t>No empty cells</t>
  </si>
  <si>
    <t>text</t>
  </si>
  <si>
    <t>Word 1</t>
  </si>
  <si>
    <t>Word 2</t>
  </si>
  <si>
    <t>Word 3</t>
  </si>
  <si>
    <t>Word 4</t>
  </si>
  <si>
    <t>Text</t>
  </si>
  <si>
    <t>Mixed w Empty</t>
  </si>
  <si>
    <t>"Big Number" concept</t>
  </si>
  <si>
    <t>Count "not empty" cells</t>
  </si>
  <si>
    <t>"Big Text" concept</t>
  </si>
  <si>
    <t>Array operation "Not empty or Null Text String"</t>
  </si>
  <si>
    <t>Ω</t>
  </si>
  <si>
    <t>zzz</t>
  </si>
  <si>
    <t>Lookup last anything</t>
  </si>
  <si>
    <t>Lookup last number</t>
  </si>
  <si>
    <t>Lookup last text</t>
  </si>
  <si>
    <t>ID</t>
  </si>
  <si>
    <t>Length</t>
  </si>
  <si>
    <t>WI/i-5000</t>
  </si>
  <si>
    <t>BA/n-3964</t>
  </si>
  <si>
    <t>VK/t-6164</t>
  </si>
  <si>
    <t>EQ/y-7201</t>
  </si>
  <si>
    <t>Last in column</t>
  </si>
  <si>
    <t>RR/a-3207</t>
  </si>
  <si>
    <t>IA/e-4588</t>
  </si>
  <si>
    <t>Select ID</t>
  </si>
  <si>
    <t>Table</t>
  </si>
  <si>
    <t>Drop-down</t>
  </si>
  <si>
    <t xml:space="preserve"> =$A$2:INDEX($C$2:$C$60,MATCH(9.99E+307,$C$2:$C$60))</t>
  </si>
  <si>
    <t>NEVER more than 50 records:</t>
  </si>
  <si>
    <t>NEVER more than 5000 records:</t>
  </si>
  <si>
    <t xml:space="preserve"> =$A$2:INDEX($C$2:$C$5050,MATCH(9.99E+307,$C$2:$C$5050))</t>
  </si>
  <si>
    <t xml:space="preserve"> =$A$2:INDEX($C:$C,MATCH(9.99E+307,$C:$C))</t>
  </si>
  <si>
    <t>Not sure, then use whole column:</t>
  </si>
  <si>
    <t>Space</t>
  </si>
  <si>
    <t>formula delivered Null Text String: ""</t>
  </si>
  <si>
    <t>JR</t>
  </si>
  <si>
    <t>Quin</t>
  </si>
  <si>
    <t>** AGGREGATE entered with Ctrl + Shift + Enter because the formula deliveres multiple values and we wanted to see the first value in the array instead of a #VALUE error.</t>
  </si>
  <si>
    <t xml:space="preserve">  </t>
  </si>
  <si>
    <t>Dynamic Range</t>
  </si>
  <si>
    <t>OFFSET arguments:</t>
  </si>
  <si>
    <t>reference</t>
  </si>
  <si>
    <t>Start Point: cell or range (usually upper left corner of range).</t>
  </si>
  <si>
    <t>rows</t>
  </si>
  <si>
    <t>How many rows up (minus number) or down (positive number) do you want to</t>
  </si>
  <si>
    <t>move from the reference? Empty or 0 means to not move.</t>
  </si>
  <si>
    <t>cols</t>
  </si>
  <si>
    <t>How many columns left (minus number) or right (positive number) do you want to</t>
  </si>
  <si>
    <t>height</t>
  </si>
  <si>
    <t>How tall is data set? Omitted, assumed to be same height or as reference.</t>
  </si>
  <si>
    <t>width</t>
  </si>
  <si>
    <t>How wide is data set? Omitted, assumed to be same height or as reference.</t>
  </si>
  <si>
    <t>Cities</t>
  </si>
  <si>
    <t>SF</t>
  </si>
  <si>
    <t>Reps</t>
  </si>
  <si>
    <t>K.C.</t>
  </si>
  <si>
    <t>J.P.</t>
  </si>
  <si>
    <t>D.D.</t>
  </si>
  <si>
    <t>S.O.</t>
  </si>
  <si>
    <t>E.K.</t>
  </si>
  <si>
    <t>Phone</t>
  </si>
  <si>
    <t>555-9912</t>
  </si>
  <si>
    <t>555-6535</t>
  </si>
  <si>
    <t>555-1888</t>
  </si>
  <si>
    <t>555-7429</t>
  </si>
  <si>
    <t>555-8744</t>
  </si>
  <si>
    <t>Row Labels</t>
  </si>
  <si>
    <t>Sum of Sales</t>
  </si>
  <si>
    <t>Last?</t>
  </si>
  <si>
    <t>Include empty</t>
  </si>
  <si>
    <t>Exclude empty</t>
  </si>
  <si>
    <t>Fall-12</t>
  </si>
  <si>
    <t>Win-12</t>
  </si>
  <si>
    <t>Spr-12</t>
  </si>
  <si>
    <t>Sum-12</t>
  </si>
  <si>
    <t>One caveat for SUMPRODUCT is that if you have a formula like:</t>
  </si>
  <si>
    <t>=SUMPRODUCT(A1,B1) where both cells are empty, the function will yield an</t>
  </si>
  <si>
    <t>error. If the two cells have numbers or zeros, there will be no error.</t>
  </si>
  <si>
    <t>empty</t>
  </si>
  <si>
    <t>SUMPRODUCT</t>
  </si>
  <si>
    <t>Filter for extracting records with AND Criteria.</t>
  </si>
  <si>
    <t>&gt;=6/1/12</t>
  </si>
  <si>
    <t>&lt;=5/31/13</t>
  </si>
  <si>
    <t>Filter for  extracting records with OR Criteria.</t>
  </si>
  <si>
    <t>Filter for  extracting records with AND and OR Criteria.</t>
  </si>
  <si>
    <t xml:space="preserve"> &lt;&lt; = OR criteria in 1 column.</t>
  </si>
  <si>
    <t>Data Set:</t>
  </si>
  <si>
    <t>Advanced Filter for extracting records with AND Criteria.</t>
  </si>
  <si>
    <t>Advanced Filter for extracting records with OR Criteria.</t>
  </si>
  <si>
    <t xml:space="preserve"> &lt;&lt; = OR Criteria operating on 1 column.</t>
  </si>
  <si>
    <t xml:space="preserve"> &lt;&lt; = OR Criteria</t>
  </si>
  <si>
    <t>operating on</t>
  </si>
  <si>
    <t>2 columns.</t>
  </si>
  <si>
    <t xml:space="preserve"> &lt;&lt; = OR Criteria operating on 2 columns.</t>
  </si>
  <si>
    <t>Advanced Filter for extracting records with AND and OR Criteria.</t>
  </si>
  <si>
    <t>Advanced Filter with Formula Criteria</t>
  </si>
  <si>
    <t xml:space="preserve"> ** Formula as if it where a helper column</t>
  </si>
  <si>
    <t>Helper Column and INDEX to extract records</t>
  </si>
  <si>
    <t>Lower Units</t>
  </si>
  <si>
    <t>Upper Units</t>
  </si>
  <si>
    <t>Helper Column and INDEX to extract records with AND Criteria</t>
  </si>
  <si>
    <t>Helper Column and VLOOKUP to extract records with OR Criteria</t>
  </si>
  <si>
    <t>Helper Column with AND and OR Criteria, and INDEX function to extract data from just some of the columns</t>
  </si>
  <si>
    <t>Jul</t>
  </si>
  <si>
    <t>Helper Column with AND and OR Criteria, and INDEX function to extract data and display horizontally</t>
  </si>
  <si>
    <t>Formula in H9: =IF(COLUMNS($H9:H9)&gt;$G$6,"",</t>
  </si>
  <si>
    <t>INDEX($C$10:$D$19,MATCH(COLUMNS($H9:H9),</t>
  </si>
  <si>
    <t>$E$10:$E$19,0),MATCH($G9,$C$9:$D$9,0)))</t>
  </si>
  <si>
    <t>Array Formula with AND Criteria, SMALL, IF, INDEX</t>
  </si>
  <si>
    <t>Array Formula with AND Criteria, AGGREGATE, Boolean math, INDEX</t>
  </si>
  <si>
    <t>Employees</t>
  </si>
  <si>
    <t>Group</t>
  </si>
  <si>
    <t>Jules  Horowitz</t>
  </si>
  <si>
    <t>Aliza  Burden</t>
  </si>
  <si>
    <t>Jessika  Hwang</t>
  </si>
  <si>
    <t>Josiah  Marroquin</t>
  </si>
  <si>
    <t>Stormy  Haight</t>
  </si>
  <si>
    <t>Jenni  Thorton</t>
  </si>
  <si>
    <t>Leola  Currie</t>
  </si>
  <si>
    <t>Cletus  Yee</t>
  </si>
  <si>
    <t>Jeremy  Shea</t>
  </si>
  <si>
    <t>Nu  Wick</t>
  </si>
  <si>
    <t>Ivelisse  Goins</t>
  </si>
  <si>
    <t>Eugene  Higdon</t>
  </si>
  <si>
    <t>Gail  Reaves</t>
  </si>
  <si>
    <t>Jewel  Talbert</t>
  </si>
  <si>
    <t>Yen  Weatherford</t>
  </si>
  <si>
    <t>Vennie  Baird</t>
  </si>
  <si>
    <t>Audria  Roller</t>
  </si>
  <si>
    <t>Kerrie  Worrell</t>
  </si>
  <si>
    <t>Franchesca  Novak</t>
  </si>
  <si>
    <t>Iliana  Valerio</t>
  </si>
  <si>
    <t>Georgianne  Walls</t>
  </si>
  <si>
    <t>Odessa  Murrell</t>
  </si>
  <si>
    <t>Shandra  Rife</t>
  </si>
  <si>
    <t>Rosamond  Allard</t>
  </si>
  <si>
    <t>Rhett  Seymore</t>
  </si>
  <si>
    <t>Eulalia  Clement</t>
  </si>
  <si>
    <t>Chere  Slagle</t>
  </si>
  <si>
    <t>Sanda  Oshea</t>
  </si>
  <si>
    <t>Carman  Underhill</t>
  </si>
  <si>
    <t>Curt  Mackie</t>
  </si>
  <si>
    <t>Delpha  Mayers</t>
  </si>
  <si>
    <t>Lavonne  Mendenhall</t>
  </si>
  <si>
    <t>Juliette  Zavala</t>
  </si>
  <si>
    <t>Allena  Swenson</t>
  </si>
  <si>
    <t>Galen  Barth</t>
  </si>
  <si>
    <t>Mila  Delossantos</t>
  </si>
  <si>
    <t>Kecia  Vick</t>
  </si>
  <si>
    <t>Kandy  Mccartney</t>
  </si>
  <si>
    <t>Alyse  Hopson</t>
  </si>
  <si>
    <t>Val  Tyree</t>
  </si>
  <si>
    <t>Pansy  Sam</t>
  </si>
  <si>
    <t>Mickey  Bolduc</t>
  </si>
  <si>
    <t>Marlana  Huang</t>
  </si>
  <si>
    <t>Marcelle  Raley</t>
  </si>
  <si>
    <t>Lavette  Littleton</t>
  </si>
  <si>
    <t>Karma  Roper</t>
  </si>
  <si>
    <t>Genie  Laird</t>
  </si>
  <si>
    <t>Roxana  Sowers</t>
  </si>
  <si>
    <t>Idalia  Osullivan</t>
  </si>
  <si>
    <t>Lupe  Donovan</t>
  </si>
  <si>
    <t>Groups</t>
  </si>
  <si>
    <t>Cascade</t>
  </si>
  <si>
    <t>Kroner</t>
  </si>
  <si>
    <t>Yanaki</t>
  </si>
  <si>
    <t>Philips</t>
  </si>
  <si>
    <t xml:space="preserve"> &lt;&lt;== Requires Ctrl + Shift + Enter.</t>
  </si>
  <si>
    <t>Marian  Moody</t>
  </si>
  <si>
    <t>Troy  Hicks</t>
  </si>
  <si>
    <t>Marlene  Black</t>
  </si>
  <si>
    <t>Dominick  Dunn</t>
  </si>
  <si>
    <t>Paulette  Manning</t>
  </si>
  <si>
    <t>Guy  Stephens</t>
  </si>
  <si>
    <t>Kelly  Bryan</t>
  </si>
  <si>
    <t>Marco  Smith</t>
  </si>
  <si>
    <t>Carla  Garza</t>
  </si>
  <si>
    <t>Doug  Hogan</t>
  </si>
  <si>
    <t>Sadie  Ortiz</t>
  </si>
  <si>
    <t>Lynette  Alvarado</t>
  </si>
  <si>
    <t>Lindsey  Marsh</t>
  </si>
  <si>
    <t>Yvette  Vega</t>
  </si>
  <si>
    <t>Elsa  Wilkins</t>
  </si>
  <si>
    <t>Debbie  Jennings</t>
  </si>
  <si>
    <t>Van  Turner</t>
  </si>
  <si>
    <t>Lowell  Logan</t>
  </si>
  <si>
    <t>Rosemary  Adams</t>
  </si>
  <si>
    <t>Henrietta  Weber</t>
  </si>
  <si>
    <t>Ron  Williamson</t>
  </si>
  <si>
    <t>Eric  Neal</t>
  </si>
  <si>
    <t>Susan  Cannon</t>
  </si>
  <si>
    <t>Christine  Peterson</t>
  </si>
  <si>
    <t>Harry  Yates</t>
  </si>
  <si>
    <t>Lynn  Taylor</t>
  </si>
  <si>
    <t>Howard  Cortez</t>
  </si>
  <si>
    <t>Arnold  Ford</t>
  </si>
  <si>
    <t>Orlando  Boone</t>
  </si>
  <si>
    <t>Rosie  Hunter</t>
  </si>
  <si>
    <t>Tanya  Delgado</t>
  </si>
  <si>
    <t>Dennis  Ramirez</t>
  </si>
  <si>
    <t>Katherine  Patterson</t>
  </si>
  <si>
    <t>Meredith  Becker</t>
  </si>
  <si>
    <t>Floyd  Wong</t>
  </si>
  <si>
    <t>Angel  Casey</t>
  </si>
  <si>
    <t>Kim  Roberts</t>
  </si>
  <si>
    <t>Gerardo  Flowers</t>
  </si>
  <si>
    <t>Felicia  Allison</t>
  </si>
  <si>
    <t>Hope  Clarke</t>
  </si>
  <si>
    <t>Alfredo  Rice</t>
  </si>
  <si>
    <t>Jana  Hamilton</t>
  </si>
  <si>
    <t>Jimmie  Roy</t>
  </si>
  <si>
    <t>Calvin  Floyd</t>
  </si>
  <si>
    <t>Kim  Reyes</t>
  </si>
  <si>
    <t>Myron  Bishop</t>
  </si>
  <si>
    <t>Levi  Reese</t>
  </si>
  <si>
    <t>Judy  Park</t>
  </si>
  <si>
    <t>Terrance  Sharp</t>
  </si>
  <si>
    <t>Edwin  Burns</t>
  </si>
  <si>
    <t>Alternative Helper Formula:</t>
  </si>
  <si>
    <t>&lt; Formula =IF(ROWS(E$6:E6)&gt;F$3,"",</t>
  </si>
  <si>
    <t>VLOOKUP(E$3&amp;ROWS(E$6:E6),$A$3:$B$52,2,0))</t>
  </si>
  <si>
    <t>Count Group From Original Database</t>
  </si>
  <si>
    <t>&lt;&lt;== Count Employees in this data set.</t>
  </si>
  <si>
    <t>Contacts
Made</t>
  </si>
  <si>
    <t>Return Multiple Items From One Lookup Value</t>
  </si>
  <si>
    <t>Array Formula to extract with Many OR Criteria</t>
  </si>
  <si>
    <t>Array Formula to extract with OR Criteria in different columns and AND Criteria</t>
  </si>
  <si>
    <t>Array formula using AGGREGATE for  extracting records with OR and AND Criteria.</t>
  </si>
  <si>
    <t>SMALL requires Ctrl + Shift + Enter</t>
  </si>
  <si>
    <t>List 1</t>
  </si>
  <si>
    <t>List 2</t>
  </si>
  <si>
    <t>Joe</t>
  </si>
  <si>
    <t>Cynthia</t>
  </si>
  <si>
    <t>Gigi</t>
  </si>
  <si>
    <t>Names in List 2 that are NOT in List 1</t>
  </si>
  <si>
    <t>Timmy</t>
  </si>
  <si>
    <t>Omar</t>
  </si>
  <si>
    <t>Tina</t>
  </si>
  <si>
    <t>Extract Names in List 2 that are NOT in List 1</t>
  </si>
  <si>
    <t>Extract Names in List 2 that ARE in List 1</t>
  </si>
  <si>
    <t>Takes the formula from calculating 4 times a row, to 1.</t>
  </si>
  <si>
    <t>Row:</t>
  </si>
  <si>
    <t>No.</t>
  </si>
  <si>
    <t>Use Helper Column in Data Extraction Area when you can't have one in Data Area.</t>
  </si>
  <si>
    <t>Extract with OR Criteria</t>
  </si>
  <si>
    <t>Name</t>
  </si>
  <si>
    <t>Sue</t>
  </si>
  <si>
    <t>Jane</t>
  </si>
  <si>
    <t>Ralf</t>
  </si>
  <si>
    <t>Contacts</t>
  </si>
  <si>
    <t>Extract:</t>
  </si>
  <si>
    <t>Extract with OR Criteria and Defined Name Dynamic Range Formula</t>
  </si>
  <si>
    <t>Category automatically created by FREQUENCY</t>
  </si>
  <si>
    <t>Frequency</t>
  </si>
  <si>
    <t>BMX racing times (sec)</t>
  </si>
  <si>
    <t>FREQUENCY Array Function: count how many numbers in each category.</t>
  </si>
  <si>
    <t>data_array</t>
  </si>
  <si>
    <t>bins_array</t>
  </si>
  <si>
    <t>Upper Limits</t>
  </si>
  <si>
    <t>Bins</t>
  </si>
  <si>
    <t>* Evaluate function in cell and look at array syntax: all semi-colons (rows).</t>
  </si>
  <si>
    <t>* To show values horizontal, use: =TRANSPOSE(FREQUENCY(B27:B39,E26:I26))</t>
  </si>
  <si>
    <r>
      <t xml:space="preserve">* Remember: </t>
    </r>
    <r>
      <rPr>
        <b/>
        <sz val="11"/>
        <color rgb="FFFF0000"/>
        <rFont val="Calibri"/>
        <family val="2"/>
        <scheme val="minor"/>
      </rPr>
      <t>CSE</t>
    </r>
    <r>
      <rPr>
        <sz val="11"/>
        <color theme="1"/>
        <rFont val="Calibri"/>
        <family val="2"/>
        <scheme val="minor"/>
      </rPr>
      <t>.</t>
    </r>
  </si>
  <si>
    <t>FREQUENCY ignores text and empty cells.</t>
  </si>
  <si>
    <t>Rider</t>
  </si>
  <si>
    <t>Category</t>
  </si>
  <si>
    <t>Brandon</t>
  </si>
  <si>
    <t>Hudson</t>
  </si>
  <si>
    <t>Ella</t>
  </si>
  <si>
    <t>Lucas</t>
  </si>
  <si>
    <t>Rob</t>
  </si>
  <si>
    <t>Collin</t>
  </si>
  <si>
    <t>DQ</t>
  </si>
  <si>
    <t>Mike</t>
  </si>
  <si>
    <t>Walt</t>
  </si>
  <si>
    <t>If you give FREQUENCY duplicate bins, it only counts in the first one.</t>
  </si>
  <si>
    <t xml:space="preserve"> &lt;&lt;== Only first duplicate gets a count.</t>
  </si>
  <si>
    <t xml:space="preserve"> &lt;&lt;== Duplicate bins gets no count, they are ignored</t>
  </si>
  <si>
    <t>* This characteristic will come in handy when we create unique count formulas and</t>
  </si>
  <si>
    <t>formulas to extract unique values.</t>
  </si>
  <si>
    <t>FREQUENCY delivers vertical array. Use TRANSPOSE if you need horizontal array.</t>
  </si>
  <si>
    <t>Text formulas based on upper values can make report more clear</t>
  </si>
  <si>
    <t>Categories</t>
  </si>
  <si>
    <t>Upper limits only may be ambiguous</t>
  </si>
  <si>
    <t>Formulas in E column</t>
  </si>
  <si>
    <t>Count within each category</t>
  </si>
  <si>
    <t>Categories for race times (sec)</t>
  </si>
  <si>
    <t>Lower Limits</t>
  </si>
  <si>
    <t>Invoice #</t>
  </si>
  <si>
    <t>Amount</t>
  </si>
  <si>
    <t>FREQUENCY</t>
  </si>
  <si>
    <t>COUNTIF</t>
  </si>
  <si>
    <t>Project time tracker</t>
  </si>
  <si>
    <t>Frontier</t>
  </si>
  <si>
    <t>Customer sales table</t>
  </si>
  <si>
    <t>Hours</t>
  </si>
  <si>
    <t>Count unique invoice numbers</t>
  </si>
  <si>
    <t>EMI</t>
  </si>
  <si>
    <t>Income</t>
  </si>
  <si>
    <t>Vote</t>
  </si>
  <si>
    <t>Vote multiple times okay.</t>
  </si>
  <si>
    <t>Han</t>
  </si>
  <si>
    <t>Yes</t>
  </si>
  <si>
    <t>Count Unique</t>
  </si>
  <si>
    <t>* This formula has the potential of an incorrect answer. If you were to type "Sioux" into cell A5, the result would be 1.67</t>
  </si>
  <si>
    <t>*MNG-TR4</t>
  </si>
  <si>
    <t>L-1253-BB</t>
  </si>
  <si>
    <t>MNG-TR4</t>
  </si>
  <si>
    <t>34-987</t>
  </si>
  <si>
    <t>*1001</t>
  </si>
  <si>
    <t>Incorrect:</t>
  </si>
  <si>
    <t>COUNTIF counts</t>
  </si>
  <si>
    <t>MATCH reports relative position</t>
  </si>
  <si>
    <t xml:space="preserve"> &lt;&lt;= We want to count "*MNG-TR4", getting a count of 1.</t>
  </si>
  <si>
    <t>Using "~" allows the formula to "see" "*" as a character and not a wild card.</t>
  </si>
  <si>
    <t>1001 and *1001 are NOT the same.</t>
  </si>
  <si>
    <t>Count unique invoices</t>
  </si>
  <si>
    <t>MNG-TR4 and *MNG-TR4 are not the same</t>
  </si>
  <si>
    <t>We would like this formula: =SUMPRODUCT(--(A3:A9&lt;&gt;"")/COUNTIF("~"&amp;A3:A9,A3:A9&amp;""))</t>
  </si>
  <si>
    <t>But the range argument of the COUNTIF cannot perform array operations.</t>
  </si>
  <si>
    <t>Tris</t>
  </si>
  <si>
    <t>Helper Column to Count Unique Items</t>
  </si>
  <si>
    <t>Items</t>
  </si>
  <si>
    <t>Owner</t>
  </si>
  <si>
    <t>Honda</t>
  </si>
  <si>
    <t>Ford</t>
  </si>
  <si>
    <t>45-876</t>
  </si>
  <si>
    <t>23-46</t>
  </si>
  <si>
    <t>G-876</t>
  </si>
  <si>
    <t>55-987</t>
  </si>
  <si>
    <t>Before 2007, helper could be:</t>
  </si>
  <si>
    <t>Count unique records</t>
  </si>
  <si>
    <t>Helper count</t>
  </si>
  <si>
    <t>Single cell count</t>
  </si>
  <si>
    <t>x</t>
  </si>
  <si>
    <t>Matrix 1</t>
  </si>
  <si>
    <t>Matrix 2</t>
  </si>
  <si>
    <t>Size of resultant array</t>
  </si>
  <si>
    <t>Must be equal</t>
  </si>
  <si>
    <t xml:space="preserve">Rules for when you can multiply </t>
  </si>
  <si>
    <t>arrays with MMULT:</t>
  </si>
  <si>
    <t>C</t>
  </si>
  <si>
    <t>Array 1</t>
  </si>
  <si>
    <t>Array 2</t>
  </si>
  <si>
    <t>Bats</t>
  </si>
  <si>
    <t>Balls</t>
  </si>
  <si>
    <t>Women's Team</t>
  </si>
  <si>
    <t>Men's Team</t>
  </si>
  <si>
    <t>Resultant array =</t>
  </si>
  <si>
    <r>
      <rPr>
        <b/>
        <sz val="11"/>
        <color rgb="FFFF0000"/>
        <rFont val="Calibri"/>
        <family val="2"/>
        <scheme val="minor"/>
      </rPr>
      <t>R</t>
    </r>
    <r>
      <rPr>
        <sz val="11"/>
        <rFont val="Calibri"/>
        <family val="2"/>
        <scheme val="minor"/>
      </rPr>
      <t xml:space="preserve"> x </t>
    </r>
    <r>
      <rPr>
        <b/>
        <sz val="11"/>
        <color rgb="FF0000FF"/>
        <rFont val="Calibri"/>
        <family val="2"/>
        <scheme val="minor"/>
      </rPr>
      <t>C</t>
    </r>
    <r>
      <rPr>
        <sz val="11"/>
        <rFont val="Calibri"/>
        <family val="2"/>
        <scheme val="minor"/>
      </rPr>
      <t xml:space="preserve"> = </t>
    </r>
    <r>
      <rPr>
        <b/>
        <sz val="11"/>
        <color rgb="FFFF0000"/>
        <rFont val="Calibri"/>
        <family val="2"/>
        <scheme val="minor"/>
      </rPr>
      <t>1</t>
    </r>
    <r>
      <rPr>
        <sz val="11"/>
        <rFont val="Calibri"/>
        <family val="2"/>
        <scheme val="minor"/>
      </rPr>
      <t xml:space="preserve"> x </t>
    </r>
    <r>
      <rPr>
        <b/>
        <sz val="11"/>
        <color rgb="FF0000FF"/>
        <rFont val="Calibri"/>
        <family val="2"/>
        <scheme val="minor"/>
      </rPr>
      <t>3</t>
    </r>
  </si>
  <si>
    <r>
      <rPr>
        <b/>
        <sz val="11"/>
        <color rgb="FF0000FF"/>
        <rFont val="Calibri"/>
        <family val="2"/>
        <scheme val="minor"/>
      </rPr>
      <t>R</t>
    </r>
    <r>
      <rPr>
        <sz val="11"/>
        <rFont val="Calibri"/>
        <family val="2"/>
        <scheme val="minor"/>
      </rPr>
      <t xml:space="preserve"> x </t>
    </r>
    <r>
      <rPr>
        <b/>
        <sz val="11"/>
        <color rgb="FFFF0000"/>
        <rFont val="Calibri"/>
        <family val="2"/>
        <scheme val="minor"/>
      </rPr>
      <t>C</t>
    </r>
    <r>
      <rPr>
        <sz val="11"/>
        <rFont val="Calibri"/>
        <family val="2"/>
        <scheme val="minor"/>
      </rPr>
      <t xml:space="preserve"> = </t>
    </r>
    <r>
      <rPr>
        <b/>
        <sz val="11"/>
        <color rgb="FF0000FF"/>
        <rFont val="Calibri"/>
        <family val="2"/>
        <scheme val="minor"/>
      </rPr>
      <t>3</t>
    </r>
    <r>
      <rPr>
        <sz val="11"/>
        <rFont val="Calibri"/>
        <family val="2"/>
        <scheme val="minor"/>
      </rPr>
      <t xml:space="preserve"> x </t>
    </r>
    <r>
      <rPr>
        <b/>
        <sz val="11"/>
        <color rgb="FFFF0000"/>
        <rFont val="Calibri"/>
        <family val="2"/>
        <scheme val="minor"/>
      </rPr>
      <t>2</t>
    </r>
  </si>
  <si>
    <t>Equipment order:</t>
  </si>
  <si>
    <t>Gloves</t>
  </si>
  <si>
    <t>the whole column (all the rows)</t>
  </si>
  <si>
    <t>The whole row (all the columns) x</t>
  </si>
  <si>
    <t xml:space="preserve"> &lt;&lt;= Long Hand =&gt;&gt;</t>
  </si>
  <si>
    <t xml:space="preserve">Test </t>
  </si>
  <si>
    <t>Weights</t>
  </si>
  <si>
    <r>
      <t xml:space="preserve">Array 1: </t>
    </r>
    <r>
      <rPr>
        <b/>
        <sz val="11"/>
        <color rgb="FFFF0000"/>
        <rFont val="Calibri"/>
        <family val="2"/>
        <scheme val="minor"/>
      </rPr>
      <t>R</t>
    </r>
    <r>
      <rPr>
        <sz val="11"/>
        <color theme="1"/>
        <rFont val="Calibri"/>
        <family val="2"/>
        <scheme val="minor"/>
      </rPr>
      <t xml:space="preserve"> x </t>
    </r>
    <r>
      <rPr>
        <b/>
        <sz val="11"/>
        <color rgb="FF0000FF"/>
        <rFont val="Calibri"/>
        <family val="2"/>
        <scheme val="minor"/>
      </rPr>
      <t>C</t>
    </r>
    <r>
      <rPr>
        <sz val="11"/>
        <color theme="1"/>
        <rFont val="Calibri"/>
        <family val="2"/>
        <scheme val="minor"/>
      </rPr>
      <t xml:space="preserve"> = </t>
    </r>
    <r>
      <rPr>
        <b/>
        <sz val="11"/>
        <color rgb="FFFF0000"/>
        <rFont val="Calibri"/>
        <family val="2"/>
        <scheme val="minor"/>
      </rPr>
      <t>1</t>
    </r>
    <r>
      <rPr>
        <sz val="11"/>
        <color theme="1"/>
        <rFont val="Calibri"/>
        <family val="2"/>
        <scheme val="minor"/>
      </rPr>
      <t xml:space="preserve"> x </t>
    </r>
    <r>
      <rPr>
        <b/>
        <sz val="11"/>
        <color rgb="FF0000FF"/>
        <rFont val="Calibri"/>
        <family val="2"/>
        <scheme val="minor"/>
      </rPr>
      <t>4</t>
    </r>
  </si>
  <si>
    <r>
      <t xml:space="preserve">Array 2: </t>
    </r>
    <r>
      <rPr>
        <b/>
        <sz val="11"/>
        <color rgb="FF0000FF"/>
        <rFont val="Calibri"/>
        <family val="2"/>
        <scheme val="minor"/>
      </rPr>
      <t>R</t>
    </r>
    <r>
      <rPr>
        <sz val="11"/>
        <color theme="1"/>
        <rFont val="Calibri"/>
        <family val="2"/>
        <scheme val="minor"/>
      </rPr>
      <t xml:space="preserve"> x </t>
    </r>
    <r>
      <rPr>
        <b/>
        <sz val="11"/>
        <color rgb="FFFF0000"/>
        <rFont val="Calibri"/>
        <family val="2"/>
        <scheme val="minor"/>
      </rPr>
      <t>C</t>
    </r>
    <r>
      <rPr>
        <sz val="11"/>
        <color theme="1"/>
        <rFont val="Calibri"/>
        <family val="2"/>
        <scheme val="minor"/>
      </rPr>
      <t xml:space="preserve"> = </t>
    </r>
    <r>
      <rPr>
        <b/>
        <sz val="11"/>
        <color rgb="FF0000FF"/>
        <rFont val="Calibri"/>
        <family val="2"/>
        <scheme val="minor"/>
      </rPr>
      <t>4</t>
    </r>
    <r>
      <rPr>
        <sz val="11"/>
        <color theme="1"/>
        <rFont val="Calibri"/>
        <family val="2"/>
        <scheme val="minor"/>
      </rPr>
      <t xml:space="preserve"> x </t>
    </r>
    <r>
      <rPr>
        <b/>
        <sz val="11"/>
        <color rgb="FFFF0000"/>
        <rFont val="Calibri"/>
        <family val="2"/>
        <scheme val="minor"/>
      </rPr>
      <t>1</t>
    </r>
  </si>
  <si>
    <t>Grade Table:</t>
  </si>
  <si>
    <t>Long Hand</t>
  </si>
  <si>
    <r>
      <t xml:space="preserve"> &lt; &lt; &lt;</t>
    </r>
    <r>
      <rPr>
        <b/>
        <sz val="11"/>
        <color theme="1"/>
        <rFont val="Calibri"/>
        <family val="2"/>
        <scheme val="minor"/>
      </rPr>
      <t xml:space="preserve"> Array2</t>
    </r>
    <r>
      <rPr>
        <sz val="11"/>
        <color theme="1"/>
        <rFont val="Calibri"/>
        <family val="2"/>
        <scheme val="minor"/>
      </rPr>
      <t xml:space="preserve"> = </t>
    </r>
    <r>
      <rPr>
        <b/>
        <sz val="11"/>
        <color rgb="FF0000FF"/>
        <rFont val="Calibri"/>
        <family val="2"/>
        <scheme val="minor"/>
      </rPr>
      <t>R</t>
    </r>
    <r>
      <rPr>
        <sz val="11"/>
        <color theme="1"/>
        <rFont val="Calibri"/>
        <family val="2"/>
        <scheme val="minor"/>
      </rPr>
      <t xml:space="preserve"> x </t>
    </r>
    <r>
      <rPr>
        <b/>
        <sz val="11"/>
        <color rgb="FFFF0000"/>
        <rFont val="Calibri"/>
        <family val="2"/>
        <scheme val="minor"/>
      </rPr>
      <t>C</t>
    </r>
    <r>
      <rPr>
        <sz val="11"/>
        <color theme="1"/>
        <rFont val="Calibri"/>
        <family val="2"/>
        <scheme val="minor"/>
      </rPr>
      <t xml:space="preserve"> = </t>
    </r>
    <r>
      <rPr>
        <b/>
        <sz val="11"/>
        <color rgb="FF0000FF"/>
        <rFont val="Calibri"/>
        <family val="2"/>
        <scheme val="minor"/>
      </rPr>
      <t>1</t>
    </r>
    <r>
      <rPr>
        <sz val="11"/>
        <color theme="1"/>
        <rFont val="Calibri"/>
        <family val="2"/>
        <scheme val="minor"/>
      </rPr>
      <t xml:space="preserve"> x </t>
    </r>
    <r>
      <rPr>
        <b/>
        <sz val="11"/>
        <color rgb="FFFF0000"/>
        <rFont val="Calibri"/>
        <family val="2"/>
        <scheme val="minor"/>
      </rPr>
      <t>2</t>
    </r>
  </si>
  <si>
    <t>Stock A Estimated Return</t>
  </si>
  <si>
    <t>Stock B Estimated Return</t>
  </si>
  <si>
    <t xml:space="preserve"> &lt;&lt;== If cell contains text,</t>
  </si>
  <si>
    <r>
      <t xml:space="preserve">then multiplying (with math operator *) arrays will </t>
    </r>
    <r>
      <rPr>
        <b/>
        <sz val="11"/>
        <color theme="1"/>
        <rFont val="Calibri"/>
        <family val="2"/>
        <scheme val="minor"/>
      </rPr>
      <t>NOT</t>
    </r>
    <r>
      <rPr>
        <sz val="11"/>
        <color theme="1"/>
        <rFont val="Calibri"/>
        <family val="2"/>
        <scheme val="minor"/>
      </rPr>
      <t xml:space="preserve"> work.</t>
    </r>
  </si>
  <si>
    <r>
      <rPr>
        <b/>
        <sz val="11"/>
        <color theme="1"/>
        <rFont val="Calibri"/>
        <family val="2"/>
        <scheme val="minor"/>
      </rPr>
      <t>Array1</t>
    </r>
    <r>
      <rPr>
        <sz val="11"/>
        <color theme="1"/>
        <rFont val="Calibri"/>
        <family val="2"/>
        <scheme val="minor"/>
      </rPr>
      <t xml:space="preserve"> = </t>
    </r>
    <r>
      <rPr>
        <b/>
        <sz val="11"/>
        <color rgb="FFFF0000"/>
        <rFont val="Calibri"/>
        <family val="2"/>
        <scheme val="minor"/>
      </rPr>
      <t>R</t>
    </r>
    <r>
      <rPr>
        <sz val="11"/>
        <color theme="1"/>
        <rFont val="Calibri"/>
        <family val="2"/>
        <scheme val="minor"/>
      </rPr>
      <t xml:space="preserve"> x </t>
    </r>
    <r>
      <rPr>
        <b/>
        <sz val="11"/>
        <color rgb="FF0000FF"/>
        <rFont val="Calibri"/>
        <family val="2"/>
        <scheme val="minor"/>
      </rPr>
      <t>C</t>
    </r>
    <r>
      <rPr>
        <sz val="11"/>
        <color theme="1"/>
        <rFont val="Calibri"/>
        <family val="2"/>
        <scheme val="minor"/>
      </rPr>
      <t xml:space="preserve"> = </t>
    </r>
    <r>
      <rPr>
        <b/>
        <sz val="11"/>
        <color rgb="FFFF0000"/>
        <rFont val="Calibri"/>
        <family val="2"/>
        <scheme val="minor"/>
      </rPr>
      <t>3</t>
    </r>
    <r>
      <rPr>
        <sz val="11"/>
        <color theme="1"/>
        <rFont val="Calibri"/>
        <family val="2"/>
        <scheme val="minor"/>
      </rPr>
      <t xml:space="preserve"> x </t>
    </r>
    <r>
      <rPr>
        <b/>
        <sz val="11"/>
        <color rgb="FF0000FF"/>
        <rFont val="Calibri"/>
        <family val="2"/>
        <scheme val="minor"/>
      </rPr>
      <t>1</t>
    </r>
  </si>
  <si>
    <t>SD</t>
  </si>
  <si>
    <t>Var</t>
  </si>
  <si>
    <t>Standard Deviation of Portfolio Calculations:</t>
  </si>
  <si>
    <t>A</t>
  </si>
  <si>
    <t>Costs:</t>
  </si>
  <si>
    <t>Number Ordered:</t>
  </si>
  <si>
    <t>Total for Women's Team</t>
  </si>
  <si>
    <t>Cost Each</t>
  </si>
  <si>
    <t>1) Must be equal</t>
  </si>
  <si>
    <t>2) Size of resultant array</t>
  </si>
  <si>
    <t>**MMULT creates an array that is the same size as array of Estimated Returns.</t>
  </si>
  <si>
    <t>** SUMPRODUCT (like SUM) ignores text.</t>
  </si>
  <si>
    <t xml:space="preserve"> -</t>
  </si>
  <si>
    <t xml:space="preserve"> +</t>
  </si>
  <si>
    <t xml:space="preserve"> =</t>
  </si>
  <si>
    <t>Coefficient</t>
  </si>
  <si>
    <r>
      <rPr>
        <b/>
        <sz val="11"/>
        <color rgb="FFFF0000"/>
        <rFont val="Calibri"/>
        <family val="2"/>
        <scheme val="minor"/>
      </rPr>
      <t>R</t>
    </r>
    <r>
      <rPr>
        <sz val="11"/>
        <color theme="1"/>
        <rFont val="Calibri"/>
        <family val="2"/>
        <scheme val="minor"/>
      </rPr>
      <t xml:space="preserve"> x </t>
    </r>
    <r>
      <rPr>
        <b/>
        <sz val="11"/>
        <color rgb="FF0000FF"/>
        <rFont val="Calibri"/>
        <family val="2"/>
        <scheme val="minor"/>
      </rPr>
      <t>C</t>
    </r>
    <r>
      <rPr>
        <sz val="11"/>
        <color theme="1"/>
        <rFont val="Calibri"/>
        <family val="2"/>
        <scheme val="minor"/>
      </rPr>
      <t xml:space="preserve"> = </t>
    </r>
    <r>
      <rPr>
        <b/>
        <sz val="11"/>
        <color rgb="FFFF0000"/>
        <rFont val="Calibri"/>
        <family val="2"/>
        <scheme val="minor"/>
      </rPr>
      <t>3</t>
    </r>
    <r>
      <rPr>
        <sz val="11"/>
        <color theme="1"/>
        <rFont val="Calibri"/>
        <family val="2"/>
        <scheme val="minor"/>
      </rPr>
      <t xml:space="preserve"> x </t>
    </r>
    <r>
      <rPr>
        <b/>
        <sz val="11"/>
        <color rgb="FF0000FF"/>
        <rFont val="Calibri"/>
        <family val="2"/>
        <scheme val="minor"/>
      </rPr>
      <t>3</t>
    </r>
  </si>
  <si>
    <r>
      <rPr>
        <b/>
        <sz val="11"/>
        <color rgb="FF0000FF"/>
        <rFont val="Calibri"/>
        <family val="2"/>
        <scheme val="minor"/>
      </rPr>
      <t>R</t>
    </r>
    <r>
      <rPr>
        <sz val="11"/>
        <color theme="1"/>
        <rFont val="Calibri"/>
        <family val="2"/>
        <scheme val="minor"/>
      </rPr>
      <t xml:space="preserve"> x </t>
    </r>
    <r>
      <rPr>
        <b/>
        <sz val="11"/>
        <color rgb="FFFF0000"/>
        <rFont val="Calibri"/>
        <family val="2"/>
        <scheme val="minor"/>
      </rPr>
      <t>C</t>
    </r>
    <r>
      <rPr>
        <sz val="11"/>
        <color theme="1"/>
        <rFont val="Calibri"/>
        <family val="2"/>
        <scheme val="minor"/>
      </rPr>
      <t xml:space="preserve"> = </t>
    </r>
    <r>
      <rPr>
        <b/>
        <sz val="11"/>
        <color rgb="FF0000FF"/>
        <rFont val="Calibri"/>
        <family val="2"/>
        <scheme val="minor"/>
      </rPr>
      <t>3</t>
    </r>
    <r>
      <rPr>
        <sz val="11"/>
        <color theme="1"/>
        <rFont val="Calibri"/>
        <family val="2"/>
        <scheme val="minor"/>
      </rPr>
      <t xml:space="preserve"> x </t>
    </r>
    <r>
      <rPr>
        <b/>
        <sz val="11"/>
        <color rgb="FFFF0000"/>
        <rFont val="Calibri"/>
        <family val="2"/>
        <scheme val="minor"/>
      </rPr>
      <t>1</t>
    </r>
  </si>
  <si>
    <r>
      <t>x</t>
    </r>
    <r>
      <rPr>
        <b/>
        <vertAlign val="subscript"/>
        <sz val="11"/>
        <color theme="1"/>
        <rFont val="Calibri"/>
        <family val="2"/>
        <scheme val="minor"/>
      </rPr>
      <t>1</t>
    </r>
  </si>
  <si>
    <r>
      <t>2x</t>
    </r>
    <r>
      <rPr>
        <b/>
        <vertAlign val="subscript"/>
        <sz val="11"/>
        <color theme="1"/>
        <rFont val="Calibri"/>
        <family val="2"/>
        <scheme val="minor"/>
      </rPr>
      <t>2</t>
    </r>
  </si>
  <si>
    <r>
      <t>x</t>
    </r>
    <r>
      <rPr>
        <b/>
        <vertAlign val="subscript"/>
        <sz val="11"/>
        <color theme="1"/>
        <rFont val="Calibri"/>
        <family val="2"/>
        <scheme val="minor"/>
      </rPr>
      <t>3</t>
    </r>
  </si>
  <si>
    <r>
      <t>x</t>
    </r>
    <r>
      <rPr>
        <b/>
        <vertAlign val="subscript"/>
        <sz val="11"/>
        <color theme="1"/>
        <rFont val="Calibri"/>
        <family val="2"/>
        <scheme val="minor"/>
      </rPr>
      <t>2</t>
    </r>
  </si>
  <si>
    <r>
      <t>2x</t>
    </r>
    <r>
      <rPr>
        <b/>
        <vertAlign val="subscript"/>
        <sz val="11"/>
        <color theme="1"/>
        <rFont val="Calibri"/>
        <family val="2"/>
        <scheme val="minor"/>
      </rPr>
      <t>3</t>
    </r>
  </si>
  <si>
    <r>
      <t>2x</t>
    </r>
    <r>
      <rPr>
        <b/>
        <vertAlign val="subscript"/>
        <sz val="11"/>
        <color theme="1"/>
        <rFont val="Calibri"/>
        <family val="2"/>
        <scheme val="minor"/>
      </rPr>
      <t>1</t>
    </r>
  </si>
  <si>
    <r>
      <t>3x</t>
    </r>
    <r>
      <rPr>
        <b/>
        <vertAlign val="subscript"/>
        <sz val="11"/>
        <color theme="1"/>
        <rFont val="Calibri"/>
        <family val="2"/>
        <scheme val="minor"/>
      </rPr>
      <t>2</t>
    </r>
  </si>
  <si>
    <r>
      <t>x</t>
    </r>
    <r>
      <rPr>
        <b/>
        <vertAlign val="subscript"/>
        <sz val="11"/>
        <color theme="1"/>
        <rFont val="Calibri"/>
        <family val="2"/>
        <scheme val="minor"/>
      </rPr>
      <t>1</t>
    </r>
    <r>
      <rPr>
        <b/>
        <sz val="11"/>
        <color theme="1"/>
        <rFont val="Calibri"/>
        <family val="2"/>
        <scheme val="minor"/>
      </rPr>
      <t xml:space="preserve"> = </t>
    </r>
  </si>
  <si>
    <r>
      <t>x</t>
    </r>
    <r>
      <rPr>
        <b/>
        <vertAlign val="subscript"/>
        <sz val="11"/>
        <color theme="1"/>
        <rFont val="Calibri"/>
        <family val="2"/>
        <scheme val="minor"/>
      </rPr>
      <t>2</t>
    </r>
    <r>
      <rPr>
        <b/>
        <sz val="11"/>
        <color theme="1"/>
        <rFont val="Calibri"/>
        <family val="2"/>
        <scheme val="minor"/>
      </rPr>
      <t xml:space="preserve"> = </t>
    </r>
  </si>
  <si>
    <r>
      <t>x</t>
    </r>
    <r>
      <rPr>
        <b/>
        <vertAlign val="subscript"/>
        <sz val="11"/>
        <color theme="1"/>
        <rFont val="Calibri"/>
        <family val="2"/>
        <scheme val="minor"/>
      </rPr>
      <t>3</t>
    </r>
    <r>
      <rPr>
        <b/>
        <sz val="11"/>
        <color theme="1"/>
        <rFont val="Calibri"/>
        <family val="2"/>
        <scheme val="minor"/>
      </rPr>
      <t xml:space="preserve"> = </t>
    </r>
  </si>
  <si>
    <t>Resultant Array:</t>
  </si>
  <si>
    <t>Array 2:</t>
  </si>
  <si>
    <t>Array 1:</t>
  </si>
  <si>
    <r>
      <rPr>
        <b/>
        <sz val="11"/>
        <rFont val="Calibri"/>
        <family val="2"/>
        <scheme val="minor"/>
      </rPr>
      <t>Array 1 =</t>
    </r>
    <r>
      <rPr>
        <b/>
        <sz val="11"/>
        <color rgb="FF0000FF"/>
        <rFont val="Calibri"/>
        <family val="2"/>
        <scheme val="minor"/>
      </rPr>
      <t xml:space="preserve"> </t>
    </r>
    <r>
      <rPr>
        <b/>
        <sz val="11"/>
        <color rgb="FFFF0000"/>
        <rFont val="Calibri"/>
        <family val="2"/>
        <scheme val="minor"/>
      </rPr>
      <t>R</t>
    </r>
    <r>
      <rPr>
        <sz val="11"/>
        <color theme="1"/>
        <rFont val="Calibri"/>
        <family val="2"/>
        <scheme val="minor"/>
      </rPr>
      <t xml:space="preserve"> x </t>
    </r>
    <r>
      <rPr>
        <b/>
        <sz val="11"/>
        <color rgb="FF0000FF"/>
        <rFont val="Calibri"/>
        <family val="2"/>
        <scheme val="minor"/>
      </rPr>
      <t>C</t>
    </r>
    <r>
      <rPr>
        <sz val="11"/>
        <color theme="1"/>
        <rFont val="Calibri"/>
        <family val="2"/>
        <scheme val="minor"/>
      </rPr>
      <t xml:space="preserve"> = </t>
    </r>
    <r>
      <rPr>
        <b/>
        <sz val="11"/>
        <color rgb="FFFF0000"/>
        <rFont val="Calibri"/>
        <family val="2"/>
        <scheme val="minor"/>
      </rPr>
      <t>10</t>
    </r>
    <r>
      <rPr>
        <sz val="11"/>
        <color theme="1"/>
        <rFont val="Calibri"/>
        <family val="2"/>
        <scheme val="minor"/>
      </rPr>
      <t xml:space="preserve"> x </t>
    </r>
    <r>
      <rPr>
        <b/>
        <sz val="11"/>
        <color rgb="FF0000FF"/>
        <rFont val="Calibri"/>
        <family val="2"/>
        <scheme val="minor"/>
      </rPr>
      <t>1</t>
    </r>
  </si>
  <si>
    <r>
      <rPr>
        <b/>
        <sz val="11"/>
        <rFont val="Calibri"/>
        <family val="2"/>
        <scheme val="minor"/>
      </rPr>
      <t xml:space="preserve">Array 2 = </t>
    </r>
    <r>
      <rPr>
        <b/>
        <sz val="11"/>
        <color rgb="FF0000FF"/>
        <rFont val="Calibri"/>
        <family val="2"/>
        <scheme val="minor"/>
      </rPr>
      <t>R</t>
    </r>
    <r>
      <rPr>
        <sz val="11"/>
        <color theme="1"/>
        <rFont val="Calibri"/>
        <family val="2"/>
        <scheme val="minor"/>
      </rPr>
      <t xml:space="preserve"> x </t>
    </r>
    <r>
      <rPr>
        <b/>
        <sz val="11"/>
        <color rgb="FFFF0000"/>
        <rFont val="Calibri"/>
        <family val="2"/>
        <scheme val="minor"/>
      </rPr>
      <t>C</t>
    </r>
    <r>
      <rPr>
        <sz val="11"/>
        <color theme="1"/>
        <rFont val="Calibri"/>
        <family val="2"/>
        <scheme val="minor"/>
      </rPr>
      <t xml:space="preserve"> = </t>
    </r>
    <r>
      <rPr>
        <b/>
        <sz val="11"/>
        <color rgb="FF0000FF"/>
        <rFont val="Calibri"/>
        <family val="2"/>
        <scheme val="minor"/>
      </rPr>
      <t>1</t>
    </r>
    <r>
      <rPr>
        <sz val="11"/>
        <color theme="1"/>
        <rFont val="Calibri"/>
        <family val="2"/>
        <scheme val="minor"/>
      </rPr>
      <t xml:space="preserve"> x </t>
    </r>
    <r>
      <rPr>
        <b/>
        <sz val="11"/>
        <color rgb="FFFF0000"/>
        <rFont val="Calibri"/>
        <family val="2"/>
        <scheme val="minor"/>
      </rPr>
      <t>10</t>
    </r>
  </si>
  <si>
    <t>=</t>
  </si>
  <si>
    <r>
      <t>A</t>
    </r>
    <r>
      <rPr>
        <b/>
        <vertAlign val="superscript"/>
        <sz val="11"/>
        <color theme="1"/>
        <rFont val="Calibri"/>
        <family val="2"/>
        <scheme val="minor"/>
      </rPr>
      <t>-1</t>
    </r>
  </si>
  <si>
    <r>
      <t>I</t>
    </r>
    <r>
      <rPr>
        <b/>
        <vertAlign val="subscript"/>
        <sz val="11"/>
        <color theme="1"/>
        <rFont val="Calibri"/>
        <family val="2"/>
        <scheme val="minor"/>
      </rPr>
      <t>n</t>
    </r>
  </si>
  <si>
    <t>Solving system of equations</t>
  </si>
  <si>
    <t>1) Coefficients</t>
  </si>
  <si>
    <t>2) Constants</t>
  </si>
  <si>
    <t>3) X</t>
  </si>
  <si>
    <t>4) After solving, plug in and check:</t>
  </si>
  <si>
    <t>Standard deviation</t>
  </si>
  <si>
    <t>E(R) = Expected Return for portfolio</t>
  </si>
  <si>
    <t>Standard deviation  for portfolio</t>
  </si>
  <si>
    <r>
      <t>3)
(Rs - E(R))</t>
    </r>
    <r>
      <rPr>
        <vertAlign val="superscript"/>
        <sz val="11"/>
        <color theme="0"/>
        <rFont val="Calibri"/>
        <family val="2"/>
        <scheme val="minor"/>
      </rPr>
      <t>2</t>
    </r>
  </si>
  <si>
    <r>
      <t>2)
R</t>
    </r>
    <r>
      <rPr>
        <vertAlign val="subscript"/>
        <sz val="11"/>
        <color theme="0"/>
        <rFont val="Calibri"/>
        <family val="2"/>
        <scheme val="minor"/>
      </rPr>
      <t>s</t>
    </r>
    <r>
      <rPr>
        <sz val="11"/>
        <color theme="0"/>
        <rFont val="Calibri"/>
        <family val="2"/>
        <scheme val="minor"/>
      </rPr>
      <t xml:space="preserve"> - E(R)</t>
    </r>
  </si>
  <si>
    <r>
      <t>1)
R</t>
    </r>
    <r>
      <rPr>
        <vertAlign val="subscript"/>
        <sz val="11"/>
        <color theme="0"/>
        <rFont val="Calibri"/>
        <family val="2"/>
        <scheme val="minor"/>
      </rPr>
      <t>s</t>
    </r>
  </si>
  <si>
    <r>
      <t>4)
(Rs - E(R))</t>
    </r>
    <r>
      <rPr>
        <vertAlign val="superscript"/>
        <sz val="11"/>
        <color theme="0"/>
        <rFont val="Calibri"/>
        <family val="2"/>
        <scheme val="minor"/>
      </rPr>
      <t>2</t>
    </r>
    <r>
      <rPr>
        <sz val="11"/>
        <color theme="0"/>
        <rFont val="Calibri"/>
        <family val="2"/>
        <scheme val="minor"/>
      </rPr>
      <t>*Prob</t>
    </r>
  </si>
  <si>
    <t>5) SUM</t>
  </si>
  <si>
    <t>6) SQRT</t>
  </si>
  <si>
    <t>è</t>
  </si>
  <si>
    <t>C1:D1*C3:D5</t>
  </si>
  <si>
    <t xml:space="preserve"> &lt;== we'll see how to fix this later in the chapter on MMULT Array Function, chapter 18.</t>
  </si>
  <si>
    <t>B3:B5*C1:D1*C3:D5</t>
  </si>
  <si>
    <t xml:space="preserve">Array 1 </t>
  </si>
  <si>
    <t>Resultant Array</t>
  </si>
  <si>
    <r>
      <rPr>
        <b/>
        <sz val="11"/>
        <color rgb="FFFF0000"/>
        <rFont val="Calibri"/>
        <family val="2"/>
        <scheme val="minor"/>
      </rPr>
      <t>R</t>
    </r>
    <r>
      <rPr>
        <sz val="11"/>
        <color theme="1"/>
        <rFont val="Calibri"/>
        <family val="2"/>
        <scheme val="minor"/>
      </rPr>
      <t xml:space="preserve"> x </t>
    </r>
    <r>
      <rPr>
        <b/>
        <sz val="11"/>
        <color rgb="FFFF0000"/>
        <rFont val="Calibri"/>
        <family val="2"/>
        <scheme val="minor"/>
      </rPr>
      <t>C</t>
    </r>
    <r>
      <rPr>
        <sz val="11"/>
        <color theme="1"/>
        <rFont val="Calibri"/>
        <family val="2"/>
        <scheme val="minor"/>
      </rPr>
      <t xml:space="preserve"> = </t>
    </r>
    <r>
      <rPr>
        <b/>
        <sz val="11"/>
        <color rgb="FFFF0000"/>
        <rFont val="Calibri"/>
        <family val="2"/>
        <scheme val="minor"/>
      </rPr>
      <t>3</t>
    </r>
    <r>
      <rPr>
        <sz val="11"/>
        <color theme="1"/>
        <rFont val="Calibri"/>
        <family val="2"/>
        <scheme val="minor"/>
      </rPr>
      <t xml:space="preserve"> x </t>
    </r>
    <r>
      <rPr>
        <b/>
        <sz val="11"/>
        <color rgb="FFFF0000"/>
        <rFont val="Calibri"/>
        <family val="2"/>
        <scheme val="minor"/>
      </rPr>
      <t>1</t>
    </r>
  </si>
  <si>
    <r>
      <rPr>
        <b/>
        <sz val="11"/>
        <color rgb="FFFF0000"/>
        <rFont val="Calibri"/>
        <family val="2"/>
        <scheme val="minor"/>
      </rPr>
      <t>R</t>
    </r>
    <r>
      <rPr>
        <sz val="11"/>
        <color theme="1"/>
        <rFont val="Calibri"/>
        <family val="2"/>
        <scheme val="minor"/>
      </rPr>
      <t xml:space="preserve"> x </t>
    </r>
    <r>
      <rPr>
        <b/>
        <sz val="11"/>
        <color rgb="FF0000FF"/>
        <rFont val="Calibri"/>
        <family val="2"/>
        <scheme val="minor"/>
      </rPr>
      <t>C</t>
    </r>
    <r>
      <rPr>
        <sz val="11"/>
        <color theme="1"/>
        <rFont val="Calibri"/>
        <family val="2"/>
        <scheme val="minor"/>
      </rPr>
      <t xml:space="preserve"> = </t>
    </r>
    <r>
      <rPr>
        <b/>
        <sz val="11"/>
        <color rgb="FFFF0000"/>
        <rFont val="Calibri"/>
        <family val="2"/>
        <scheme val="minor"/>
      </rPr>
      <t>3</t>
    </r>
    <r>
      <rPr>
        <sz val="11"/>
        <color theme="1"/>
        <rFont val="Calibri"/>
        <family val="2"/>
        <scheme val="minor"/>
      </rPr>
      <t xml:space="preserve"> x </t>
    </r>
    <r>
      <rPr>
        <b/>
        <sz val="11"/>
        <color rgb="FF0000FF"/>
        <rFont val="Calibri"/>
        <family val="2"/>
        <scheme val="minor"/>
      </rPr>
      <t>2</t>
    </r>
  </si>
  <si>
    <r>
      <rPr>
        <b/>
        <sz val="11"/>
        <color rgb="FF0000FF"/>
        <rFont val="Calibri"/>
        <family val="2"/>
        <scheme val="minor"/>
      </rPr>
      <t>R</t>
    </r>
    <r>
      <rPr>
        <sz val="11"/>
        <color theme="1"/>
        <rFont val="Calibri"/>
        <family val="2"/>
        <scheme val="minor"/>
      </rPr>
      <t xml:space="preserve"> x </t>
    </r>
    <r>
      <rPr>
        <b/>
        <sz val="11"/>
        <color rgb="FFFF0000"/>
        <rFont val="Calibri"/>
        <family val="2"/>
        <scheme val="minor"/>
      </rPr>
      <t>C</t>
    </r>
    <r>
      <rPr>
        <sz val="11"/>
        <color theme="1"/>
        <rFont val="Calibri"/>
        <family val="2"/>
        <scheme val="minor"/>
      </rPr>
      <t xml:space="preserve"> = </t>
    </r>
    <r>
      <rPr>
        <b/>
        <sz val="11"/>
        <color rgb="FF0000FF"/>
        <rFont val="Calibri"/>
        <family val="2"/>
        <scheme val="minor"/>
      </rPr>
      <t>?</t>
    </r>
    <r>
      <rPr>
        <sz val="11"/>
        <color theme="1"/>
        <rFont val="Calibri"/>
        <family val="2"/>
        <scheme val="minor"/>
      </rPr>
      <t xml:space="preserve"> X </t>
    </r>
    <r>
      <rPr>
        <b/>
        <sz val="11"/>
        <color rgb="FFFF0000"/>
        <rFont val="Calibri"/>
        <family val="2"/>
        <scheme val="minor"/>
      </rPr>
      <t>?</t>
    </r>
  </si>
  <si>
    <t>?</t>
  </si>
  <si>
    <t>Must be equal &gt;&gt;</t>
  </si>
  <si>
    <t>&lt;&lt; Resultant has 1 Column only if Array 2 has 1 Column</t>
  </si>
  <si>
    <t>Here is how we figure out what the size of the array should be:</t>
  </si>
  <si>
    <t>Array 2 therefore has this dimension:</t>
  </si>
  <si>
    <t>We need to add and so multiplying by 1 will do it:</t>
  </si>
  <si>
    <t>Step 1:</t>
  </si>
  <si>
    <r>
      <rPr>
        <b/>
        <sz val="11"/>
        <color rgb="FF0000FF"/>
        <rFont val="Calibri"/>
        <family val="2"/>
        <scheme val="minor"/>
      </rPr>
      <t>R</t>
    </r>
    <r>
      <rPr>
        <sz val="11"/>
        <color theme="1"/>
        <rFont val="Calibri"/>
        <family val="2"/>
        <scheme val="minor"/>
      </rPr>
      <t xml:space="preserve"> x </t>
    </r>
    <r>
      <rPr>
        <b/>
        <sz val="11"/>
        <color rgb="FFFF0000"/>
        <rFont val="Calibri"/>
        <family val="2"/>
        <scheme val="minor"/>
      </rPr>
      <t>C</t>
    </r>
    <r>
      <rPr>
        <sz val="11"/>
        <color theme="1"/>
        <rFont val="Calibri"/>
        <family val="2"/>
        <scheme val="minor"/>
      </rPr>
      <t xml:space="preserve"> = </t>
    </r>
    <r>
      <rPr>
        <b/>
        <sz val="11"/>
        <color rgb="FF0000FF"/>
        <rFont val="Calibri"/>
        <family val="2"/>
        <scheme val="minor"/>
      </rPr>
      <t>2</t>
    </r>
    <r>
      <rPr>
        <sz val="11"/>
        <color theme="1"/>
        <rFont val="Calibri"/>
        <family val="2"/>
        <scheme val="minor"/>
      </rPr>
      <t xml:space="preserve"> X </t>
    </r>
    <r>
      <rPr>
        <b/>
        <sz val="11"/>
        <color rgb="FFFF0000"/>
        <rFont val="Calibri"/>
        <family val="2"/>
        <scheme val="minor"/>
      </rPr>
      <t>1</t>
    </r>
  </si>
  <si>
    <t>Step 2:</t>
  </si>
  <si>
    <t>Step 3:</t>
  </si>
  <si>
    <t>Intermediate Array 1</t>
  </si>
  <si>
    <r>
      <t>R</t>
    </r>
    <r>
      <rPr>
        <vertAlign val="subscript"/>
        <sz val="11"/>
        <color theme="1"/>
        <rFont val="Calibri"/>
        <family val="2"/>
        <scheme val="minor"/>
      </rPr>
      <t>s</t>
    </r>
    <r>
      <rPr>
        <sz val="11"/>
        <color theme="1"/>
        <rFont val="Calibri"/>
        <family val="2"/>
        <scheme val="minor"/>
      </rPr>
      <t xml:space="preserve"> results</t>
    </r>
  </si>
  <si>
    <t>E(R)</t>
  </si>
  <si>
    <t>Stock A</t>
  </si>
  <si>
    <t>Stock B</t>
  </si>
  <si>
    <t>Place</t>
  </si>
  <si>
    <t>Everett</t>
  </si>
  <si>
    <t>Burlington</t>
  </si>
  <si>
    <t>Mt Vernon</t>
  </si>
  <si>
    <t>Race Track</t>
  </si>
  <si>
    <t># races</t>
  </si>
  <si>
    <t>Invoice</t>
  </si>
  <si>
    <t>ABC</t>
  </si>
  <si>
    <t>XYZ</t>
  </si>
  <si>
    <t>Company</t>
  </si>
  <si>
    <t>Count of Race Track</t>
  </si>
  <si>
    <t>Unique Count</t>
  </si>
  <si>
    <t>Defined Name:</t>
  </si>
  <si>
    <t>Redmond</t>
  </si>
  <si>
    <t>*Sioux</t>
  </si>
  <si>
    <t>100-456</t>
  </si>
  <si>
    <t># Calls</t>
  </si>
  <si>
    <t xml:space="preserve"> &lt; {=SUM(IF(FREQUENCY(IF($A$2:$A$9&lt;&gt;"",</t>
  </si>
  <si>
    <t>ROW($A$2:$A$9)-ROW($A$2)+1),1))}</t>
  </si>
  <si>
    <t xml:space="preserve"> &lt; {=IF(ROWS(E$5:E5)&gt;$E$2,"",INDEX($A$2:$A$9,</t>
  </si>
  <si>
    <t>SMALL(IF(FREQUENCY(IF($A$2:$A$9&lt;&gt;"",</t>
  </si>
  <si>
    <t>ROW($A$2:$A$9)-ROW($A$2)+1),</t>
  </si>
  <si>
    <t>ROWS(E$5:E5))))}</t>
  </si>
  <si>
    <r>
      <t>MATCH(</t>
    </r>
    <r>
      <rPr>
        <b/>
        <sz val="11"/>
        <color theme="1"/>
        <rFont val="Calibri"/>
        <family val="2"/>
        <scheme val="minor"/>
      </rPr>
      <t>"~"&amp;</t>
    </r>
    <r>
      <rPr>
        <sz val="11"/>
        <color theme="1"/>
        <rFont val="Calibri"/>
        <family val="2"/>
        <scheme val="minor"/>
      </rPr>
      <t>$A$2:$A$9,$A$2:$A$9</t>
    </r>
    <r>
      <rPr>
        <b/>
        <sz val="11"/>
        <color theme="1"/>
        <rFont val="Calibri"/>
        <family val="2"/>
        <scheme val="minor"/>
      </rPr>
      <t>&amp;""</t>
    </r>
    <r>
      <rPr>
        <sz val="11"/>
        <color theme="1"/>
        <rFont val="Calibri"/>
        <family val="2"/>
        <scheme val="minor"/>
      </rPr>
      <t>,0)),</t>
    </r>
  </si>
  <si>
    <t>RaceTrackDynamicDataV</t>
  </si>
  <si>
    <t>Race Track Drop-down</t>
  </si>
  <si>
    <t xml:space="preserve"> =$E$5:INDEX($E$5:$E$14,MATCH("*?",$E$5:$E$14,-1))</t>
  </si>
  <si>
    <t xml:space="preserve"> &lt; =SUM(AND(</t>
  </si>
  <si>
    <t>COUNTIFS(A$2:A2,A2,B$2:B2,B2,C$2:C2,C2,D$2:D2,D2)=1,</t>
  </si>
  <si>
    <t>C2=G$10),E1)</t>
  </si>
  <si>
    <t>TT Trucks</t>
  </si>
  <si>
    <t>Van Inc.</t>
  </si>
  <si>
    <t>Fran's</t>
  </si>
  <si>
    <t>Mad Dog</t>
  </si>
  <si>
    <r>
      <t xml:space="preserve">Customer Defined Name: </t>
    </r>
    <r>
      <rPr>
        <b/>
        <sz val="11"/>
        <color theme="1"/>
        <rFont val="Calibri"/>
        <family val="2"/>
        <scheme val="minor"/>
      </rPr>
      <t>=$B$10:INDEX($B$10:$B$34,MATCH(REPT("z",255),$B$10:$B$34))</t>
    </r>
  </si>
  <si>
    <t>MATCH(Customer,Customer,0)),ROW(Customer)-ROW($B$10)+1),1))}</t>
  </si>
  <si>
    <r>
      <t xml:space="preserve">Formula in E13: </t>
    </r>
    <r>
      <rPr>
        <b/>
        <sz val="11"/>
        <color theme="1"/>
        <rFont val="Calibri"/>
        <family val="2"/>
        <scheme val="minor"/>
      </rPr>
      <t>{=SUM(IF(FREQUENCY(IF(Customer&lt;&gt;"",</t>
    </r>
  </si>
  <si>
    <t>IF(Customer&lt;&gt;"",MATCH(Customer,Customer,0)),</t>
  </si>
  <si>
    <r>
      <t xml:space="preserve">Formula in E15: </t>
    </r>
    <r>
      <rPr>
        <b/>
        <sz val="11"/>
        <color theme="1"/>
        <rFont val="Calibri"/>
        <family val="2"/>
        <scheme val="minor"/>
      </rPr>
      <t>{=IF(ROWS(E$15:E15)&gt;E$13,"",INDEX(Customer,SMALL(IF(FREQUENCY(</t>
    </r>
  </si>
  <si>
    <t>ROW(Customer)-ROW($B$10)+1),ROW(Customer)-ROW($B$10)+1),</t>
  </si>
  <si>
    <t>ROWS(E$15:E15))))}</t>
  </si>
  <si>
    <r>
      <t xml:space="preserve">Formula in F15: </t>
    </r>
    <r>
      <rPr>
        <b/>
        <sz val="11"/>
        <color theme="1"/>
        <rFont val="Calibri"/>
        <family val="2"/>
        <scheme val="minor"/>
      </rPr>
      <t>=IF(E15="","",SUMIF(Customer,E15,$C$10))</t>
    </r>
  </si>
  <si>
    <t>Sort numbers with formula.</t>
  </si>
  <si>
    <t>Smallest To Biggest</t>
  </si>
  <si>
    <t>Biggest To Smallest</t>
  </si>
  <si>
    <t>Helper column formula to sort (ascending) records based on numeric column.</t>
  </si>
  <si>
    <t>Carlota</t>
  </si>
  <si>
    <t>** Copy formula down</t>
  </si>
  <si>
    <t>** Copy through range A15:D18.</t>
  </si>
  <si>
    <t>** Copy through range A9:B12</t>
  </si>
  <si>
    <t>Array formula to sort (ascending) records based on numeric column.</t>
  </si>
  <si>
    <t>Extract top 3 score and name associated with score (including ties).</t>
  </si>
  <si>
    <t>Score</t>
  </si>
  <si>
    <t>Hal</t>
  </si>
  <si>
    <t>Helper column formula to sort (ascending) records based on text column.</t>
  </si>
  <si>
    <t xml:space="preserve"> Formula in cell A16: =IF(ROWS(A$16:A16)&gt;A$11,"",LARGE($B$3:$B$8,ROWS(A$16:A16)))</t>
  </si>
  <si>
    <t xml:space="preserve"> Formula in cell A11: =COUNTIF(B3:B8,"&gt;="&amp;LARGE(B3:B8,D8))</t>
  </si>
  <si>
    <t xml:space="preserve"> B16: =IF(A16="","",INDEX($A$3:$A$8,AGGREGATE(15,6,(ROW($B$3:$B$8)-ROW($B$3)+1)/</t>
  </si>
  <si>
    <t>($B$3:$B$8=A16),COUNTIF($A$16:A16,A16))))</t>
  </si>
  <si>
    <t>** Copy formulas down</t>
  </si>
  <si>
    <t>B</t>
  </si>
  <si>
    <t>ASCII</t>
  </si>
  <si>
    <t>Weights:</t>
  </si>
  <si>
    <r>
      <t>Step 1)
R</t>
    </r>
    <r>
      <rPr>
        <vertAlign val="subscript"/>
        <sz val="11"/>
        <color theme="0"/>
        <rFont val="Calibri"/>
        <family val="2"/>
        <scheme val="minor"/>
      </rPr>
      <t>s</t>
    </r>
  </si>
  <si>
    <r>
      <t>Step 2)
R</t>
    </r>
    <r>
      <rPr>
        <vertAlign val="subscript"/>
        <sz val="11"/>
        <color theme="0"/>
        <rFont val="Calibri"/>
        <family val="2"/>
        <scheme val="minor"/>
      </rPr>
      <t>s</t>
    </r>
    <r>
      <rPr>
        <sz val="11"/>
        <color theme="0"/>
        <rFont val="Calibri"/>
        <family val="2"/>
        <scheme val="minor"/>
      </rPr>
      <t xml:space="preserve"> - E(R)</t>
    </r>
  </si>
  <si>
    <r>
      <t>Step 3)
(Rs - E(R))</t>
    </r>
    <r>
      <rPr>
        <vertAlign val="superscript"/>
        <sz val="11"/>
        <color theme="0"/>
        <rFont val="Calibri"/>
        <family val="2"/>
        <scheme val="minor"/>
      </rPr>
      <t>2</t>
    </r>
  </si>
  <si>
    <r>
      <t>Step 4)
(Rs - E(R))</t>
    </r>
    <r>
      <rPr>
        <vertAlign val="superscript"/>
        <sz val="11"/>
        <color theme="0"/>
        <rFont val="Calibri"/>
        <family val="2"/>
        <scheme val="minor"/>
      </rPr>
      <t>2</t>
    </r>
    <r>
      <rPr>
        <sz val="11"/>
        <color theme="0"/>
        <rFont val="Calibri"/>
        <family val="2"/>
        <scheme val="minor"/>
      </rPr>
      <t>*Prob</t>
    </r>
  </si>
  <si>
    <t>SD-987-56</t>
  </si>
  <si>
    <t>P-Tru-5423</t>
  </si>
  <si>
    <t>Extract</t>
  </si>
  <si>
    <t>Sorted results</t>
  </si>
  <si>
    <t>How many are above you?</t>
  </si>
  <si>
    <t>Count # greater than you.</t>
  </si>
  <si>
    <t xml:space="preserve"> &gt;&gt;&gt;&gt;&gt;&gt;&gt; Unique &amp; Sorted &gt;&gt;&gt;&gt;&gt;&gt;&gt;</t>
  </si>
  <si>
    <t xml:space="preserve"> &lt; Formula =SUM(IF(FREQUENCY(IF(A2:A5&lt;&gt;"",MATCH(A2:A5,A2:A5,0)),ROW(A2:A5)-ROW(A2)+1),1))</t>
  </si>
  <si>
    <t>_x0001_</t>
  </si>
  <si>
    <t>_x0002_</t>
  </si>
  <si>
    <t>_x0003_</t>
  </si>
  <si>
    <t>_x0004_</t>
  </si>
  <si>
    <t>_x0005_</t>
  </si>
  <si>
    <t>_x0006_</t>
  </si>
  <si>
    <t>_x0007_</t>
  </si>
  <si>
    <t>_x0008_</t>
  </si>
  <si>
    <t xml:space="preserve">	</t>
  </si>
  <si>
    <t xml:space="preserve">
</t>
  </si>
  <si>
    <t>_x000B_</t>
  </si>
  <si>
    <t>_x000C_</t>
  </si>
  <si>
    <t>_x000D_</t>
  </si>
  <si>
    <t>_x000E_</t>
  </si>
  <si>
    <t>_x000F_</t>
  </si>
  <si>
    <t>_x0010_</t>
  </si>
  <si>
    <t>_x0011_</t>
  </si>
  <si>
    <t>_x0012_</t>
  </si>
  <si>
    <t>_x0013_</t>
  </si>
  <si>
    <t>_x0014_</t>
  </si>
  <si>
    <t>_x0015_</t>
  </si>
  <si>
    <t>_x0016_</t>
  </si>
  <si>
    <t>_x0017_</t>
  </si>
  <si>
    <t>_x0018_</t>
  </si>
  <si>
    <t>_x0019_</t>
  </si>
  <si>
    <t>_x001A_</t>
  </si>
  <si>
    <t>_x001B_</t>
  </si>
  <si>
    <t>_x001C_</t>
  </si>
  <si>
    <t>_x001D_</t>
  </si>
  <si>
    <t>_x001E_</t>
  </si>
  <si>
    <t>_x001F_</t>
  </si>
  <si>
    <t xml:space="preserve"> </t>
  </si>
  <si>
    <t>!</t>
  </si>
  <si>
    <t>"</t>
  </si>
  <si>
    <t>#</t>
  </si>
  <si>
    <t>$</t>
  </si>
  <si>
    <t>%</t>
  </si>
  <si>
    <t>&amp;</t>
  </si>
  <si>
    <t>'</t>
  </si>
  <si>
    <t>(</t>
  </si>
  <si>
    <t>)</t>
  </si>
  <si>
    <t>*</t>
  </si>
  <si>
    <t>+</t>
  </si>
  <si>
    <t>,</t>
  </si>
  <si>
    <t>-</t>
  </si>
  <si>
    <t>.</t>
  </si>
  <si>
    <t>/</t>
  </si>
  <si>
    <t>0</t>
  </si>
  <si>
    <t>1</t>
  </si>
  <si>
    <t>2</t>
  </si>
  <si>
    <t>3</t>
  </si>
  <si>
    <t>4</t>
  </si>
  <si>
    <t>5</t>
  </si>
  <si>
    <t>6</t>
  </si>
  <si>
    <t>7</t>
  </si>
  <si>
    <t>8</t>
  </si>
  <si>
    <t>9</t>
  </si>
  <si>
    <t>:</t>
  </si>
  <si>
    <t>;</t>
  </si>
  <si>
    <t>&lt;</t>
  </si>
  <si>
    <t>&gt;</t>
  </si>
  <si>
    <t>@</t>
  </si>
  <si>
    <t>D</t>
  </si>
  <si>
    <t>E</t>
  </si>
  <si>
    <t>F</t>
  </si>
  <si>
    <t>G</t>
  </si>
  <si>
    <t>H</t>
  </si>
  <si>
    <t>I</t>
  </si>
  <si>
    <t>J</t>
  </si>
  <si>
    <t>M</t>
  </si>
  <si>
    <t>N</t>
  </si>
  <si>
    <t>O</t>
  </si>
  <si>
    <t>P</t>
  </si>
  <si>
    <t>Q</t>
  </si>
  <si>
    <t>S</t>
  </si>
  <si>
    <t>T</t>
  </si>
  <si>
    <t>U</t>
  </si>
  <si>
    <t>V</t>
  </si>
  <si>
    <t>W</t>
  </si>
  <si>
    <t>X</t>
  </si>
  <si>
    <t>Y</t>
  </si>
  <si>
    <t>Z</t>
  </si>
  <si>
    <t>[</t>
  </si>
  <si>
    <t>\</t>
  </si>
  <si>
    <t>]</t>
  </si>
  <si>
    <t>^</t>
  </si>
  <si>
    <t>_</t>
  </si>
  <si>
    <t>`</t>
  </si>
  <si>
    <t>a</t>
  </si>
  <si>
    <t>b</t>
  </si>
  <si>
    <t>c</t>
  </si>
  <si>
    <t>d</t>
  </si>
  <si>
    <t>e</t>
  </si>
  <si>
    <t>f</t>
  </si>
  <si>
    <t>g</t>
  </si>
  <si>
    <t>h</t>
  </si>
  <si>
    <t>i</t>
  </si>
  <si>
    <t>j</t>
  </si>
  <si>
    <t>k</t>
  </si>
  <si>
    <t>l</t>
  </si>
  <si>
    <t>m</t>
  </si>
  <si>
    <t>n</t>
  </si>
  <si>
    <t>o</t>
  </si>
  <si>
    <t>p</t>
  </si>
  <si>
    <t>q</t>
  </si>
  <si>
    <t>r</t>
  </si>
  <si>
    <t>s</t>
  </si>
  <si>
    <t>t</t>
  </si>
  <si>
    <t>u</t>
  </si>
  <si>
    <t>v</t>
  </si>
  <si>
    <t>w</t>
  </si>
  <si>
    <t>y</t>
  </si>
  <si>
    <t>z</t>
  </si>
  <si>
    <t>{</t>
  </si>
  <si>
    <t>|</t>
  </si>
  <si>
    <t>}</t>
  </si>
  <si>
    <t>~</t>
  </si>
  <si>
    <t></t>
  </si>
  <si>
    <t>€</t>
  </si>
  <si>
    <t></t>
  </si>
  <si>
    <t>‚</t>
  </si>
  <si>
    <t>ƒ</t>
  </si>
  <si>
    <t>„</t>
  </si>
  <si>
    <t>…</t>
  </si>
  <si>
    <t>†</t>
  </si>
  <si>
    <t>‡</t>
  </si>
  <si>
    <t>ˆ</t>
  </si>
  <si>
    <t>‰</t>
  </si>
  <si>
    <t>Š</t>
  </si>
  <si>
    <t>‹</t>
  </si>
  <si>
    <t>Œ</t>
  </si>
  <si>
    <t></t>
  </si>
  <si>
    <t>Ž</t>
  </si>
  <si>
    <t></t>
  </si>
  <si>
    <t></t>
  </si>
  <si>
    <t>‘</t>
  </si>
  <si>
    <t>’</t>
  </si>
  <si>
    <t>“</t>
  </si>
  <si>
    <t>”</t>
  </si>
  <si>
    <t>•</t>
  </si>
  <si>
    <t>–</t>
  </si>
  <si>
    <t>—</t>
  </si>
  <si>
    <t>˜</t>
  </si>
  <si>
    <t>™</t>
  </si>
  <si>
    <t>š</t>
  </si>
  <si>
    <t>›</t>
  </si>
  <si>
    <t>œ</t>
  </si>
  <si>
    <t></t>
  </si>
  <si>
    <t>ž</t>
  </si>
  <si>
    <t>Ÿ</t>
  </si>
  <si>
    <t> </t>
  </si>
  <si>
    <t>¡</t>
  </si>
  <si>
    <t>¢</t>
  </si>
  <si>
    <t>£</t>
  </si>
  <si>
    <t>¤</t>
  </si>
  <si>
    <t>¥</t>
  </si>
  <si>
    <t>¦</t>
  </si>
  <si>
    <t>§</t>
  </si>
  <si>
    <t>¨</t>
  </si>
  <si>
    <t>©</t>
  </si>
  <si>
    <t>ª</t>
  </si>
  <si>
    <t>«</t>
  </si>
  <si>
    <t>¬</t>
  </si>
  <si>
    <t>­</t>
  </si>
  <si>
    <t>®</t>
  </si>
  <si>
    <t>¯</t>
  </si>
  <si>
    <t>°</t>
  </si>
  <si>
    <t>±</t>
  </si>
  <si>
    <t>²</t>
  </si>
  <si>
    <t>³</t>
  </si>
  <si>
    <t>´</t>
  </si>
  <si>
    <t>µ</t>
  </si>
  <si>
    <t>¶</t>
  </si>
  <si>
    <t>·</t>
  </si>
  <si>
    <t>¸</t>
  </si>
  <si>
    <t>¹</t>
  </si>
  <si>
    <t>º</t>
  </si>
  <si>
    <t>»</t>
  </si>
  <si>
    <t>¼</t>
  </si>
  <si>
    <t>½</t>
  </si>
  <si>
    <t>¾</t>
  </si>
  <si>
    <t>¿</t>
  </si>
  <si>
    <t>À</t>
  </si>
  <si>
    <t>Á</t>
  </si>
  <si>
    <t>Â</t>
  </si>
  <si>
    <t>Ã</t>
  </si>
  <si>
    <t>Ä</t>
  </si>
  <si>
    <t>Å</t>
  </si>
  <si>
    <t>Æ</t>
  </si>
  <si>
    <t>Ç</t>
  </si>
  <si>
    <t>È</t>
  </si>
  <si>
    <t>É</t>
  </si>
  <si>
    <t>Ê</t>
  </si>
  <si>
    <t>Ë</t>
  </si>
  <si>
    <t>Ì</t>
  </si>
  <si>
    <t>Í</t>
  </si>
  <si>
    <t>Î</t>
  </si>
  <si>
    <t>Ï</t>
  </si>
  <si>
    <t>Ð</t>
  </si>
  <si>
    <t>Ñ</t>
  </si>
  <si>
    <t>Ò</t>
  </si>
  <si>
    <t>Ó</t>
  </si>
  <si>
    <t>Ô</t>
  </si>
  <si>
    <t>Õ</t>
  </si>
  <si>
    <t>Ö</t>
  </si>
  <si>
    <t>×</t>
  </si>
  <si>
    <t>Ø</t>
  </si>
  <si>
    <t>Ù</t>
  </si>
  <si>
    <t>Ú</t>
  </si>
  <si>
    <t>Û</t>
  </si>
  <si>
    <t>Ü</t>
  </si>
  <si>
    <t>Ý</t>
  </si>
  <si>
    <t>Þ</t>
  </si>
  <si>
    <t>ß</t>
  </si>
  <si>
    <t>à</t>
  </si>
  <si>
    <t>á</t>
  </si>
  <si>
    <t>â</t>
  </si>
  <si>
    <t>ã</t>
  </si>
  <si>
    <t>ä</t>
  </si>
  <si>
    <t>å</t>
  </si>
  <si>
    <t>æ</t>
  </si>
  <si>
    <t>ç</t>
  </si>
  <si>
    <t>é</t>
  </si>
  <si>
    <t>ê</t>
  </si>
  <si>
    <t>ë</t>
  </si>
  <si>
    <t>ì</t>
  </si>
  <si>
    <t>í</t>
  </si>
  <si>
    <t>î</t>
  </si>
  <si>
    <t>ï</t>
  </si>
  <si>
    <t>ð</t>
  </si>
  <si>
    <t>ñ</t>
  </si>
  <si>
    <t>ò</t>
  </si>
  <si>
    <t>ó</t>
  </si>
  <si>
    <t>ô</t>
  </si>
  <si>
    <t>õ</t>
  </si>
  <si>
    <t>ö</t>
  </si>
  <si>
    <t>÷</t>
  </si>
  <si>
    <t>ø</t>
  </si>
  <si>
    <t>ù</t>
  </si>
  <si>
    <t>ú</t>
  </si>
  <si>
    <t>û</t>
  </si>
  <si>
    <t>ü</t>
  </si>
  <si>
    <t>ý</t>
  </si>
  <si>
    <t>þ</t>
  </si>
  <si>
    <t>ÿ</t>
  </si>
  <si>
    <t>ASCII Number</t>
  </si>
  <si>
    <t>ACSII character</t>
  </si>
  <si>
    <t>Conditional format row with MIN value for a given city.</t>
  </si>
  <si>
    <t>or</t>
  </si>
  <si>
    <t>Racer</t>
  </si>
  <si>
    <t>Christophe</t>
  </si>
  <si>
    <t>Helper Cell:</t>
  </si>
  <si>
    <t>Number</t>
  </si>
  <si>
    <t>Loan Amount</t>
  </si>
  <si>
    <t>Annual Rate</t>
  </si>
  <si>
    <t>Month Rate</t>
  </si>
  <si>
    <t>Years</t>
  </si>
  <si>
    <t># Months</t>
  </si>
  <si>
    <t>Monthly PMT</t>
  </si>
  <si>
    <t>Annual Rate Start</t>
  </si>
  <si>
    <t>Annual Rate Increment</t>
  </si>
  <si>
    <t>1 Variable Data Table</t>
  </si>
  <si>
    <t xml:space="preserve"> &lt; = Direct formula input.</t>
  </si>
  <si>
    <t xml:space="preserve"> &lt; = Indirect formula input.</t>
  </si>
  <si>
    <t>PMT function that you want to</t>
  </si>
  <si>
    <t>perform what-if analysis on.</t>
  </si>
  <si>
    <t>Regular formulas:</t>
  </si>
  <si>
    <t>Variable Cost</t>
  </si>
  <si>
    <t>Formula Inputs</t>
  </si>
  <si>
    <t>Contribution</t>
  </si>
  <si>
    <t>Price per unit</t>
  </si>
  <si>
    <t>Start units sold</t>
  </si>
  <si>
    <t>Increment units sold</t>
  </si>
  <si>
    <t>Fixed costs</t>
  </si>
  <si>
    <t>Variable cost per unit</t>
  </si>
  <si>
    <t>Units sold</t>
  </si>
  <si>
    <t>Joplin</t>
  </si>
  <si>
    <t>Phylis</t>
  </si>
  <si>
    <t>Chrissy</t>
  </si>
  <si>
    <t>Replace this formula:</t>
  </si>
  <si>
    <t>Replaces this array formula:</t>
  </si>
  <si>
    <t>Score on Final (Y)</t>
  </si>
  <si>
    <t>Intercept</t>
  </si>
  <si>
    <t>Slope</t>
  </si>
  <si>
    <t>Standard Error m</t>
  </si>
  <si>
    <t>Standard Error b</t>
  </si>
  <si>
    <t>Coefficient of Determination</t>
  </si>
  <si>
    <t>Standard Error y</t>
  </si>
  <si>
    <t>df</t>
  </si>
  <si>
    <t>SS Regression</t>
  </si>
  <si>
    <t>SS Residual</t>
  </si>
  <si>
    <t>Grade from Pre Req (x3)</t>
  </si>
  <si>
    <t>Hours Studying for test - x</t>
  </si>
  <si>
    <t>Score on Final - y</t>
  </si>
  <si>
    <t>Intercept = b</t>
  </si>
  <si>
    <t>Slope = m</t>
  </si>
  <si>
    <t xml:space="preserve">  ** Copy down column</t>
  </si>
  <si>
    <t xml:space="preserve"> &lt; =INDEX(LINEST($B$2:$B$12,$A$2:$A$12,TRUE,TRUE),</t>
  </si>
  <si>
    <t>MOD(ROWS(E$1:E1)-1,5)+1,</t>
  </si>
  <si>
    <t>INT((ROWS(E$1:E1)-1)/5)+1)</t>
  </si>
  <si>
    <r>
      <t>Homework scores out of 100 (X</t>
    </r>
    <r>
      <rPr>
        <vertAlign val="subscript"/>
        <sz val="11"/>
        <color theme="0"/>
        <rFont val="Calibri"/>
        <family val="2"/>
        <scheme val="minor"/>
      </rPr>
      <t>1</t>
    </r>
    <r>
      <rPr>
        <sz val="11"/>
        <color theme="0"/>
        <rFont val="Calibri"/>
        <family val="2"/>
        <scheme val="minor"/>
      </rPr>
      <t>)</t>
    </r>
  </si>
  <si>
    <r>
      <t>Hours Studying for test (X</t>
    </r>
    <r>
      <rPr>
        <vertAlign val="subscript"/>
        <sz val="11"/>
        <color theme="0"/>
        <rFont val="Calibri"/>
        <family val="2"/>
        <scheme val="minor"/>
      </rPr>
      <t>2</t>
    </r>
    <r>
      <rPr>
        <sz val="11"/>
        <color theme="0"/>
        <rFont val="Calibri"/>
        <family val="2"/>
        <scheme val="minor"/>
      </rPr>
      <t>)</t>
    </r>
  </si>
  <si>
    <t>D3 = Intercept</t>
  </si>
  <si>
    <t>D4 = Standard Error b</t>
  </si>
  <si>
    <t>C5 = Standard Error y</t>
  </si>
  <si>
    <t>C6 = df</t>
  </si>
  <si>
    <t>C7 = SS Residual</t>
  </si>
  <si>
    <t>B5 = Coefficient of Determination</t>
  </si>
  <si>
    <t>B6 = F</t>
  </si>
  <si>
    <t>B7 = SS Regression</t>
  </si>
  <si>
    <r>
      <t>C3 = Slope x</t>
    </r>
    <r>
      <rPr>
        <b/>
        <vertAlign val="subscript"/>
        <sz val="11"/>
        <color rgb="FF0000FF"/>
        <rFont val="Calibri"/>
        <family val="2"/>
        <scheme val="minor"/>
      </rPr>
      <t>1</t>
    </r>
  </si>
  <si>
    <r>
      <t>C4 = Standard Error x</t>
    </r>
    <r>
      <rPr>
        <b/>
        <vertAlign val="subscript"/>
        <sz val="11"/>
        <color rgb="FF0000FF"/>
        <rFont val="Calibri"/>
        <family val="2"/>
        <scheme val="minor"/>
      </rPr>
      <t>1</t>
    </r>
  </si>
  <si>
    <r>
      <t>B3 = Slope x</t>
    </r>
    <r>
      <rPr>
        <b/>
        <vertAlign val="subscript"/>
        <sz val="11"/>
        <color rgb="FF0000FF"/>
        <rFont val="Calibri"/>
        <family val="2"/>
        <scheme val="minor"/>
      </rPr>
      <t>2</t>
    </r>
  </si>
  <si>
    <r>
      <t>B4 = Standard Error x</t>
    </r>
    <r>
      <rPr>
        <b/>
        <vertAlign val="subscript"/>
        <sz val="11"/>
        <color rgb="FF0000FF"/>
        <rFont val="Calibri"/>
        <family val="2"/>
        <scheme val="minor"/>
      </rPr>
      <t>2</t>
    </r>
  </si>
  <si>
    <t>E3 = Intercept</t>
  </si>
  <si>
    <r>
      <t>D3 = Slope x</t>
    </r>
    <r>
      <rPr>
        <b/>
        <vertAlign val="subscript"/>
        <sz val="11"/>
        <color rgb="FF0000FF"/>
        <rFont val="Calibri"/>
        <family val="2"/>
        <scheme val="minor"/>
      </rPr>
      <t>1</t>
    </r>
  </si>
  <si>
    <r>
      <t>D4 = Standard Error x</t>
    </r>
    <r>
      <rPr>
        <b/>
        <vertAlign val="subscript"/>
        <sz val="11"/>
        <color rgb="FF0000FF"/>
        <rFont val="Calibri"/>
        <family val="2"/>
        <scheme val="minor"/>
      </rPr>
      <t>1</t>
    </r>
  </si>
  <si>
    <r>
      <t>B3 = Slope x</t>
    </r>
    <r>
      <rPr>
        <b/>
        <vertAlign val="subscript"/>
        <sz val="11"/>
        <color rgb="FF0000FF"/>
        <rFont val="Calibri"/>
        <family val="2"/>
        <scheme val="minor"/>
      </rPr>
      <t>3</t>
    </r>
  </si>
  <si>
    <r>
      <t>B4 = Standard Error x</t>
    </r>
    <r>
      <rPr>
        <b/>
        <vertAlign val="subscript"/>
        <sz val="11"/>
        <color rgb="FF0000FF"/>
        <rFont val="Calibri"/>
        <family val="2"/>
        <scheme val="minor"/>
      </rPr>
      <t>3</t>
    </r>
  </si>
  <si>
    <r>
      <t>C3 = Slope x</t>
    </r>
    <r>
      <rPr>
        <b/>
        <vertAlign val="subscript"/>
        <sz val="11"/>
        <color rgb="FF0000FF"/>
        <rFont val="Calibri"/>
        <family val="2"/>
        <scheme val="minor"/>
      </rPr>
      <t>2</t>
    </r>
  </si>
  <si>
    <r>
      <t>C4 = Standard Error x</t>
    </r>
    <r>
      <rPr>
        <b/>
        <vertAlign val="subscript"/>
        <sz val="11"/>
        <color rgb="FF0000FF"/>
        <rFont val="Calibri"/>
        <family val="2"/>
        <scheme val="minor"/>
      </rPr>
      <t>2</t>
    </r>
  </si>
  <si>
    <t>E4 = Stand. Error b</t>
  </si>
  <si>
    <t>B5 = C. of Determination</t>
  </si>
  <si>
    <t>Extract records, AND Criteria</t>
  </si>
  <si>
    <t>Lookup first number in row when there may be some empty cells.</t>
  </si>
  <si>
    <t>First</t>
  </si>
  <si>
    <t>DDR</t>
  </si>
  <si>
    <t>MWII</t>
  </si>
  <si>
    <t>RAD</t>
  </si>
  <si>
    <t>COL</t>
  </si>
  <si>
    <t xml:space="preserve"> ** Copy down</t>
  </si>
  <si>
    <t>Lookup date assicated with first number in row when there may be some empty cells.</t>
  </si>
  <si>
    <t>Date of First Number</t>
  </si>
  <si>
    <t>First Number</t>
  </si>
  <si>
    <t>Lookup Column of Data, Match Criterion, Display Items Vertically.</t>
  </si>
  <si>
    <t>Lesley Baronne</t>
  </si>
  <si>
    <t>Job 2</t>
  </si>
  <si>
    <t>Job 3</t>
  </si>
  <si>
    <t>Job 1</t>
  </si>
  <si>
    <t>Job 4</t>
  </si>
  <si>
    <t>Hobert Linkon</t>
  </si>
  <si>
    <t>Malcom Gunzenhauser</t>
  </si>
  <si>
    <t>Darell Gaviria</t>
  </si>
  <si>
    <t>Employee (2010 or later)</t>
  </si>
  <si>
    <t>Jobs</t>
  </si>
  <si>
    <t>Column to lookup:</t>
  </si>
  <si>
    <t>Extracted Employees</t>
  </si>
  <si>
    <t>Lookup Longest Word.</t>
  </si>
  <si>
    <t>Words</t>
  </si>
  <si>
    <t>Lookup Longest Word</t>
  </si>
  <si>
    <t>rad</t>
  </si>
  <si>
    <t>cool</t>
  </si>
  <si>
    <t>* The LEN text argument expects a single value. We give LEN an array of cells and so item returns an array.</t>
  </si>
  <si>
    <t>* MAX(LEN(B16:B23)) creates a lookup_value that is the length of the longest text item.</t>
  </si>
  <si>
    <t>* LEN(B16:B23) creates an array of numbers and serves as the lookup_array for MATCH.</t>
  </si>
  <si>
    <t>excelisfun</t>
  </si>
  <si>
    <t>School</t>
  </si>
  <si>
    <t>CPA Score</t>
  </si>
  <si>
    <t>SW School</t>
  </si>
  <si>
    <t>NW School</t>
  </si>
  <si>
    <t>TT Academy</t>
  </si>
  <si>
    <t>JR Heights</t>
  </si>
  <si>
    <t xml:space="preserve">    ** Copy down</t>
  </si>
  <si>
    <t>Department</t>
  </si>
  <si>
    <t>RANKIF</t>
  </si>
  <si>
    <t>Tameka Eastep</t>
  </si>
  <si>
    <t>Noreen Bley</t>
  </si>
  <si>
    <t>Hugh Vasques</t>
  </si>
  <si>
    <t>Operations</t>
  </si>
  <si>
    <t>Noemi Kinghorn</t>
  </si>
  <si>
    <t>Marketing</t>
  </si>
  <si>
    <t>Odessa Paille</t>
  </si>
  <si>
    <t>Carlene Meisinger</t>
  </si>
  <si>
    <t>Selena Pulice</t>
  </si>
  <si>
    <t>Lonnie Plaisance</t>
  </si>
  <si>
    <t>Hugh Garceau</t>
  </si>
  <si>
    <t>RANK Score with condition from Department column</t>
  </si>
  <si>
    <t xml:space="preserve">Max of 2 day running total - SUBTOTAL, OFFSET and MAX function. </t>
  </si>
  <si>
    <t>Days</t>
  </si>
  <si>
    <r>
      <t xml:space="preserve">No </t>
    </r>
    <r>
      <rPr>
        <b/>
        <sz val="11"/>
        <color rgb="FFFF0000"/>
        <rFont val="Calibri"/>
        <family val="2"/>
        <scheme val="minor"/>
      </rPr>
      <t xml:space="preserve"> CSE</t>
    </r>
  </si>
  <si>
    <t>Day 4</t>
  </si>
  <si>
    <t>Day 5</t>
  </si>
  <si>
    <t>Day 6</t>
  </si>
  <si>
    <t>Day 7</t>
  </si>
  <si>
    <t>Ways to try to help understand how the formula works:</t>
  </si>
  <si>
    <t xml:space="preserve"> &lt; {=MAX(SUBTOTAL(9,OFFSET(A4,,</t>
  </si>
  <si>
    <t>ROW(INDIRECT("1:"&amp;COLUMNS(A4:G4)-$J$1+1))-1,1,$J$1)))}</t>
  </si>
  <si>
    <t>** Copy down</t>
  </si>
  <si>
    <t xml:space="preserve">      =MAX(SUBTOTAL(9,OFFSET(A4,,{0,1,2,3,4,5},1,$J$1)))</t>
  </si>
  <si>
    <t>Extract Numbers From Text String and calculate Net Cost Equivalent.</t>
  </si>
  <si>
    <t>10/10</t>
  </si>
  <si>
    <t>15/10/16</t>
  </si>
  <si>
    <t>05</t>
  </si>
  <si>
    <t>Sunset</t>
  </si>
  <si>
    <t xml:space="preserve"> &lt; {=PRODUCT(1-MID(C3,</t>
  </si>
  <si>
    <t>CHOOSE(LEN(C3)-LEN(SUBSTITUTE(C3,"/",""))+1,1,{1,4},{1,4,7},{1,4,7,10}),</t>
  </si>
  <si>
    <t>2)/100)}</t>
  </si>
  <si>
    <t>Max consecutive appearances in Bowl Games, Win or Lose .</t>
  </si>
  <si>
    <t>Win</t>
  </si>
  <si>
    <t>Max In Succession from either Win or Lose.</t>
  </si>
  <si>
    <t>OS</t>
  </si>
  <si>
    <t>BK</t>
  </si>
  <si>
    <t>QR</t>
  </si>
  <si>
    <t>JP</t>
  </si>
  <si>
    <t>US</t>
  </si>
  <si>
    <t>LL</t>
  </si>
  <si>
    <t>FR</t>
  </si>
  <si>
    <t>DM</t>
  </si>
  <si>
    <t>EE</t>
  </si>
  <si>
    <t>* The OR criteria helps us to count in either one or the other column.</t>
  </si>
  <si>
    <t>* The AND criteria helps us to ensure that both teams are "NOT" equal to the team of interest (criterion).</t>
  </si>
  <si>
    <t>* For more about Boolean Logic see chapter 11.</t>
  </si>
  <si>
    <t>* For more about FREQUENCY see chapter 16.</t>
  </si>
  <si>
    <t>Team Names</t>
  </si>
  <si>
    <t xml:space="preserve"> &lt; {=MAX(FREQUENCY(IF(($A$3:$A$12=D3)+($B$3:$B$12=D3),ROW($A$3:$A$12)),</t>
  </si>
  <si>
    <t>IF(($A$3:$A$12&lt;&gt;D3)*($B$3:$B$12&lt;&gt;D3),ROW($A$3:$A$12))))}</t>
  </si>
  <si>
    <t>All data.</t>
  </si>
  <si>
    <t>Calculate percentile marker with one condition</t>
  </si>
  <si>
    <t>Excel 2010 AGGREGATE function 18 = PERCENTILE.EXC.</t>
  </si>
  <si>
    <t>You may not use reference operators (such as unions, intersections, and ranges) or array constants for Data Validation criteria.</t>
  </si>
  <si>
    <t>Error message you get if you try to paste formula, =$A$2:INDEX($C$2:$C$8,MATCH(9.99E+307,$C$2:$C$8)), into Data Validation List Source text box.</t>
  </si>
  <si>
    <t>FormulaBelow</t>
  </si>
  <si>
    <t xml:space="preserve"> &lt;&lt; = Cell must have text that is NOT a field name or be empty</t>
  </si>
  <si>
    <t>** and copy formula down.</t>
  </si>
  <si>
    <t xml:space="preserve"> &lt; {=IF(ROWS(A$15:A15)&gt;$C$12,"",INDEX($A$3:$A$9,SMALL(IF(</t>
  </si>
  <si>
    <t>ROW($A$3:$A$9)-ROW($A$3)+1),ROWS(A$15:A15))))}</t>
  </si>
  <si>
    <t xml:space="preserve"> &lt; =IF(ROWS(A$15:A15)&gt;C$12,"",INDEX($A$3:$A$9,AGGREGATE(15,6,</t>
  </si>
  <si>
    <t>(ROW($A$3:$A$9)-ROW($A$3)+1)/</t>
  </si>
  <si>
    <t>(INDEX($B$3:$D$9,0,MATCH($A$12,$B$2:$D$2,0))=B$12),ROWS(A$15:A15))))</t>
  </si>
  <si>
    <t>INDEX($B$3:$D$9,,MATCH($A$12,$B$2:$D$2))=$B$12,</t>
  </si>
  <si>
    <t>Lose</t>
  </si>
  <si>
    <r>
      <t xml:space="preserve">Defined Name = RP </t>
    </r>
    <r>
      <rPr>
        <b/>
        <sz val="11"/>
        <color theme="1"/>
        <rFont val="Calibri"/>
        <family val="2"/>
        <scheme val="minor"/>
      </rPr>
      <t>=IF($A$14:$A$23&gt;=$B$3,IF($A$14:$A$23&lt;=$C$3,IF($B$14:$B$23=$D$3,</t>
    </r>
  </si>
  <si>
    <t>ROW($A$14:$A$23)-ROW($A$14)+1)))</t>
  </si>
  <si>
    <r>
      <t xml:space="preserve"> &lt; Formula </t>
    </r>
    <r>
      <rPr>
        <b/>
        <sz val="11"/>
        <color theme="1"/>
        <rFont val="Calibri"/>
        <family val="2"/>
        <scheme val="minor"/>
      </rPr>
      <t>=COUNTIFS(A14:A23,"&gt;="&amp;B3,A14:A23,"&lt;="&amp;C3,B14:B23,D3)</t>
    </r>
  </si>
  <si>
    <t xml:space="preserve"> &lt; Formula =D3-C3</t>
  </si>
  <si>
    <t xml:space="preserve"> &lt; Formula {=MAX(D3:D6-C3:C6)}</t>
  </si>
  <si>
    <t>=MAX(E3:E6) performs an 'aggregate' operation, not an 'array' operation.</t>
  </si>
  <si>
    <t>D3:D6-C3:C6 makes a direct math operation on two arrays.</t>
  </si>
  <si>
    <t xml:space="preserve"> &lt; Formula =MAX(D3:D6-C3:C6)</t>
  </si>
  <si>
    <t xml:space="preserve"> &lt; Formula =SUM(E3:E6)</t>
  </si>
  <si>
    <t xml:space="preserve"> &lt; Formula =SUMPRODUCT(D3:D6-C3:C6)</t>
  </si>
  <si>
    <t xml:space="preserve"> &lt; Formula {=SUM(D3:D6-C3:C6)}</t>
  </si>
  <si>
    <t xml:space="preserve"> &lt; Formula =B2*$B$8</t>
  </si>
  <si>
    <t>B2*$B$8</t>
  </si>
  <si>
    <t xml:space="preserve"> &lt; Formula =B3*$B$8</t>
  </si>
  <si>
    <t>B3*$B$8</t>
  </si>
  <si>
    <t xml:space="preserve"> &lt; Formula =B4*$B$8</t>
  </si>
  <si>
    <t>B4*$B$8</t>
  </si>
  <si>
    <t xml:space="preserve"> &lt; Formula =B5*$B$8</t>
  </si>
  <si>
    <t>B5*$B$8</t>
  </si>
  <si>
    <t xml:space="preserve"> &lt; Formula =1-B7</t>
  </si>
  <si>
    <t xml:space="preserve"> &lt; Formula =SUM(C2:C5)</t>
  </si>
  <si>
    <t>&lt; Formula is: =SUMPRODUCT(B2:B5*B8)</t>
  </si>
  <si>
    <t xml:space="preserve"> &lt; Formula =SUMPRODUCT(B2:B5*(1-B7))</t>
  </si>
  <si>
    <t xml:space="preserve"> &lt; Formula =1-A2</t>
  </si>
  <si>
    <t xml:space="preserve"> &lt; Formula =1-A3</t>
  </si>
  <si>
    <t xml:space="preserve"> &lt; Formula =1-A4</t>
  </si>
  <si>
    <t xml:space="preserve"> &lt; Formula =1-A5</t>
  </si>
  <si>
    <t xml:space="preserve"> &lt; Formula =PRODUCT(B2:B5)</t>
  </si>
  <si>
    <t xml:space="preserve"> &lt; Formula =ROUND(B9*B7,2)</t>
  </si>
  <si>
    <t xml:space="preserve"> &lt; Formula {=ROUND(B9*PRODUCT(1-A2:A5),2)}</t>
  </si>
  <si>
    <t xml:space="preserve"> &lt; Formula =DMIN($A$2:$B$8,"Times (h)",D2:D3)</t>
  </si>
  <si>
    <t xml:space="preserve"> &lt; Formula =DMIN($A$2:$B$8,"Times (h)",D4:D5)</t>
  </si>
  <si>
    <t xml:space="preserve"> &lt; Formula =DMIN($A$2:$B$8,"Times (h)",D6:D7)</t>
  </si>
  <si>
    <t xml:space="preserve"> &lt; Formula =E3</t>
  </si>
  <si>
    <t xml:space="preserve"> &lt; Formula {=TABLE(,D3)}</t>
  </si>
  <si>
    <t xml:space="preserve"> &lt; Formula =DMIN(A2:C13,"Time (s)",E2:F3)</t>
  </si>
  <si>
    <t xml:space="preserve"> &lt; Formula =F4</t>
  </si>
  <si>
    <t xml:space="preserve"> &lt; Formula {=TABLE(,F3)}</t>
  </si>
  <si>
    <t>&lt; Formula {=STDEV.S(IF($A$3:$A$14=D4,$B$3:$B$14))}</t>
  </si>
  <si>
    <t>&lt; Formula {=STDEV.S(IF($A$3:$A$14=D5,$B$3:$B$14))}</t>
  </si>
  <si>
    <t>&lt; Formula {=STDEV.S(IF($A$3:$A$14=D6,$B$3:$B$14))}</t>
  </si>
  <si>
    <t>&lt; Formula {=STDEV(IF($A$3:$A$14=D9,$B$3:$B$14))}</t>
  </si>
  <si>
    <t>&lt; Formula {=STDEV(IF($A$3:$A$14=D10,$B$3:$B$14))}</t>
  </si>
  <si>
    <t>&lt; Formula {=STDEV(IF($A$3:$A$14=D11,$B$3:$B$14))}</t>
  </si>
  <si>
    <t>&lt; =AGGREGATE(7,6,$B$3:$B$14/($A$3:$A$14=D9))</t>
  </si>
  <si>
    <t xml:space="preserve"> &lt; Formula in cell G4
=VLOOKUP($F4&amp;"|"&amp;G$3,$A$3:$D$16,4,0)</t>
  </si>
  <si>
    <t xml:space="preserve"> &lt; Formula in cell G4
=VLOOKUP($F4&amp;"|"&amp;G$3,$A$3:$D$16,4)</t>
  </si>
  <si>
    <t xml:space="preserve"> &lt; Formula =LEN(A3)</t>
  </si>
  <si>
    <t xml:space="preserve"> &lt; Formula =SUM(C3:C7)</t>
  </si>
  <si>
    <t xml:space="preserve"> &lt; Formula =SUM(D3:D7)</t>
  </si>
  <si>
    <t xml:space="preserve"> &lt; Formula =B9-B10</t>
  </si>
  <si>
    <t xml:space="preserve"> &lt; Formula =SUMPRODUCT(VLOOKUP(B3:B7,F4:G6,2,0))</t>
  </si>
  <si>
    <t xml:space="preserve"> &lt; Formula =SUMPRODUCT(SUMIF(F4:F6,B3:B7,G4:G6))</t>
  </si>
  <si>
    <t xml:space="preserve"> &lt; Formula =SUMPRODUCT(LOOKUP(B3:B7,F4:G6))</t>
  </si>
  <si>
    <t xml:space="preserve"> &lt; Formula =SUMPRODUCT(SMALL(B3:B8,D7:D9))</t>
  </si>
  <si>
    <t xml:space="preserve"> &lt; Formula =SUMPRODUCT(LARGE(B2:B8,ROW(INDIRECT("1:"&amp;D3))))</t>
  </si>
  <si>
    <t xml:space="preserve"> &lt; Formula =SUMIF(B2:B8,"&gt;="&amp;LARGE(B2:B8,D6))</t>
  </si>
  <si>
    <t xml:space="preserve"> &lt; Formula ="Add Top "&amp;D3</t>
  </si>
  <si>
    <t xml:space="preserve"> &lt; Formula =SUM(VLOOKUP(A7,A2:H4,{2,4,5,7,8}))</t>
  </si>
  <si>
    <t xml:space="preserve"> &lt; Formula {=SUM(VLOOKUP(A7,A2:H4,{2,4,5,7,8}))}</t>
  </si>
  <si>
    <t xml:space="preserve"> &lt; Formula =SUMPRODUCT(VLOOKUP(A7,A2:H4,{2,4,5,7,8}))</t>
  </si>
  <si>
    <t xml:space="preserve"> &lt; Formula =MODE(A2:A8)</t>
  </si>
  <si>
    <t xml:space="preserve"> &lt; Formula =MODE.SNGL(A2:A8)</t>
  </si>
  <si>
    <t xml:space="preserve"> &lt; Formula =MODE(A2:A15)</t>
  </si>
  <si>
    <t xml:space="preserve"> &lt; Formula =MODE.SNGL(A2:A15)</t>
  </si>
  <si>
    <t xml:space="preserve"> &lt; Formula {=MODE.MULT(A2:A15)}</t>
  </si>
  <si>
    <t xml:space="preserve"> &lt; Formula =COUNT(MODE.MULT(A2:A10))</t>
  </si>
  <si>
    <t xml:space="preserve"> &lt; Formula =IF(ROWS(C$4:C4)&gt;$C$2,"",INDEX(MODE.MULT($A$2:$A$10),ROWS(C$4:C4)))</t>
  </si>
  <si>
    <t xml:space="preserve"> =MIN(MODE.MULT($A$2:$A$10))</t>
  </si>
  <si>
    <t xml:space="preserve"> =MAX(MODE.MULT($A$2:$A$10))</t>
  </si>
  <si>
    <t xml:space="preserve"> =OR(MODE.MULT($A$2:$A$10)=A20)</t>
  </si>
  <si>
    <t xml:space="preserve"> =VLOOKUP(C19,MODE.MULT($A$2:$A$10),1,0)</t>
  </si>
  <si>
    <t xml:space="preserve"> =SUM(MODE.MULT($A$2:$A$10))</t>
  </si>
  <si>
    <t xml:space="preserve"> =SUM(FREQUENCY(F18:F21,H18:H21))</t>
  </si>
  <si>
    <t xml:space="preserve"> =SUM(TREND(F18:F21,G18:G21,H18:H21))</t>
  </si>
  <si>
    <t xml:space="preserve"> =COUNT(TRANSPOSE(F18:H21))</t>
  </si>
  <si>
    <t xml:space="preserve"> =COUNT(MMULT(F27:G28,I27:K28))</t>
  </si>
  <si>
    <t xml:space="preserve"> =AVERAGE(MMULT(F27:G28,I27:K28))</t>
  </si>
  <si>
    <t xml:space="preserve"> =COUNT(MINVERSE(F27:G28))</t>
  </si>
  <si>
    <t xml:space="preserve"> =COUNT(MUNIT(3))</t>
  </si>
  <si>
    <t xml:space="preserve"> =COUNT(LINEST(F18:F21,G18:G21))</t>
  </si>
  <si>
    <t xml:space="preserve"> &lt; Formula =IFERROR(INDEX(MODE.MULT($A$2:$A$10),ROWS(C$2:C2)),"")</t>
  </si>
  <si>
    <t xml:space="preserve"> &lt; Formula =IFERROR(VLOOKUP(A3,$A$10:$B$12,2),"")</t>
  </si>
  <si>
    <t xml:space="preserve"> &lt; Formula =IF(ISERROR(VLOOKUP(A7,$A$10:$B$12,2)),
"Not In Table",VLOOKUP(A7,$A$10:$B$12,2))</t>
  </si>
  <si>
    <t xml:space="preserve"> &lt; =$E$12*D3+$E$13</t>
  </si>
  <si>
    <t xml:space="preserve"> &lt; =$E$12*D4+$E$13</t>
  </si>
  <si>
    <t xml:space="preserve"> &lt; =$E$12*D5+$E$13</t>
  </si>
  <si>
    <t xml:space="preserve"> &lt; =$E$12*D6+$E$13</t>
  </si>
  <si>
    <t xml:space="preserve"> &lt; =$E$12*D7+$E$13</t>
  </si>
  <si>
    <t xml:space="preserve"> &lt; =$E$12*D8+$E$13</t>
  </si>
  <si>
    <t xml:space="preserve"> &lt; =$E$12*D9+$E$13</t>
  </si>
  <si>
    <t xml:space="preserve"> &lt; =$E$12*D10+$E$13</t>
  </si>
  <si>
    <t xml:space="preserve"> &lt; =SLOPE(B3:B13,A3:A13)</t>
  </si>
  <si>
    <t xml:space="preserve"> &lt; =INTERCEPT(B3:B13,A3:A13)</t>
  </si>
  <si>
    <t xml:space="preserve"> &lt; =FORECAST(D3,$B$3:$B$13,$A$3:$A$13)</t>
  </si>
  <si>
    <t xml:space="preserve"> &lt; =FORECAST(D4,$B$3:$B$13,$A$3:$A$13)</t>
  </si>
  <si>
    <t xml:space="preserve"> &lt; =FORECAST(D5,$B$3:$B$13,$A$3:$A$13)</t>
  </si>
  <si>
    <t xml:space="preserve"> &lt; =FORECAST(D6,$B$3:$B$13,$A$3:$A$13)</t>
  </si>
  <si>
    <t xml:space="preserve"> &lt; =FORECAST(D7,$B$3:$B$13,$A$3:$A$13)</t>
  </si>
  <si>
    <t xml:space="preserve"> &lt; =FORECAST(D8,$B$3:$B$13,$A$3:$A$13)</t>
  </si>
  <si>
    <t xml:space="preserve"> &lt; =FORECAST(D9,$B$3:$B$13,$A$3:$A$13)</t>
  </si>
  <si>
    <t xml:space="preserve"> &lt; =FORECAST(D10,$B$3:$B$13,$A$3:$A$13)</t>
  </si>
  <si>
    <t xml:space="preserve"> &lt; {=TREND(B3:B13,A3:A13,D3:D10)}</t>
  </si>
  <si>
    <t xml:space="preserve"> &lt; Formula =SUMPRODUCT(B1:L1,B2:L2)</t>
  </si>
  <si>
    <t xml:space="preserve"> &lt; Formula {=SUM(B1:L1*B2:L2)}</t>
  </si>
  <si>
    <t xml:space="preserve"> &lt; Formula =SUMPRODUCT(B4:E4,$B$1:$E$1)</t>
  </si>
  <si>
    <t xml:space="preserve"> &lt; Formula =SUMPRODUCT(B5:E5,$B$1:$E$1)</t>
  </si>
  <si>
    <t xml:space="preserve"> &lt; Formula =SUMPRODUCT(B6:E6,$B$1:$E$1)</t>
  </si>
  <si>
    <t xml:space="preserve"> &lt; Formula =SUMPRODUCT(A3:A7,B3:B7)</t>
  </si>
  <si>
    <t xml:space="preserve"> &lt; Formula =SUMPRODUCT(B2:B4,C2:C4,D2:D4,E2:E4)</t>
  </si>
  <si>
    <t xml:space="preserve"> &lt; Formula =SUMPRODUCT(A10,B10)</t>
  </si>
  <si>
    <t xml:space="preserve"> &lt; Formula =SUMPRODUCT(A11,B11)</t>
  </si>
  <si>
    <t xml:space="preserve"> &lt; Formula =SUMPRODUCT(B3:B5*C1:D1*C3:D5)</t>
  </si>
  <si>
    <t xml:space="preserve"> &lt; Formula =SUMPRODUCT(MMULT(B3:B5,C1:D1),C3:D5)</t>
  </si>
  <si>
    <t xml:space="preserve"> &lt; Formula =SUMPRODUCT(ROUND(A3:A7*B3:B7,2))</t>
  </si>
  <si>
    <t xml:space="preserve"> &lt; Formula {=SUM(ROUND(A3:A7*B3:B7,2))}</t>
  </si>
  <si>
    <t xml:space="preserve"> &lt; Formula =COUNTIFS(A2:A7,E2,B2:B7,F2)</t>
  </si>
  <si>
    <t xml:space="preserve"> &lt; Formula =SUMIFS(C2:C7,A2:A7,E2,B2:B7,F2)</t>
  </si>
  <si>
    <t xml:space="preserve"> &lt; Formula =DCOUNT(A1:C7,"Time",E1:F2)</t>
  </si>
  <si>
    <t xml:space="preserve"> &lt; Formula =DSUM(A1:C7,"Time",E1:F2)</t>
  </si>
  <si>
    <t xml:space="preserve"> &lt; Formula =SUMPRODUCT(--(A2:A7=E2),--(B2:B7=F2))</t>
  </si>
  <si>
    <t xml:space="preserve"> &lt; Formula =SUMPRODUCT(--(A2:A7=E2),--(B2:B7=F2),C2:C7)</t>
  </si>
  <si>
    <t xml:space="preserve"> &lt; Formula =SUMPRODUCT(A2:A5=C2)</t>
  </si>
  <si>
    <t xml:space="preserve"> &lt; Formula =--B2</t>
  </si>
  <si>
    <t xml:space="preserve"> &lt; Formula =B3+0</t>
  </si>
  <si>
    <t xml:space="preserve"> &lt; Formula =B4*1</t>
  </si>
  <si>
    <t xml:space="preserve"> &lt; Formula =B5/1</t>
  </si>
  <si>
    <t xml:space="preserve"> &lt; Formula =B6^1</t>
  </si>
  <si>
    <t xml:space="preserve"> &lt; Formula =--E2</t>
  </si>
  <si>
    <t xml:space="preserve"> &lt; Formula =E3+0</t>
  </si>
  <si>
    <t xml:space="preserve"> &lt; Formula =E4*1</t>
  </si>
  <si>
    <t xml:space="preserve"> &lt; Formula =E5/1</t>
  </si>
  <si>
    <t xml:space="preserve"> &lt; Formula =E6^1</t>
  </si>
  <si>
    <t xml:space="preserve"> &lt; Formula [1]=SUMPRODUCT(--(A2:A5=C2))</t>
  </si>
  <si>
    <t xml:space="preserve"> &lt; Formula [2]=SUMPRODUCT((A2:A5=C2)+0)</t>
  </si>
  <si>
    <t xml:space="preserve"> &lt; Formula [3]=SUMPRODUCT((A2:A5=C2)/1)</t>
  </si>
  <si>
    <t xml:space="preserve"> &lt; Formula [4]=SUMPRODUCT((A2:A5=C2)*1)</t>
  </si>
  <si>
    <t xml:space="preserve"> &lt; Formula [5]=SUMPRODUCT((A2:A5=C2)^1)</t>
  </si>
  <si>
    <t xml:space="preserve"> &lt; Formula [6]=SUMPRODUCT(N(A2:A5=C2))</t>
  </si>
  <si>
    <t xml:space="preserve"> &lt; Formula =SUMIFS(C8:C19,A8:A19,A2,A8:A19,B2,B8:B19,C2)</t>
  </si>
  <si>
    <t xml:space="preserve"> &lt; Label Formula ="Period: "&amp;TEXT(A2,"m/d/yyy")&amp;" to "&amp;TEXT(B2,"m/d/yyy")</t>
  </si>
  <si>
    <t xml:space="preserve"> &lt; Formula =SUMIFS(C8:C19,A8:A19,"&gt;="&amp;A2,A8:A19,"&lt;="&amp;B2,B8:B19,C2)</t>
  </si>
  <si>
    <t xml:space="preserve"> &lt; Formula =DSUM(A7:C19,"Calls",A1:C2)</t>
  </si>
  <si>
    <t xml:space="preserve"> &lt; Formula =SUMPRODUCT(--(A8:A19&gt;=A2),--(A8:A19&lt;=B2),--(B8:B19=C2),C8:C19)</t>
  </si>
  <si>
    <t xml:space="preserve"> &lt; Formula =SUMPRODUCT(IF(A14:A25&gt;=A2,IF(A14:A25&lt;=B2,IF(B14:B25=C2,C14:C25))))</t>
  </si>
  <si>
    <t xml:space="preserve"> &lt; Formula {=SUMPRODUCT(IF(A14:A25&gt;=A2,IF(A14:A25&lt;=B2,IF(B14:B25=C2,C14:C25))))}</t>
  </si>
  <si>
    <t xml:space="preserve"> &lt; Formula =SUMPRODUCT(--(A14:A25&gt;=A2),--(A14:A25&lt;=B2),--(B14:B25=C2),C14:C25)</t>
  </si>
  <si>
    <t xml:space="preserve"> &lt; Formula {=SUM(IF(A14:A25&gt;=A2,IF(A14:A25&lt;=B2,IF(B14:B25=C2,C14:C25))))}</t>
  </si>
  <si>
    <t xml:space="preserve"> &lt; Formula [1]=COUNTIFS(A2:A6,A10,B2:B6,B10,C2:C6,C10,D2:D6,"&gt;"&amp;D10)</t>
  </si>
  <si>
    <t xml:space="preserve"> &lt; Formula [2]=SUMIFS(D2:D6,A2:A6,A10,B2:B6,B10,C2:C6,C10,D2:D6,"&gt;"&amp;D10)</t>
  </si>
  <si>
    <t xml:space="preserve"> &lt; Formula [3]=AVERAGEIFS(D2:D6,A2:A6,A10,B2:B6,B10,C2:C6,C10,D2:D6,"&gt;"&amp;D10)</t>
  </si>
  <si>
    <t xml:space="preserve"> &lt; Formula [4]=DMAX(A1:D6,D1,F9:I10)</t>
  </si>
  <si>
    <t xml:space="preserve"> &lt; Formula [5]=SUMPRODUCT(--(A2:A6=A10),--(B2:B6=B10),--(C2:C6=C10),--(D2:D6&gt;D10))</t>
  </si>
  <si>
    <t xml:space="preserve"> &lt; Formula [6]=AGGREGATE(15,6,D2:D6/((A2:A6=A10)*(B2:B6=B10)*(C2:C6=C10)*(D2:D6&gt;D10)),1)</t>
  </si>
  <si>
    <t xml:space="preserve"> &lt; Formula [7]{=STDEV.S(IF(A2:A6=A10,IF(B2:B6=B10,IF(C2:C6=C10,IF(D2:D6&gt;D10,D2:D6)))))}</t>
  </si>
  <si>
    <t xml:space="preserve"> &lt; Formula =SUBTOTAL(101,[Cost])</t>
  </si>
  <si>
    <t xml:space="preserve"> &lt; Formula =AND(A2=$A$10,B2=$B$10,C2=$C$10,D2&gt;=$D$10)</t>
  </si>
  <si>
    <t xml:space="preserve"> &lt; Formula =AND(A3=$A$10,B3=$B$10,C3=$C$10,D3&gt;=$D$10)</t>
  </si>
  <si>
    <t xml:space="preserve"> &lt; Formula =AND(A4=$A$10,B4=$B$10,C4=$C$10,D4&gt;=$D$10)</t>
  </si>
  <si>
    <t xml:space="preserve"> &lt; Formula =AND(A5=$A$10,B5=$B$10,C5=$C$10,D5&gt;=$D$10)</t>
  </si>
  <si>
    <t xml:space="preserve"> &lt; Formula =AND(A6=$A$10,B6=$B$10,C6=$C$10,D6&gt;=$D$10)</t>
  </si>
  <si>
    <t xml:space="preserve"> &lt; Formula [1] =COUNTIF(E2:E6,TRUE)</t>
  </si>
  <si>
    <t xml:space="preserve"> &lt; Formula =(A2=$A$10)*(B2=$B$10)*(C2=$C$10)*(D2&gt;=$D$10)</t>
  </si>
  <si>
    <t xml:space="preserve"> &lt; Formula =(A3=$A$10)*(B3=$B$10)*(C3=$C$10)*(D3&gt;=$D$10)</t>
  </si>
  <si>
    <t xml:space="preserve"> &lt; Formula =(A4=$A$10)*(B4=$B$10)*(C4=$C$10)*(D4&gt;=$D$10)</t>
  </si>
  <si>
    <t xml:space="preserve"> &lt; Formula =(A5=$A$10)*(B5=$B$10)*(C5=$C$10)*(D5&gt;=$D$10)</t>
  </si>
  <si>
    <t xml:space="preserve"> &lt; Formula =(A6=$A$10)*(B6=$B$10)*(C6=$C$10)*(D6&gt;=$D$10)</t>
  </si>
  <si>
    <t xml:space="preserve"> &lt; Formula [1] =SUM(E2:E6)</t>
  </si>
  <si>
    <t xml:space="preserve"> &lt; Formula =(A2=$E$2)+(A2=$E$3) = TRUE+FALSE = TRUE = 1</t>
  </si>
  <si>
    <t xml:space="preserve"> &lt; Formula =(A3=$E$2)+(A3=$E$3) = FALSE+TRUE = TRUE = 1</t>
  </si>
  <si>
    <t xml:space="preserve"> &lt; Formula =(A4=$E$2)+(A4=$E$3) = FALSE+FALSE = FALSE = 0</t>
  </si>
  <si>
    <t xml:space="preserve"> &lt; Formula =(A5=$E$2)+(A5=$E$3) = FALSE+TRUE = TRUE = 1</t>
  </si>
  <si>
    <t xml:space="preserve"> &lt; Formula =(A6=$E$2)+(A6=$E$3) = FALSE+FALSE = FALSE = 0</t>
  </si>
  <si>
    <t xml:space="preserve"> &lt; Formula =(B2&gt;$G$3)+(C2&gt;=$G$5) = FALSE+TRUE = TRUE = 1</t>
  </si>
  <si>
    <t xml:space="preserve"> &lt; Formula =(B3&gt;$G$3)+(C3&gt;=$G$5) = TRUE+TRUE = TRUE = 2</t>
  </si>
  <si>
    <t xml:space="preserve"> &lt; Formula =(B4&gt;$G$3)+(C4&gt;=$G$5) = FALSE+FALSE = FALSE = 0</t>
  </si>
  <si>
    <t xml:space="preserve"> &lt; Formula =(B5&gt;$G$3)+(C5&gt;=$G$5) = TRUE+FALSE = TRUE = 1</t>
  </si>
  <si>
    <t xml:space="preserve"> &lt; Formula =(B6&gt;$G$3)+(C6&gt;=$G$5) = FALSE+FALSE = FALSE = 0</t>
  </si>
  <si>
    <t xml:space="preserve"> &lt; Formula [1] =COUNTIF(A2:A6,C2)+COUNTIF(A2:A6,C3)</t>
  </si>
  <si>
    <t xml:space="preserve"> &lt; Formula [2] =DCOUNTA(A1:A6,A1,C1:C3)</t>
  </si>
  <si>
    <t xml:space="preserve"> &lt; Formula [3] =SUMPRODUCT((A2:A6=C2)+(A2:A6=C3))</t>
  </si>
  <si>
    <t xml:space="preserve"> &lt; Formula [4] {=SUM(IF((A2:A6=C2)+(A2:A6=C3),1))}</t>
  </si>
  <si>
    <t xml:space="preserve"> &lt; Formula [5] =SUMPRODUCT(--ISNUMBER(MATCH(A2:A6,C2:C3,0)))</t>
  </si>
  <si>
    <t xml:space="preserve"> &lt; Formula [1] {=SUM(IF((B2:B6&gt;E3)+(C2:C6&gt;=E5),1))}</t>
  </si>
  <si>
    <t xml:space="preserve"> &lt; Formula [2] =DCOUNT(B1:C6,,G2:H4)</t>
  </si>
  <si>
    <t xml:space="preserve"> &lt; Formula [3] =SUMPRODUCT(--((B2:B6&gt;E3)+(C2:C6&gt;=E5)&gt;0))</t>
  </si>
  <si>
    <t xml:space="preserve"> &lt; Incorrect Formula [4] =COUNTIF(B2:B6,"&gt;"&amp;E3)+COUNTIF(C2:C6,"&gt;="&amp;E5)</t>
  </si>
  <si>
    <t xml:space="preserve"> &lt; Incorrect Formula [5] =SUMPRODUCT((B2:B6&gt;E3)+(C2:C6&gt;=E5))</t>
  </si>
  <si>
    <t xml:space="preserve"> &lt; Formula [1] =SUMIF(A2:A7,E3,B2:B7)+SUMIF(A2:A7,E4,B2:B7)</t>
  </si>
  <si>
    <t xml:space="preserve"> &lt; Formula [2] {=AVERAGE(IF((A2:A7=E3)+(A2:A7=E4),B2:B7))}</t>
  </si>
  <si>
    <t xml:space="preserve"> &lt; Formula [1] {=SUM(IF((A2:A7=E3)+(C2:C7=E5),B2:B7))}</t>
  </si>
  <si>
    <t xml:space="preserve"> &lt; Formula [2] {=AVERAGE(IF((A2:A7=E3)+(C2:C7=E5),B2:B7))}</t>
  </si>
  <si>
    <t xml:space="preserve"> &lt; Formula [3] =SUMPRODUCT(--((A2:A7=E3)+(C2:C7=E5)&gt;0),B2:B7)</t>
  </si>
  <si>
    <t xml:space="preserve"> &lt; Formula [4] =SUMIF(A2:A7,E3,B2:B7)+SUMIF(C2:C7,E5,B2:B7)</t>
  </si>
  <si>
    <t xml:space="preserve"> &lt; Formula [1] {=MIN(IF((A2:A7=E3)+(C2:C7=E5),B2:B7))}</t>
  </si>
  <si>
    <t xml:space="preserve"> &lt; Formula [2] =AGGREGATE(15,6,B2:B7/((A2:A7=E3)+(C2:C7=E5)&gt;0),1)</t>
  </si>
  <si>
    <t xml:space="preserve"> &lt; Formula [3] {=MAX(IF((A2:A7=E3)+(C2:C7=E5),B2:B7))}</t>
  </si>
  <si>
    <t xml:space="preserve"> &lt; Formula [4] =AGGREGATE(14,6,B2:B7*((A2:A7=E3)+(C2:C7=E5)&gt;0),1)</t>
  </si>
  <si>
    <t xml:space="preserve"> =AND(B2&gt;$B$10,E2&gt;$D$10,OR(C2&gt;=$C$10,D2&gt;=$C$12))</t>
  </si>
  <si>
    <t xml:space="preserve"> =AND(B3&gt;$B$10,E3&gt;$D$10,OR(C3&gt;=$C$10,D3&gt;=$C$12))</t>
  </si>
  <si>
    <t xml:space="preserve"> =AND(B4&gt;$B$10,E4&gt;$D$10,OR(C4&gt;=$C$10,D4&gt;=$C$12))</t>
  </si>
  <si>
    <t xml:space="preserve"> =AND(B5&gt;$B$10,E5&gt;$D$10,OR(C5&gt;=$C$10,D5&gt;=$C$12))</t>
  </si>
  <si>
    <t xml:space="preserve"> =AND(B6&gt;$B$10,E6&gt;$D$10,OR(C6&gt;=$C$10,D6&gt;=$C$12))</t>
  </si>
  <si>
    <t xml:space="preserve"> =AND(B7&gt;$B$10,E7&gt;$D$10,OR(C7&gt;=$C$10,D7&gt;=$C$12))</t>
  </si>
  <si>
    <t xml:space="preserve"> [1] =COUNTIF(F2:F7,TRUE)</t>
  </si>
  <si>
    <t xml:space="preserve"> [2] {=SUM(IF(B2:B7&gt;B10,IF(E2:E7&gt;D10,IF((C2:C7&gt;=C10)+(D2:D7&gt;=C12),1))))}</t>
  </si>
  <si>
    <t xml:space="preserve"> [3] =SUMPRODUCT(--(B2:B7&gt;B10),--(E2:E7&gt;D10),--((C2:C7&gt;=C10)+(D2:D7&gt;=C12)&gt;0))</t>
  </si>
  <si>
    <t xml:space="preserve"> [4] {=SUM(IF((B2:B7&gt;B10)*(E2:E7&gt;D10)*((C2:C7&gt;=C10)+(D2:D7&gt;=C12)),1))}</t>
  </si>
  <si>
    <t xml:space="preserve"> [5] {=MAX(IF((B2:B7&gt;B10)*(E2:E7&gt;D10)*((C2:C7&gt;=C10)+(D2:D7&gt;=C12)),B2:B7))}</t>
  </si>
  <si>
    <t xml:space="preserve"> [6] {=AVERAGE(IF((B2:B7&gt;B10)*(E2:E7&gt;D10)*((C2:C7&gt;=C10)+(D2:D7&gt;=C12)),B2:B7))}</t>
  </si>
  <si>
    <t xml:space="preserve"> &lt; Formula [7] =DCOUNT(B1:E7,"Net Assets",A30:D33)</t>
  </si>
  <si>
    <t xml:space="preserve"> &lt; Helper Formula =MONTH(A2)&amp;YEAR(A2)</t>
  </si>
  <si>
    <t xml:space="preserve"> [1] =COUNTIF(C2:C8,MONTH(F8&amp;1)&amp;E8)</t>
  </si>
  <si>
    <t xml:space="preserve"> [2] =COUNTIFS(A2:A8,"&gt;=1"&amp;F8&amp;E8,A2:A8,"&lt;="&amp;EOMONTH(1&amp;F8&amp;E8,0))</t>
  </si>
  <si>
    <t xml:space="preserve"> [3] =COUNTIF(A2:A8,"&lt;="&amp;EOMONTH(1&amp;F8&amp;E8,0))-COUNTIF(A2:A8,"&lt;"&amp;1&amp;F8&amp;E8)</t>
  </si>
  <si>
    <t xml:space="preserve"> [4] =SUMPRODUCT(--(MONTH(A2:A8)&amp;YEAR(A2:A8)=MONTH(1&amp;F8)&amp;E8))</t>
  </si>
  <si>
    <t xml:space="preserve"> [5] =SUMPRODUCT(--(TEXT(A2:A8,"mmmyyy")=F8&amp;E8))</t>
  </si>
  <si>
    <t xml:space="preserve"> &lt; Helper Formula =YEAR(A2)</t>
  </si>
  <si>
    <t xml:space="preserve"> [1] =SUMIFS(B2:B6,A2:A6,"&gt;=1/1/"&amp;E6,A2:A6,"&lt;=12/31/"&amp;E6)</t>
  </si>
  <si>
    <t xml:space="preserve"> [2] =SUMIF(A2:A6,"&lt;=12/31/"&amp;E6,B2:B6)-SUMIF(A2:A6,"&lt;1/1/"&amp;E6,B2:B6)</t>
  </si>
  <si>
    <t xml:space="preserve"> [3] =SUMIFS(B2:B6,C2:C6,E6)</t>
  </si>
  <si>
    <t xml:space="preserve"> [4] =SUMIF(C2:C6,E6,B2:B6)</t>
  </si>
  <si>
    <t xml:space="preserve"> [5] =SUMPRODUCT(--(YEAR(A2:A6)=E6),B2:B6)</t>
  </si>
  <si>
    <t xml:space="preserve"> [6] {=SUM(IF(YEAR(A2:A6)=E6,B2:B6))}</t>
  </si>
  <si>
    <t xml:space="preserve"> &lt; Formula =SUM(A2:A4)</t>
  </si>
  <si>
    <t xml:space="preserve"> &lt; Formula =SUM(A2:A5)</t>
  </si>
  <si>
    <t xml:space="preserve"> &lt; Formula =COUNTIF(B2:B5,"&gt;"&amp;E$2)</t>
  </si>
  <si>
    <t xml:space="preserve"> &lt; Formula =COUNTIF(B6:B7,"&gt;"&amp;E$2)</t>
  </si>
  <si>
    <t xml:space="preserve"> &lt; =SUM(INDEX(A3:C6,,MATCH(G3,A2:C2,0)))</t>
  </si>
  <si>
    <t xml:space="preserve"> &lt; =SUM(INDEX(A3:C6,0,MATCH(G3,A2:C2,0)))</t>
  </si>
  <si>
    <t xml:space="preserve"> &lt; =SUM(INDEX(B9:E11,MATCH(G10,A9:A11,0),))</t>
  </si>
  <si>
    <t xml:space="preserve"> &lt; =SUM(INDEX(B9:E11,MATCH(G10,A9:A11,0),0))</t>
  </si>
  <si>
    <t xml:space="preserve"> [1] =COUNTA(A5:A10)</t>
  </si>
  <si>
    <t xml:space="preserve"> [2] {=MATCH(2,1/(A16:A21&lt;&gt;""))}</t>
  </si>
  <si>
    <t xml:space="preserve"> [3] =MATCH(9.99999999999999E+307,C5:C10)</t>
  </si>
  <si>
    <t xml:space="preserve"> [4] =MATCH(100,C5:C10)</t>
  </si>
  <si>
    <t xml:space="preserve"> [5] =MATCH("Ω",C16:C21)</t>
  </si>
  <si>
    <t xml:space="preserve"> [6] =MATCH(REPT("z",255),C16:C21)</t>
  </si>
  <si>
    <t xml:space="preserve"> [3] =MATCH(9.9E+307,B1:G1)</t>
  </si>
  <si>
    <t>&lt; =INDEX($C$2:$C$8,MATCH(9.9E+307,$C$2:$C$8))</t>
  </si>
  <si>
    <t>&lt; =INDEX($A$2:$A$8,MATCH("Ω",$A$2:$A$8))</t>
  </si>
  <si>
    <t>&lt; =VLOOKUP(E2,$A$2:$C$5,3,0)</t>
  </si>
  <si>
    <t>&lt; {=$A$2:INDEX($C$2:$C$8,MATCH(9.99E+307,$C$2:$C$8))}</t>
  </si>
  <si>
    <t>&lt; {=$A$2:INDEX($A$2:$A$8,MATCH("Ω",$A$2:$A$8))}</t>
  </si>
  <si>
    <t>&lt; Formula {=$A$2:INDEX($C$2:$C$7,MAX((ROW($A$2:$C$7)-ROW($A$2)+1)*($A$2:$C$7&lt;&gt;"")))}</t>
  </si>
  <si>
    <t>&lt; Formula {=$A$2:INDEX($C$2:$C$7,AGGREGATE(14,4,(ROW($A$2:$C$7)-ROW($A$2)+1)*($A$2:$C$7&lt;&gt;""),1))}</t>
  </si>
  <si>
    <t>&lt; Formula {=$A$2:INDEX($C$2:$C$7,MAX((ROW($A$2:$C$7)-ROW($A$2)+1)*(TRIM($A$2:$C$7)&lt;&gt;"")))}</t>
  </si>
  <si>
    <t>&lt; Formula {=OFFSET($A$2,,,COUNT($A$2:$A$5))}</t>
  </si>
  <si>
    <t>&lt; Formula {=OFFSET($B$1,MATCH($E$2,$A$2:$A$6,0),,COUNTIF($A$2:$A$6,$E$2))}</t>
  </si>
  <si>
    <t>&lt; Formula {=INDEX($B$2:$B$6,MATCH($E$2,$A$2:$A$6,0)):INDEX($B$2:$B$6,MATCH(2,1/($A$2:$A$6=$E$2)))}</t>
  </si>
  <si>
    <t>&lt; Formula {=INDEX($B$2:$B$6,MATCH($E$2,$A$2:$A$6,0)):INDEX($B$2:$B$6,MATCH($E$2,$A$2:$A$6,0)+COUNTIF($A$2:$A$6,$E$2)-1)}</t>
  </si>
  <si>
    <t>Sales Range: {=OFFSET($C$1,MATCH($F$1,$A$2:$A$6,0),,COUNTIF($A$2:$A$6,$F$1))}</t>
  </si>
  <si>
    <t>Reps Range {=INDEX($B$2:$B$6,MATCH($F$1,$A$2:$A$6,0)):INDEX($B$2:$B$6,MATCH($F$1,$A$2:$A$6,0)+COUNTIF($A$2:$A$6,$F$1)-1)}</t>
  </si>
  <si>
    <t>[1] =SUM(INDEX($A$2:$A$10,MATCH(9.99E+307,$A$2:$A$10)-$C$2+1):INDEX($A$2:$A$10,MATCH(9.99E+307,$A$2:$A$10)))</t>
  </si>
  <si>
    <t>[2] {=SUM(INDEX($A$2:$A$10,LARGE(IF(ISNUMBER($A$2:$A$10),ROW($A$2:$A$10)-ROW($A$2)+1),$C$2)):INDEX($A$2:$A$10,MATCH(9.99E+307,$A$2:$A$10)))}</t>
  </si>
  <si>
    <t>[3] =SUM(LastFive)</t>
  </si>
  <si>
    <t xml:space="preserve"> =IF(A5&lt;&gt;"",COUNTIF(INDEX($B$3:B4,MATCH("Ω",$A$3:A4)):B4,"&gt;"&amp;$C$1),"")</t>
  </si>
  <si>
    <t xml:space="preserve"> &lt; Formula =AND(A10&gt;=$A$3,A10&lt;=$B$3,OR(B10=$C$3,C10=$C$5))</t>
  </si>
  <si>
    <t>&lt; Formula =AND(A11&gt;=$B$2,A11&lt;=$C$2,OR(B11=$D$2,C11=$D$4))</t>
  </si>
  <si>
    <t xml:space="preserve"> &lt; Formula =MAX(E8:E17)</t>
  </si>
  <si>
    <t xml:space="preserve"> &lt; Formula =MAX(A10:A19)</t>
  </si>
  <si>
    <t>Formula in N10: =SUM(OR(D10=$B$3,D10=$B$4),N9)</t>
  </si>
  <si>
    <t>Formula in A10: =SUM(ISNUMBER(MATCH(D10,$B$3:$B$4,0)),A9)</t>
  </si>
  <si>
    <t>Formula in E10: =SUM(E9,AND(OR(B10=B$3,C10=B$5),D10&gt;=C$3,D10&lt;=D$3))</t>
  </si>
  <si>
    <t xml:space="preserve"> &lt; Formula =MAX(E10:E19)</t>
  </si>
  <si>
    <t>Formula in E10: =SUM(E9,AND(OR(B10=B$3,C10=B$5),MONTH(1&amp;$C$3)=MONTH(A10)))</t>
  </si>
  <si>
    <t xml:space="preserve"> &lt; 2003 or before =SUMPRODUCT(--(A11:A20&gt;=B3),--(A11:A20&lt;=C3),--(B11:B20=D3))</t>
  </si>
  <si>
    <t xml:space="preserve"> &lt; 2007 or later =COUNTIFS(A11:A20,"&gt;="&amp;B3,A11:A20,"&lt;="&amp;C3,B11:B20,D3)</t>
  </si>
  <si>
    <t xml:space="preserve"> &lt; Formula =COUNTIFS(A11:A20,"&gt;="&amp;B3,A11:A20,"&lt;="&amp;C3,B11:B20,D3)</t>
  </si>
  <si>
    <t>&lt; Formula {=IF(ROWS(D$6:D6)&gt;E$3,"",INDEX($A$3:$A$52,SMALL(IF($B$3:$B$52=D$3,ROW($A$3:$A$52)-ROW(D$3)+1),ROWS(D$6:D6))))}</t>
  </si>
  <si>
    <t>&lt; Formula =IF(ROWS(D$6:D6)&gt;E$3,"",INDEX($A$3:$A$52,AGGREGATE(15,6,(ROW($A$3:$A$52)-ROW(A$3)+1)/($B$3:$B$52=D$3),ROWS(D$6:D6))))</t>
  </si>
  <si>
    <t>&lt; Formula =COUNTIF($B$3:$B$52,D3)</t>
  </si>
  <si>
    <t>&lt; Formula =COUNTIF($C$3:$C$52,E3)</t>
  </si>
  <si>
    <t>Formula in G5: =SUMPRODUCT(--ISNUMBER(MATCH($B$5:$B$936,$I$6:$I$21,0)))</t>
  </si>
  <si>
    <t>Formula in G6: {=SUM(IF((B11:B20=B5)+(C11:C20=B7),IF(D11:D20&gt;=C5,IF(D11:D20&lt;=D5,1))))}</t>
  </si>
  <si>
    <t>Formula in F5: =SUMPRODUCT(--(MOD($D$11:$D$20,$C$5)=0),--(($B$11:$B$20=$B$5)+($C$11:$C$20=$B$7)&gt;0))</t>
  </si>
  <si>
    <t>Formula in E5: =SUMPRODUCT(--(ISNA(MATCH($C$5:$C$9,$A$5:$A$8,0))))</t>
  </si>
  <si>
    <t xml:space="preserve"> &lt; Formula: =COUNTIF(B9:B18,B3)+COUNTIF(B9:B18,B4)</t>
  </si>
  <si>
    <t>Formula in H10: =IF($L10="","",INDEX(B$9:B$18,$L10))</t>
  </si>
  <si>
    <t>Formula in I5: =SUMPRODUCT(--ISNUMBER(MATCH(ContactNames,$E$7:$E$11,0)))</t>
  </si>
  <si>
    <t>="         Time &lt;= "&amp;C3</t>
  </si>
  <si>
    <t>=C3&amp;" &lt; Time &lt;= "&amp;C4</t>
  </si>
  <si>
    <t>=C4&amp;" &lt; Time &lt;= "&amp;C5</t>
  </si>
  <si>
    <t>=C5&amp;" &lt; Time &lt;= "&amp;C6</t>
  </si>
  <si>
    <t>=C6&amp;" &lt; Time &lt;= "&amp;C7</t>
  </si>
  <si>
    <t>=C7&amp;" &lt; Time"</t>
  </si>
  <si>
    <t>="         Time &lt;= "&amp;D17</t>
  </si>
  <si>
    <t>=D17&amp;" &lt; Time &lt;= "&amp;D18</t>
  </si>
  <si>
    <t>=D18&amp;" &lt; Time &lt;= "&amp;D19</t>
  </si>
  <si>
    <t>=D19&amp;" &lt; Time &lt;= "&amp;D20</t>
  </si>
  <si>
    <t>=D20&amp;" &lt; Time &lt;= "&amp;D21</t>
  </si>
  <si>
    <t>=D21&amp;" &lt; Time"</t>
  </si>
  <si>
    <t>&lt; Formulas :{=FREQUENCY(A2:A14,C2:C4)}</t>
  </si>
  <si>
    <t>&lt; Formulas :=COUNTIFS($A$2:$A$14,"&lt;="&amp;C8)</t>
  </si>
  <si>
    <t>&lt; Formulas :=COUNTIFS($A$2:$A$14,"&lt;="&amp;C9,$A$2:$A$14,"&gt;"&amp;C8)</t>
  </si>
  <si>
    <t>&lt; Formulas :=COUNTIFS($A$2:$A$14,"&lt;="&amp;C10,$A$2:$A$14,"&gt;"&amp;C9)</t>
  </si>
  <si>
    <t>&lt; Formulas :=COUNTIFS($A$2:$A$14,"&gt;"&amp;C10)</t>
  </si>
  <si>
    <t>&lt; Formulas :=COUNTIF($A$2:$A$14,"&lt;="&amp;C14)</t>
  </si>
  <si>
    <t>&lt; Formulas :=COUNTIF($A$2:$A$14,"&lt;="&amp;C15)-COUNTIF($A$2:$A$14,"&lt;="&amp;C14)</t>
  </si>
  <si>
    <t>&lt; Formulas :=COUNTIF($A$2:$A$14,"&lt;="&amp;C16)-COUNTIF($A$2:$A$14,"&lt;="&amp;C15)</t>
  </si>
  <si>
    <t>&lt; Formulas :=COUNTIF($A$2:$A$14,"&gt;"&amp;C16)</t>
  </si>
  <si>
    <t>&lt; Formulas :=COUNTIFS($A$2:$A$14,"&gt;="&amp;C5,$A$2:$A$14,"&lt;"&amp;D5)</t>
  </si>
  <si>
    <t>&lt; Formulas :=COUNTIFS($A$2:$A$14,"&gt;="&amp;C6,$A$2:$A$14,"&lt;"&amp;D6)</t>
  </si>
  <si>
    <t>&lt; Formulas :=COUNTIFS($A$2:$A$14,"&gt;="&amp;C7,$A$2:$A$14,"&lt;"&amp;D7)</t>
  </si>
  <si>
    <t>&lt; Formulas :=COUNTIF($A$2:$A$14,"&lt;"&amp;D10)-COUNTIF($A$2:$A$14,"&lt;"&amp;C10)</t>
  </si>
  <si>
    <t>&lt; Formulas :=COUNTIF($A$2:$A$14,"&lt;"&amp;D11)-COUNTIF($A$2:$A$14,"&lt;"&amp;C11)</t>
  </si>
  <si>
    <t>&lt; Formulas :=COUNTIF($A$2:$A$14,"&lt;"&amp;D12)-COUNTIF($A$2:$A$14,"&lt;"&amp;C12)</t>
  </si>
  <si>
    <t>&lt; Formula: =SUMPRODUCT(--(FREQUENCY(A3:A8,A3:A8)&gt;0))</t>
  </si>
  <si>
    <t>&lt; Formula: =SUMPRODUCT(1/COUNTIF(A3:A8,A3:A8))</t>
  </si>
  <si>
    <t>&lt; =SUMPRODUCT(--(FREQUENCY(MATCH(C3:C9,C3:C9,0),ROW(C3:C9)-ROW(C3)+1)&gt;0))</t>
  </si>
  <si>
    <t>&lt; =SUMPRODUCT(1/COUNTIF(C3:C9,C3:C9))</t>
  </si>
  <si>
    <t>&lt; {=SUM(IF(FREQUENCY(IF(C3:C9&lt;&gt;"",MATCH(C3:C9,C3:C9,0)),ROW(C3:C9)-ROW(C3)+1),1))}</t>
  </si>
  <si>
    <t>&lt; =SUMPRODUCT((C3:C9&lt;&gt;"")/COUNTIF(C3:C9,C3:C9&amp;""))</t>
  </si>
  <si>
    <t>&lt; {=SUM(IF(FREQUENCY(IF(A3:A12&lt;&gt;"",IF(B3:B12&gt;E3,IF(C3:C12=F3,MATCH(A3:A12,A3:A12,0)))),ROW(C3:C12)-ROW(C3)+1),1))}</t>
  </si>
  <si>
    <t>&lt; =SUMPRODUCT(((A3:A12&lt;&gt;"")*(B3:B12&gt;E3)*(C3:C12=F3))/COUNTIF(A3:A12,A3:A12&amp;""))</t>
  </si>
  <si>
    <t>&lt; =COUNTIF(A2:A9,"~"&amp;C2)</t>
  </si>
  <si>
    <t>&lt; =MATCH("~"&amp;C2,A2:A9,0)</t>
  </si>
  <si>
    <t>&lt; =COUNTIF(A2:A9,C2)</t>
  </si>
  <si>
    <t>&lt; =MATCH(C2,A2:A9,0)</t>
  </si>
  <si>
    <t>&lt; {=SUM(IF(FREQUENCY(IF(A3:A9&lt;&gt;"",MATCH("~"&amp;A3:A9,A3:A9&amp;"",0)),ROW(A3:A9)-ROW(A3)+1),1))}</t>
  </si>
  <si>
    <t>&lt; Incorrect =SUMPRODUCT(--(A3:A9&lt;&gt;"")/COUNTIF(A3:A9,A3:A9&amp;""))</t>
  </si>
  <si>
    <t>&lt; =COUNTIF(A$3:A3,A3)</t>
  </si>
  <si>
    <t>&lt; =COUNTIF(A$3:A4,A4)</t>
  </si>
  <si>
    <t>&lt; =COUNTIF(A$3:A5,A5)</t>
  </si>
  <si>
    <t>&lt; =COUNTIF(A$3:A6,A6)</t>
  </si>
  <si>
    <t>&lt; =COUNTIF(A$3:A7,A7)</t>
  </si>
  <si>
    <t>&lt; =COUNTIF(A$3:A8,A8)</t>
  </si>
  <si>
    <t>&lt; =COUNTIF(A$3:A9,A9)</t>
  </si>
  <si>
    <t>&lt; =COUNTIF(A$3:A10,A10)</t>
  </si>
  <si>
    <t>&lt; =COUNTIF(B3:B10,1)</t>
  </si>
  <si>
    <t>&lt; =COUNTIF(D3:D8,1)</t>
  </si>
  <si>
    <t>&lt; {=SUM(IF(FREQUENCY(MATCH(A3:A8&amp;B3:B8&amp;C3:C8,A3:A8&amp;B3:B8&amp;C3:C8,0),ROW(C3:C8)-ROW(C3)+1),1))}</t>
  </si>
  <si>
    <t>&lt; =SUMPRODUCT(--(A$3:A3=A3),--(B$3:B3=B3),--(C$3:C3=C3))</t>
  </si>
  <si>
    <t>&lt; =COUNTIFS(A$3:A3,A3,B$3:B3,B3,C$3:C3,C3)</t>
  </si>
  <si>
    <t>&lt; =COUNTIFS(A$3:A4,A4,B$3:B4,B4,C$3:C4,C4)</t>
  </si>
  <si>
    <t>&lt; =COUNTIFS(A$3:A5,A5,B$3:B5,B5,C$3:C5,C5)</t>
  </si>
  <si>
    <t>&lt; =COUNTIFS(A$3:A6,A6,B$3:B6,B6,C$3:C6,C6)</t>
  </si>
  <si>
    <t>&lt; =COUNTIFS(A$3:A7,A7,B$3:B7,B7,C$3:C7,C7)</t>
  </si>
  <si>
    <t>&lt; =COUNTIFS(A$3:A8,A8,B$3:B8,B8,C$3:C8,C8)</t>
  </si>
  <si>
    <t>=SUMPRODUCT(B2:D2,B3:D3) = $1,183.00</t>
  </si>
  <si>
    <t>&lt; {=MMULT(B4:E4,$B$11:$B$14)}</t>
  </si>
  <si>
    <t>&lt; =$B$11*B4+$B$12*C4+$B$13*D4+$B$14*E4</t>
  </si>
  <si>
    <t>&lt; =$B$11*B5+$B$12*C5+$B$13*D5+$B$14*E5</t>
  </si>
  <si>
    <t>&lt; =$B$11*B6+$B$12*C6+$B$13*D6+$B$14*E6</t>
  </si>
  <si>
    <t>&lt; =$B$11*B7+$B$12*C7+$B$13*D7+$B$14*E7</t>
  </si>
  <si>
    <t xml:space="preserve"> &lt; =SUMPRODUCT(C3:D5*B3:B5*C1:D1)</t>
  </si>
  <si>
    <t xml:space="preserve"> &lt; =SUMPRODUCT(C3:D5,MMULT(B3:B5,C1:D1))</t>
  </si>
  <si>
    <t xml:space="preserve"> &lt; {=MMULT(MINVERSE(I3:K5),M3:M5)}</t>
  </si>
  <si>
    <t>I6: =SUM(I3:I5)</t>
  </si>
  <si>
    <t>I7: =SQRT(I6)</t>
  </si>
  <si>
    <t>F3: =SUMPRODUCT(C3:D3,$C$1:$D$1)</t>
  </si>
  <si>
    <t>G3: =F3-$D$6</t>
  </si>
  <si>
    <t>H3: =G3^2</t>
  </si>
  <si>
    <t>I3: =H3*B3</t>
  </si>
  <si>
    <t>F4: =SUMPRODUCT(C4:D4,$C$1:$D$1)</t>
  </si>
  <si>
    <t>G4: =F4-$D$6</t>
  </si>
  <si>
    <t>H4: =G4^2</t>
  </si>
  <si>
    <t>I4: =H4*B4</t>
  </si>
  <si>
    <t>F5: =SUMPRODUCT(C5:D5,$C$1:$D$1)</t>
  </si>
  <si>
    <t>G5: =F5-$D$6</t>
  </si>
  <si>
    <t>H5: =G5^2</t>
  </si>
  <si>
    <t>I5: =H5*B5</t>
  </si>
  <si>
    <t>D6: =SUMPRODUCT(C3:D5,MMULT(B3:B5,C1:D1))</t>
  </si>
  <si>
    <t>Formula in cell D8: =SQRT(SUMPRODUCT((MMULT(C1:D1*C3:D5,{1;1})-D6)^2*B3:B5))</t>
  </si>
  <si>
    <t>Formula in cell D8 replaces everything in the range F1:J7</t>
  </si>
  <si>
    <t xml:space="preserve"> &lt; Formula: =COUNTIF($B$2:$B$9,E2)</t>
  </si>
  <si>
    <t xml:space="preserve"> &lt; Formula: =COUNTIF($B$2:$B$9,E3)</t>
  </si>
  <si>
    <t xml:space="preserve"> &lt; Formula: =COUNTIF($B$2:$B$9,E4)</t>
  </si>
  <si>
    <t xml:space="preserve"> &lt; Formula: =COUNTIF($B$2:$B$9,E5)</t>
  </si>
  <si>
    <t xml:space="preserve"> &lt; Formula: =COUNTIF($B$2:$B$9,E6)</t>
  </si>
  <si>
    <t xml:space="preserve"> &lt; Formula: =SUM(COUNTIF(B$2:B2,B2)=1,D1)</t>
  </si>
  <si>
    <t xml:space="preserve"> &lt; Formula: =MAX(D2:D9)</t>
  </si>
  <si>
    <t xml:space="preserve"> &lt; Formula: =IF(C15&gt;D$12,"",INDEX(B$2:B$9,MATCH(C15,$D$2:$D$9,0)))</t>
  </si>
  <si>
    <t xml:space="preserve"> &lt; =MAX(E2:E10)</t>
  </si>
  <si>
    <t xml:space="preserve"> Formula in A15: =IF(ROWS(A$15:A15)&gt;$B$12,"",INDEX(A$2:A$10,MATCH(ROWS(A$15:A15),$E$2:$E$10,0)))</t>
  </si>
  <si>
    <t xml:space="preserve"> &lt; Formula: =SMALL($A$3:$A$5,ROWS(B$3:B3))</t>
  </si>
  <si>
    <t xml:space="preserve"> &lt; Formula: =LARGE($A$8:$A$10,ROWS(B$8:B8))</t>
  </si>
  <si>
    <t xml:space="preserve"> &lt; Formula: =RANK(B3,$B$3:$B$6,1)+COUNTIF($B$2:B2,B3)</t>
  </si>
  <si>
    <t xml:space="preserve"> &lt; Formula in cell A9: =INDEX(A$3:A$6,MATCH(ROWS(A$9:A9),$C$3:$C$6,0))</t>
  </si>
  <si>
    <t xml:space="preserve"> Formula in cell A11: =SMALL($B$3:$B$6,ROWS(A$11:A11))</t>
  </si>
  <si>
    <t xml:space="preserve"> Formula in cell B11: {=INDEX($A$3:$A$6,SMALL(IF($B$3:$B$6=A11,ROW($B$3:$B$6)-ROW($B$3)+1),COUNTIF($A$11:A11,A11)))}</t>
  </si>
  <si>
    <t xml:space="preserve"> &lt; Formula: =COUNTIF($A$3:$A$6,"&lt;"&amp;A3)+COUNTIF($A$3:A3,A3)</t>
  </si>
  <si>
    <t xml:space="preserve"> &lt; Formula: {=MIN(IF($A$3:$A$8=I3,$B$3:$B$8))}</t>
  </si>
  <si>
    <t xml:space="preserve"> &lt; Formula: {=MIN(IF($A$3:$A$8=I4,$B$3:$B$8))}</t>
  </si>
  <si>
    <t xml:space="preserve"> &lt; Formula: {=MIN(IF($A$3:$A$8=I5,$B$3:$B$8))}</t>
  </si>
  <si>
    <t xml:space="preserve"> &lt; Formula: =AGGREGATE(15,6,$B$3:$B$8/($A$3:$A$8=I9),1)</t>
  </si>
  <si>
    <t xml:space="preserve"> &lt; Formula: =AGGREGATE(15,6,$B$3:$B$8/($A$3:$A$8=I10),1)</t>
  </si>
  <si>
    <t xml:space="preserve"> &lt; Formula: =AGGREGATE(15,6,$B$3:$B$8/($A$3:$A$8=I11),1)</t>
  </si>
  <si>
    <t xml:space="preserve"> &lt; =AGGREGATE(15,6,B3:B14/(A3:A14=A17),B17)</t>
  </si>
  <si>
    <t xml:space="preserve"> &lt; {=SMALL(IF($A$3:$A$14=$A$17,$B$3:$B$14),$B$17)}</t>
  </si>
  <si>
    <t xml:space="preserve"> &lt; =B2/12, direct formula input.</t>
  </si>
  <si>
    <t xml:space="preserve"> &lt; =B4*12, direct formula input.</t>
  </si>
  <si>
    <t xml:space="preserve"> &lt; =-PMT(B3,B5,B1).</t>
  </si>
  <si>
    <t xml:space="preserve"> &lt; =B6</t>
  </si>
  <si>
    <t>Formula in E3:
=B3*B4</t>
  </si>
  <si>
    <t>Formula in F3:
=B3*B5</t>
  </si>
  <si>
    <t>Formula in G3:
=E3-F3</t>
  </si>
  <si>
    <t>Formula in H3:
=E3-F3-B6</t>
  </si>
  <si>
    <t>Formula in I3:
=F3+B6</t>
  </si>
  <si>
    <t xml:space="preserve"> &lt; =DMIN(B1:D19,"Units",F1:G2)</t>
  </si>
  <si>
    <t xml:space="preserve"> Formula in cell F8: =H2.</t>
  </si>
  <si>
    <t xml:space="preserve"> &lt; =DGET(A1:C15,G2,E2:F3)</t>
  </si>
  <si>
    <t xml:space="preserve"> Formula in cell E8: =G3.</t>
  </si>
  <si>
    <t xml:space="preserve"> &lt; Formula: =INDEX(LINEST($B$2:$B$12,$A$2:$A$12),ROWS(E$5:E5))</t>
  </si>
  <si>
    <t xml:space="preserve"> &lt; Formula: =INDEX(LINEST($B$2:$B$12,$A$2:$A$12),ROWS(E$5:E6))</t>
  </si>
  <si>
    <t xml:space="preserve"> &lt; {=IF(COUNT(A3:D3),INDEX(A3:D3,MATCH(TRUE,A3:D3&lt;&gt;"",0)),"")}</t>
  </si>
  <si>
    <t xml:space="preserve"> &lt; {=IF(COUNT(A3:D3),INDEX($A$2:$D$2,MATCH(TRUE,A3:D3&lt;&gt;"",0)),"")}</t>
  </si>
  <si>
    <t xml:space="preserve"> &lt; =COUNTIF(INDEX($B$3:$D$9,,MATCH($A$12,$B$2:$D$2)),B12)</t>
  </si>
  <si>
    <t xml:space="preserve"> &lt; {=INDEX(A6:A9,MATCH(MAX(LEN(A6:A9)),LEN(A6:A9),0))}</t>
  </si>
  <si>
    <t xml:space="preserve"> &lt; =AGGREGATE(18,4,B3:B103,E7)</t>
  </si>
  <si>
    <t xml:space="preserve"> &lt; =PERCENTILE.EXC(B3:B103,E7)</t>
  </si>
  <si>
    <t xml:space="preserve"> &lt; =AGGREGATE(18,6,$B$3:$B$103/($A$3:$A$103=D11),E$7)</t>
  </si>
  <si>
    <t xml:space="preserve"> &lt; {=PERCENTILE.EXC(IF($A$3:$A$103=D17,$B$3:$B$103),E$7)}</t>
  </si>
  <si>
    <t xml:space="preserve"> &lt; =SUMPRODUCT(--($C$3:$C$11=C3),--($B$3:$B$11&gt;B3))+1</t>
  </si>
  <si>
    <t>function_num argument for</t>
  </si>
  <si>
    <t>SUBTOTAL function: 101 = Average</t>
  </si>
  <si>
    <t>&lt; This refers up to the cell with the</t>
  </si>
  <si>
    <t>How many characters in the cell?</t>
  </si>
  <si>
    <t>Negation before comparative operators (Order of Precedence in Excel):
MUST use parentheses to force equal sign to calculate before double negative.</t>
  </si>
  <si>
    <r>
      <t xml:space="preserve">Formula in F15: </t>
    </r>
    <r>
      <rPr>
        <b/>
        <sz val="11"/>
        <color theme="1"/>
        <rFont val="Calibri"/>
        <family val="2"/>
        <scheme val="minor"/>
      </rPr>
      <t>=IF(ROWS(F$15:F15)&gt;$A$6,"",INDEX(A$14:A$23,SMALL(RP,ROWS(F$15:F15))))</t>
    </r>
  </si>
</sst>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6" formatCode="&quot;$&quot;#,##0_);[Red]\(&quot;$&quot;#,##0\)"/>
    <numFmt numFmtId="8" formatCode="&quot;$&quot;#,##0.00_);[Red]\(&quot;$&quot;#,##0.00\)"/>
    <numFmt numFmtId="44" formatCode="_(&quot;$&quot;* #,##0.00_);_(&quot;$&quot;* \(#,##0.00\);_(&quot;$&quot;* &quot;-&quot;??_);_(@_)"/>
    <numFmt numFmtId="43" formatCode="_(* #,##0.00_);_(* \(#,##0.00\);_(* &quot;-&quot;??_);_(@_)"/>
    <numFmt numFmtId="164" formatCode="m/d/yy;@"/>
    <numFmt numFmtId="165" formatCode="_(* #,##0_);_(* \(#,##0\);_(* &quot;-&quot;??_);_(@_)"/>
    <numFmt numFmtId="166" formatCode="0.00000000"/>
    <numFmt numFmtId="167" formatCode="&quot;$&quot;0"/>
    <numFmt numFmtId="168" formatCode="&quot;$&quot;0.00"/>
    <numFmt numFmtId="169" formatCode="0.000"/>
    <numFmt numFmtId="170" formatCode="0.0"/>
    <numFmt numFmtId="171" formatCode="#,##0.0"/>
    <numFmt numFmtId="172" formatCode="&quot;$&quot;#,##0"/>
    <numFmt numFmtId="173" formatCode="0.00\&quot;"/>
    <numFmt numFmtId="174" formatCode="&quot;$&quot;#,##0.00"/>
    <numFmt numFmtId="175" formatCode="m/d;@"/>
    <numFmt numFmtId="176" formatCode="0.00000"/>
    <numFmt numFmtId="177" formatCode="0.0000"/>
    <numFmt numFmtId="178" formatCode="[$-F800]dddd\,\ mmmm\ dd\,\ yyyy"/>
    <numFmt numFmtId="179" formatCode="0.0000%"/>
    <numFmt numFmtId="180" formatCode="0.0%"/>
  </numFmts>
  <fonts count="34" x14ac:knownFonts="1">
    <font>
      <sz val="11"/>
      <color theme="1"/>
      <name val="Calibri"/>
      <family val="2"/>
      <scheme val="minor"/>
    </font>
    <font>
      <sz val="11"/>
      <color theme="0"/>
      <name val="Calibri"/>
      <family val="2"/>
      <scheme val="minor"/>
    </font>
    <font>
      <b/>
      <sz val="11"/>
      <color theme="1"/>
      <name val="Calibri"/>
      <family val="2"/>
      <scheme val="minor"/>
    </font>
    <font>
      <sz val="14"/>
      <color theme="1"/>
      <name val="Calibri"/>
      <family val="2"/>
      <scheme val="minor"/>
    </font>
    <font>
      <sz val="10"/>
      <name val="Arial"/>
      <family val="2"/>
    </font>
    <font>
      <b/>
      <sz val="11"/>
      <color theme="0"/>
      <name val="Calibri"/>
      <family val="2"/>
      <scheme val="minor"/>
    </font>
    <font>
      <sz val="13"/>
      <color theme="1"/>
      <name val="Calibri"/>
      <family val="2"/>
      <scheme val="minor"/>
    </font>
    <font>
      <sz val="11"/>
      <color theme="1"/>
      <name val="Calibri"/>
      <family val="2"/>
      <scheme val="minor"/>
    </font>
    <font>
      <sz val="11"/>
      <name val="Calibri"/>
      <family val="2"/>
      <scheme val="minor"/>
    </font>
    <font>
      <b/>
      <sz val="16"/>
      <color theme="1"/>
      <name val="Calibri"/>
      <family val="2"/>
      <scheme val="minor"/>
    </font>
    <font>
      <b/>
      <sz val="12"/>
      <color theme="1"/>
      <name val="Calibri"/>
      <family val="2"/>
      <scheme val="minor"/>
    </font>
    <font>
      <b/>
      <sz val="11"/>
      <color rgb="FFFF0000"/>
      <name val="Calibri"/>
      <family val="2"/>
      <scheme val="minor"/>
    </font>
    <font>
      <sz val="12"/>
      <color theme="1"/>
      <name val="Calibri"/>
      <family val="2"/>
      <scheme val="minor"/>
    </font>
    <font>
      <sz val="12"/>
      <color theme="0"/>
      <name val="Calibri"/>
      <family val="2"/>
      <scheme val="minor"/>
    </font>
    <font>
      <sz val="14"/>
      <color theme="0"/>
      <name val="Calibri"/>
      <family val="2"/>
      <scheme val="minor"/>
    </font>
    <font>
      <b/>
      <sz val="11"/>
      <name val="Calibri"/>
      <family val="2"/>
      <scheme val="minor"/>
    </font>
    <font>
      <sz val="10"/>
      <color rgb="FF333333"/>
      <name val="Tahoma"/>
      <family val="2"/>
    </font>
    <font>
      <b/>
      <sz val="11"/>
      <color rgb="FF000000"/>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1"/>
      <color rgb="FF0000FF"/>
      <name val="Calibri"/>
      <family val="2"/>
      <scheme val="minor"/>
    </font>
    <font>
      <b/>
      <vertAlign val="superscript"/>
      <sz val="11"/>
      <color theme="1"/>
      <name val="Calibri"/>
      <family val="2"/>
      <scheme val="minor"/>
    </font>
    <font>
      <b/>
      <vertAlign val="subscript"/>
      <sz val="11"/>
      <color theme="1"/>
      <name val="Calibri"/>
      <family val="2"/>
      <scheme val="minor"/>
    </font>
    <font>
      <vertAlign val="subscript"/>
      <sz val="11"/>
      <color theme="0"/>
      <name val="Calibri"/>
      <family val="2"/>
      <scheme val="minor"/>
    </font>
    <font>
      <vertAlign val="superscript"/>
      <sz val="11"/>
      <color theme="0"/>
      <name val="Calibri"/>
      <family val="2"/>
      <scheme val="minor"/>
    </font>
    <font>
      <vertAlign val="subscript"/>
      <sz val="11"/>
      <color theme="1"/>
      <name val="Calibri"/>
      <family val="2"/>
      <scheme val="minor"/>
    </font>
    <font>
      <sz val="12"/>
      <color theme="1"/>
      <name val="Wingdings"/>
      <charset val="2"/>
    </font>
    <font>
      <b/>
      <sz val="14"/>
      <color theme="1"/>
      <name val="Calibri"/>
      <family val="2"/>
      <scheme val="minor"/>
    </font>
    <font>
      <sz val="10"/>
      <color theme="0"/>
      <name val="Arial"/>
      <family val="2"/>
    </font>
    <font>
      <b/>
      <vertAlign val="subscript"/>
      <sz val="11"/>
      <color rgb="FF0000FF"/>
      <name val="Calibri"/>
      <family val="2"/>
      <scheme val="minor"/>
    </font>
    <font>
      <b/>
      <sz val="11"/>
      <color rgb="FFFFFFFF"/>
      <name val="Calibri"/>
      <family val="2"/>
    </font>
    <font>
      <b/>
      <i/>
      <u/>
      <sz val="11"/>
      <color theme="1"/>
      <name val="Calibri"/>
      <family val="2"/>
      <scheme val="minor"/>
    </font>
    <font>
      <sz val="9"/>
      <color theme="0"/>
      <name val="Calibri"/>
      <family val="2"/>
      <scheme val="minor"/>
    </font>
  </fonts>
  <fills count="18">
    <fill>
      <patternFill patternType="none"/>
    </fill>
    <fill>
      <patternFill patternType="gray125"/>
    </fill>
    <fill>
      <patternFill patternType="solid">
        <fgColor rgb="FFFFFFCC"/>
        <bgColor indexed="64"/>
      </patternFill>
    </fill>
    <fill>
      <patternFill patternType="solid">
        <fgColor rgb="FF002060"/>
        <bgColor indexed="64"/>
      </patternFill>
    </fill>
    <fill>
      <patternFill patternType="solid">
        <fgColor rgb="FFCCFFCC"/>
        <bgColor indexed="64"/>
      </patternFill>
    </fill>
    <fill>
      <patternFill patternType="solid">
        <fgColor rgb="FFFF0000"/>
        <bgColor indexed="64"/>
      </patternFill>
    </fill>
    <fill>
      <patternFill patternType="solid">
        <fgColor rgb="FF0070C0"/>
        <bgColor indexed="64"/>
      </patternFill>
    </fill>
    <fill>
      <patternFill patternType="solid">
        <fgColor rgb="FFFFFF00"/>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FFC000"/>
        <bgColor indexed="64"/>
      </patternFill>
    </fill>
    <fill>
      <patternFill patternType="solid">
        <fgColor rgb="FF0000FF"/>
        <bgColor indexed="64"/>
      </patternFill>
    </fill>
    <fill>
      <patternFill patternType="solid">
        <fgColor rgb="FFFFFF00"/>
        <bgColor rgb="FF000000"/>
      </patternFill>
    </fill>
    <fill>
      <patternFill patternType="solid">
        <fgColor rgb="FF0000FF"/>
        <bgColor rgb="FF000000"/>
      </patternFill>
    </fill>
    <fill>
      <patternFill patternType="solid">
        <fgColor rgb="FFFFFF99"/>
        <bgColor indexed="64"/>
      </patternFill>
    </fill>
    <fill>
      <patternFill patternType="solid">
        <fgColor rgb="FF002060"/>
        <bgColor rgb="FF000000"/>
      </patternFill>
    </fill>
    <fill>
      <patternFill patternType="solid">
        <fgColor theme="4" tint="0.59999389629810485"/>
        <bgColor theme="4" tint="0.59999389629810485"/>
      </patternFill>
    </fill>
  </fills>
  <borders count="21">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style="thin">
        <color theme="0"/>
      </right>
      <top style="thin">
        <color indexed="64"/>
      </top>
      <bottom style="thick">
        <color theme="0"/>
      </bottom>
      <diagonal/>
    </border>
    <border>
      <left style="thin">
        <color indexed="64"/>
      </left>
      <right style="thin">
        <color indexed="64"/>
      </right>
      <top style="thin">
        <color indexed="64"/>
      </top>
      <bottom style="thick">
        <color theme="0"/>
      </bottom>
      <diagonal/>
    </border>
    <border>
      <left style="thin">
        <color indexed="64"/>
      </left>
      <right style="thin">
        <color theme="0"/>
      </right>
      <top style="thin">
        <color indexed="64"/>
      </top>
      <bottom style="thin">
        <color theme="0"/>
      </bottom>
      <diagonal/>
    </border>
    <border>
      <left style="thin">
        <color indexed="64"/>
      </left>
      <right style="thin">
        <color indexed="64"/>
      </right>
      <top style="thin">
        <color indexed="64"/>
      </top>
      <bottom style="thin">
        <color theme="0"/>
      </bottom>
      <diagonal/>
    </border>
  </borders>
  <cellStyleXfs count="5">
    <xf numFmtId="0" fontId="0" fillId="0" borderId="0"/>
    <xf numFmtId="0" fontId="4" fillId="0" borderId="0"/>
    <xf numFmtId="43" fontId="7" fillId="0" borderId="0" applyFont="0" applyFill="0" applyBorder="0" applyAlignment="0" applyProtection="0"/>
    <xf numFmtId="9" fontId="7" fillId="0" borderId="0" applyFont="0" applyFill="0" applyBorder="0" applyAlignment="0" applyProtection="0"/>
    <xf numFmtId="44" fontId="7" fillId="0" borderId="0" applyFont="0" applyFill="0" applyBorder="0" applyAlignment="0" applyProtection="0"/>
  </cellStyleXfs>
  <cellXfs count="341">
    <xf numFmtId="0" fontId="0" fillId="0" borderId="0" xfId="0"/>
    <xf numFmtId="0" fontId="0" fillId="2" borderId="1" xfId="0" applyFont="1" applyFill="1" applyBorder="1"/>
    <xf numFmtId="0" fontId="0" fillId="2" borderId="2" xfId="0" applyFont="1" applyFill="1" applyBorder="1"/>
    <xf numFmtId="0" fontId="0" fillId="2" borderId="3" xfId="0" applyFont="1" applyFill="1" applyBorder="1"/>
    <xf numFmtId="0" fontId="1" fillId="3" borderId="4" xfId="0" applyFont="1" applyFill="1" applyBorder="1"/>
    <xf numFmtId="0" fontId="0" fillId="0" borderId="5" xfId="0" applyBorder="1"/>
    <xf numFmtId="0" fontId="0" fillId="4" borderId="5" xfId="0" applyFill="1" applyBorder="1"/>
    <xf numFmtId="14" fontId="0" fillId="0" borderId="5" xfId="0" applyNumberFormat="1" applyBorder="1"/>
    <xf numFmtId="0" fontId="1" fillId="3" borderId="5" xfId="0" applyFont="1" applyFill="1" applyBorder="1"/>
    <xf numFmtId="0" fontId="0" fillId="4" borderId="6" xfId="0" applyFill="1" applyBorder="1"/>
    <xf numFmtId="0" fontId="0" fillId="0" borderId="0" xfId="0" applyAlignment="1">
      <alignment horizontal="center" vertical="center" textRotation="180" wrapText="1"/>
    </xf>
    <xf numFmtId="0" fontId="1" fillId="3" borderId="5" xfId="0" applyNumberFormat="1" applyFont="1" applyFill="1" applyBorder="1"/>
    <xf numFmtId="0" fontId="0" fillId="4" borderId="5" xfId="0" applyNumberFormat="1" applyFont="1" applyFill="1" applyBorder="1"/>
    <xf numFmtId="164" fontId="0" fillId="0" borderId="5" xfId="0" applyNumberFormat="1" applyFont="1" applyBorder="1"/>
    <xf numFmtId="0" fontId="0" fillId="0" borderId="5" xfId="0" applyFill="1" applyBorder="1"/>
    <xf numFmtId="164" fontId="0" fillId="4" borderId="5" xfId="0" applyNumberFormat="1" applyFont="1" applyFill="1" applyBorder="1"/>
    <xf numFmtId="0" fontId="1" fillId="5" borderId="7" xfId="0" applyFont="1" applyFill="1" applyBorder="1"/>
    <xf numFmtId="0" fontId="0" fillId="2" borderId="2" xfId="0" applyFill="1" applyBorder="1"/>
    <xf numFmtId="0" fontId="0" fillId="2" borderId="3" xfId="0" applyFill="1" applyBorder="1"/>
    <xf numFmtId="164" fontId="0" fillId="0" borderId="5" xfId="0" applyNumberFormat="1" applyBorder="1"/>
    <xf numFmtId="0" fontId="0" fillId="2" borderId="1" xfId="0" applyFill="1" applyBorder="1"/>
    <xf numFmtId="0" fontId="2" fillId="2" borderId="2" xfId="0" applyFont="1" applyFill="1" applyBorder="1"/>
    <xf numFmtId="0" fontId="2" fillId="2" borderId="3" xfId="0" applyFont="1" applyFill="1" applyBorder="1"/>
    <xf numFmtId="0" fontId="2" fillId="0" borderId="0" xfId="0" applyFont="1"/>
    <xf numFmtId="0" fontId="3" fillId="0" borderId="0" xfId="0" applyFont="1"/>
    <xf numFmtId="0" fontId="1" fillId="3" borderId="0" xfId="0" applyFont="1" applyFill="1"/>
    <xf numFmtId="0" fontId="1" fillId="5" borderId="5" xfId="0" applyFont="1" applyFill="1" applyBorder="1"/>
    <xf numFmtId="0" fontId="0" fillId="4" borderId="5" xfId="0" applyNumberFormat="1" applyFill="1" applyBorder="1"/>
    <xf numFmtId="0" fontId="1" fillId="3" borderId="5" xfId="0" applyFont="1" applyFill="1" applyBorder="1" applyAlignment="1">
      <alignment wrapText="1"/>
    </xf>
    <xf numFmtId="0" fontId="4" fillId="0" borderId="5" xfId="1" applyFont="1" applyBorder="1"/>
    <xf numFmtId="8" fontId="4" fillId="0" borderId="5" xfId="1" applyNumberFormat="1" applyBorder="1"/>
    <xf numFmtId="8" fontId="4" fillId="4" borderId="5" xfId="1" applyNumberFormat="1" applyFill="1" applyBorder="1"/>
    <xf numFmtId="0" fontId="0" fillId="0" borderId="0" xfId="0" applyFill="1" applyBorder="1"/>
    <xf numFmtId="0" fontId="0" fillId="0" borderId="0" xfId="0" pivotButton="1"/>
    <xf numFmtId="0" fontId="0" fillId="0" borderId="0" xfId="0" applyNumberFormat="1"/>
    <xf numFmtId="0" fontId="0" fillId="0" borderId="4" xfId="0" applyBorder="1"/>
    <xf numFmtId="0" fontId="5" fillId="6" borderId="7" xfId="0" applyFont="1" applyFill="1" applyBorder="1" applyAlignment="1">
      <alignment horizontal="centerContinuous" wrapText="1"/>
    </xf>
    <xf numFmtId="0" fontId="1" fillId="6" borderId="8" xfId="0" applyFont="1" applyFill="1" applyBorder="1" applyAlignment="1">
      <alignment horizontal="centerContinuous" wrapText="1"/>
    </xf>
    <xf numFmtId="0" fontId="2" fillId="0" borderId="5" xfId="0" applyFont="1" applyBorder="1"/>
    <xf numFmtId="0" fontId="0" fillId="0" borderId="5" xfId="0" applyFont="1" applyBorder="1"/>
    <xf numFmtId="0" fontId="0" fillId="0" borderId="0" xfId="0" applyAlignment="1">
      <alignment wrapText="1"/>
    </xf>
    <xf numFmtId="0" fontId="6" fillId="0" borderId="0" xfId="0" applyFont="1"/>
    <xf numFmtId="0" fontId="1" fillId="3" borderId="4" xfId="0" applyNumberFormat="1" applyFont="1" applyFill="1" applyBorder="1"/>
    <xf numFmtId="0" fontId="0" fillId="0" borderId="5" xfId="0" applyNumberFormat="1" applyFont="1" applyBorder="1"/>
    <xf numFmtId="0" fontId="1" fillId="3" borderId="4" xfId="0" applyFont="1" applyFill="1" applyBorder="1" applyAlignment="1">
      <alignment wrapText="1"/>
    </xf>
    <xf numFmtId="0" fontId="0" fillId="4" borderId="4" xfId="0" applyNumberFormat="1" applyFont="1" applyFill="1" applyBorder="1"/>
    <xf numFmtId="0" fontId="0" fillId="7" borderId="1" xfId="0" applyFont="1" applyFill="1" applyBorder="1"/>
    <xf numFmtId="0" fontId="0" fillId="7" borderId="3" xfId="0" applyFill="1" applyBorder="1"/>
    <xf numFmtId="2" fontId="0" fillId="0" borderId="5" xfId="0" applyNumberFormat="1" applyBorder="1"/>
    <xf numFmtId="2" fontId="0" fillId="4" borderId="5" xfId="0" applyNumberFormat="1" applyFill="1" applyBorder="1"/>
    <xf numFmtId="0" fontId="0" fillId="0" borderId="0" xfId="0" applyBorder="1"/>
    <xf numFmtId="0" fontId="0" fillId="7" borderId="1" xfId="0" applyFill="1" applyBorder="1"/>
    <xf numFmtId="0" fontId="0" fillId="0" borderId="0" xfId="0" applyFont="1"/>
    <xf numFmtId="0" fontId="0" fillId="4" borderId="5" xfId="0" applyFont="1" applyFill="1" applyBorder="1"/>
    <xf numFmtId="0" fontId="1" fillId="3" borderId="9" xfId="0" applyFont="1" applyFill="1" applyBorder="1" applyAlignment="1">
      <alignment wrapText="1"/>
    </xf>
    <xf numFmtId="165" fontId="0" fillId="0" borderId="5" xfId="2" applyNumberFormat="1" applyFont="1" applyBorder="1"/>
    <xf numFmtId="165" fontId="0" fillId="4" borderId="5" xfId="2" applyNumberFormat="1" applyFont="1" applyFill="1" applyBorder="1"/>
    <xf numFmtId="0" fontId="0" fillId="0" borderId="3" xfId="0" applyBorder="1"/>
    <xf numFmtId="165" fontId="0" fillId="0" borderId="0" xfId="0" applyNumberFormat="1"/>
    <xf numFmtId="0" fontId="8" fillId="7" borderId="5" xfId="0" applyFont="1" applyFill="1" applyBorder="1"/>
    <xf numFmtId="165" fontId="0" fillId="0" borderId="1" xfId="2" applyNumberFormat="1" applyFont="1" applyBorder="1"/>
    <xf numFmtId="0" fontId="1" fillId="3" borderId="8" xfId="0" applyFont="1" applyFill="1" applyBorder="1"/>
    <xf numFmtId="0" fontId="1" fillId="3" borderId="7" xfId="0" applyFont="1" applyFill="1" applyBorder="1"/>
    <xf numFmtId="0" fontId="0" fillId="0" borderId="10" xfId="0" applyBorder="1"/>
    <xf numFmtId="165" fontId="0" fillId="0" borderId="11" xfId="2" applyNumberFormat="1" applyFont="1" applyBorder="1"/>
    <xf numFmtId="165" fontId="0" fillId="0" borderId="11" xfId="0" applyNumberFormat="1" applyFont="1" applyBorder="1"/>
    <xf numFmtId="0" fontId="0" fillId="2" borderId="5" xfId="0" applyFont="1" applyFill="1" applyBorder="1"/>
    <xf numFmtId="0" fontId="0" fillId="2" borderId="5" xfId="0" applyFill="1" applyBorder="1"/>
    <xf numFmtId="0" fontId="4" fillId="0" borderId="0" xfId="1" applyFont="1" applyFill="1" applyBorder="1"/>
    <xf numFmtId="6" fontId="4" fillId="0" borderId="5" xfId="1" applyNumberFormat="1" applyBorder="1"/>
    <xf numFmtId="166" fontId="0" fillId="4" borderId="5" xfId="0" applyNumberFormat="1" applyFont="1" applyFill="1" applyBorder="1"/>
    <xf numFmtId="0" fontId="2" fillId="0" borderId="0" xfId="0" applyFont="1" applyBorder="1"/>
    <xf numFmtId="0" fontId="1" fillId="3" borderId="12" xfId="0" applyFont="1" applyFill="1" applyBorder="1"/>
    <xf numFmtId="0" fontId="0" fillId="7" borderId="5" xfId="0" applyFill="1" applyBorder="1"/>
    <xf numFmtId="0" fontId="2" fillId="8" borderId="5" xfId="0" applyFont="1" applyFill="1" applyBorder="1"/>
    <xf numFmtId="0" fontId="0" fillId="0" borderId="5" xfId="0" applyFont="1" applyFill="1" applyBorder="1"/>
    <xf numFmtId="0" fontId="1" fillId="3" borderId="12" xfId="0" applyFont="1" applyFill="1" applyBorder="1" applyAlignment="1">
      <alignment wrapText="1"/>
    </xf>
    <xf numFmtId="0" fontId="0" fillId="8" borderId="5" xfId="0" applyFill="1" applyBorder="1"/>
    <xf numFmtId="0" fontId="9" fillId="0" borderId="0" xfId="0" applyFont="1"/>
    <xf numFmtId="0" fontId="10" fillId="0" borderId="0" xfId="0" applyFont="1"/>
    <xf numFmtId="0" fontId="0" fillId="7" borderId="0" xfId="0" applyFill="1"/>
    <xf numFmtId="0" fontId="0" fillId="7" borderId="0" xfId="0" applyNumberFormat="1" applyFill="1"/>
    <xf numFmtId="0" fontId="0" fillId="8" borderId="0" xfId="0" applyFill="1"/>
    <xf numFmtId="0" fontId="0" fillId="8" borderId="0" xfId="0" applyNumberFormat="1" applyFill="1"/>
    <xf numFmtId="0" fontId="0" fillId="7" borderId="5" xfId="0" applyFill="1" applyBorder="1" applyAlignment="1">
      <alignment wrapText="1"/>
    </xf>
    <xf numFmtId="8" fontId="0" fillId="4" borderId="5" xfId="0" applyNumberFormat="1" applyFill="1" applyBorder="1"/>
    <xf numFmtId="0" fontId="2" fillId="2" borderId="5" xfId="0" applyFont="1" applyFill="1" applyBorder="1"/>
    <xf numFmtId="0" fontId="2" fillId="9" borderId="5" xfId="0" applyFont="1" applyFill="1" applyBorder="1" applyAlignment="1">
      <alignment horizontal="centerContinuous" wrapText="1"/>
    </xf>
    <xf numFmtId="0" fontId="0" fillId="9" borderId="5" xfId="0" applyFill="1" applyBorder="1" applyAlignment="1">
      <alignment horizontal="centerContinuous" wrapText="1"/>
    </xf>
    <xf numFmtId="0" fontId="2" fillId="10" borderId="5" xfId="0" applyFont="1" applyFill="1" applyBorder="1" applyAlignment="1">
      <alignment wrapText="1"/>
    </xf>
    <xf numFmtId="0" fontId="0" fillId="9" borderId="5" xfId="0" applyFill="1" applyBorder="1"/>
    <xf numFmtId="0" fontId="0" fillId="10" borderId="5" xfId="0" applyFill="1" applyBorder="1"/>
    <xf numFmtId="0" fontId="0" fillId="0" borderId="5" xfId="0" quotePrefix="1" applyBorder="1"/>
    <xf numFmtId="167" fontId="2" fillId="0" borderId="5" xfId="0" applyNumberFormat="1" applyFont="1" applyBorder="1"/>
    <xf numFmtId="168" fontId="2" fillId="0" borderId="5" xfId="0" applyNumberFormat="1" applyFont="1" applyBorder="1"/>
    <xf numFmtId="169" fontId="0" fillId="0" borderId="5" xfId="0" applyNumberFormat="1" applyBorder="1"/>
    <xf numFmtId="0" fontId="12" fillId="0" borderId="0" xfId="0" applyFont="1"/>
    <xf numFmtId="0" fontId="2" fillId="7" borderId="5" xfId="0" applyFont="1" applyFill="1" applyBorder="1"/>
    <xf numFmtId="9" fontId="0" fillId="0" borderId="5" xfId="3" applyNumberFormat="1" applyFont="1" applyBorder="1"/>
    <xf numFmtId="0" fontId="0" fillId="2" borderId="1" xfId="0" applyFill="1" applyBorder="1" applyAlignment="1">
      <alignment horizontal="centerContinuous" wrapText="1"/>
    </xf>
    <xf numFmtId="0" fontId="0" fillId="2" borderId="3" xfId="0" applyFill="1" applyBorder="1" applyAlignment="1">
      <alignment horizontal="centerContinuous" wrapText="1"/>
    </xf>
    <xf numFmtId="0" fontId="2" fillId="0" borderId="5" xfId="0" applyFont="1" applyFill="1" applyBorder="1"/>
    <xf numFmtId="0" fontId="2" fillId="7" borderId="1" xfId="0" applyFont="1" applyFill="1" applyBorder="1"/>
    <xf numFmtId="0" fontId="0" fillId="7" borderId="2" xfId="0" applyFill="1" applyBorder="1"/>
    <xf numFmtId="0" fontId="1" fillId="5" borderId="1" xfId="0" applyFont="1" applyFill="1" applyBorder="1"/>
    <xf numFmtId="0" fontId="1" fillId="5" borderId="3" xfId="0" applyFont="1" applyFill="1" applyBorder="1"/>
    <xf numFmtId="0" fontId="0" fillId="0" borderId="5" xfId="0" applyBorder="1" applyAlignment="1">
      <alignment wrapText="1"/>
    </xf>
    <xf numFmtId="170" fontId="0" fillId="0" borderId="5" xfId="0" applyNumberFormat="1" applyBorder="1"/>
    <xf numFmtId="170" fontId="0" fillId="0" borderId="0" xfId="0" applyNumberFormat="1"/>
    <xf numFmtId="2" fontId="0" fillId="4" borderId="4" xfId="0" applyNumberFormat="1" applyFill="1" applyBorder="1"/>
    <xf numFmtId="0" fontId="1" fillId="3" borderId="2" xfId="0" applyFont="1" applyFill="1" applyBorder="1"/>
    <xf numFmtId="0" fontId="1" fillId="3" borderId="3" xfId="0" applyFont="1" applyFill="1" applyBorder="1"/>
    <xf numFmtId="0" fontId="11" fillId="0" borderId="0" xfId="0" applyFont="1"/>
    <xf numFmtId="0" fontId="0" fillId="0" borderId="5" xfId="0" applyNumberFormat="1" applyBorder="1"/>
    <xf numFmtId="14" fontId="0" fillId="0" borderId="0" xfId="0" applyNumberFormat="1" applyAlignment="1">
      <alignment horizontal="left"/>
    </xf>
    <xf numFmtId="14" fontId="0" fillId="0" borderId="3" xfId="0" applyNumberFormat="1" applyBorder="1"/>
    <xf numFmtId="0" fontId="0" fillId="0" borderId="1" xfId="0" applyBorder="1"/>
    <xf numFmtId="14" fontId="0" fillId="0" borderId="10" xfId="0" applyNumberFormat="1" applyBorder="1"/>
    <xf numFmtId="0" fontId="0" fillId="0" borderId="12" xfId="0" applyBorder="1"/>
    <xf numFmtId="0" fontId="0" fillId="0" borderId="11" xfId="0" applyBorder="1"/>
    <xf numFmtId="3" fontId="0" fillId="0" borderId="5" xfId="0" applyNumberFormat="1" applyBorder="1"/>
    <xf numFmtId="3" fontId="0" fillId="0" borderId="5" xfId="0" applyNumberFormat="1" applyFill="1" applyBorder="1"/>
    <xf numFmtId="0" fontId="0" fillId="5" borderId="3" xfId="0" applyFill="1" applyBorder="1"/>
    <xf numFmtId="3" fontId="0" fillId="4" borderId="5" xfId="0" applyNumberFormat="1" applyFill="1" applyBorder="1"/>
    <xf numFmtId="0" fontId="1" fillId="5" borderId="2" xfId="0" applyFont="1" applyFill="1" applyBorder="1"/>
    <xf numFmtId="171" fontId="0" fillId="4" borderId="5" xfId="0" applyNumberFormat="1" applyFill="1" applyBorder="1"/>
    <xf numFmtId="171" fontId="0" fillId="4" borderId="4" xfId="0" applyNumberFormat="1" applyFill="1" applyBorder="1"/>
    <xf numFmtId="0" fontId="2" fillId="7" borderId="3" xfId="0" applyFont="1" applyFill="1" applyBorder="1" applyAlignment="1">
      <alignment wrapText="1"/>
    </xf>
    <xf numFmtId="3" fontId="0" fillId="4" borderId="4" xfId="0" applyNumberFormat="1" applyFill="1" applyBorder="1"/>
    <xf numFmtId="0" fontId="2" fillId="7" borderId="2" xfId="0" applyFont="1" applyFill="1" applyBorder="1"/>
    <xf numFmtId="0" fontId="2" fillId="7" borderId="3" xfId="0" applyFont="1" applyFill="1" applyBorder="1"/>
    <xf numFmtId="0" fontId="8" fillId="7" borderId="2" xfId="0" applyFont="1" applyFill="1" applyBorder="1"/>
    <xf numFmtId="0" fontId="8" fillId="7" borderId="3" xfId="0" applyFont="1" applyFill="1" applyBorder="1"/>
    <xf numFmtId="0" fontId="15" fillId="7" borderId="1" xfId="0" applyFont="1" applyFill="1" applyBorder="1"/>
    <xf numFmtId="0" fontId="15" fillId="7" borderId="2" xfId="0" applyFont="1" applyFill="1" applyBorder="1"/>
    <xf numFmtId="0" fontId="15" fillId="7" borderId="3" xfId="0" applyFont="1" applyFill="1" applyBorder="1"/>
    <xf numFmtId="0" fontId="0" fillId="4" borderId="4" xfId="0" applyFill="1" applyBorder="1"/>
    <xf numFmtId="0" fontId="1" fillId="3" borderId="4" xfId="0" applyFont="1" applyFill="1" applyBorder="1" applyAlignment="1"/>
    <xf numFmtId="0" fontId="1" fillId="3" borderId="5" xfId="0" applyFont="1" applyFill="1" applyBorder="1" applyAlignment="1"/>
    <xf numFmtId="172" fontId="0" fillId="0" borderId="5" xfId="0" applyNumberFormat="1" applyBorder="1"/>
    <xf numFmtId="14" fontId="0" fillId="4" borderId="5" xfId="0" applyNumberFormat="1" applyFill="1" applyBorder="1"/>
    <xf numFmtId="0" fontId="0" fillId="2" borderId="13" xfId="0" applyFill="1" applyBorder="1"/>
    <xf numFmtId="0" fontId="0" fillId="2" borderId="10" xfId="0" applyFill="1" applyBorder="1"/>
    <xf numFmtId="0" fontId="0" fillId="2" borderId="14" xfId="0" applyFont="1" applyFill="1" applyBorder="1"/>
    <xf numFmtId="0" fontId="0" fillId="2" borderId="0" xfId="0" applyFill="1" applyBorder="1"/>
    <xf numFmtId="0" fontId="0" fillId="2" borderId="15" xfId="0" applyFill="1" applyBorder="1"/>
    <xf numFmtId="0" fontId="0" fillId="2" borderId="7" xfId="0" applyFont="1" applyFill="1" applyBorder="1"/>
    <xf numFmtId="0" fontId="0" fillId="2" borderId="16" xfId="0" applyFill="1" applyBorder="1"/>
    <xf numFmtId="0" fontId="0" fillId="2" borderId="8" xfId="0" applyFill="1" applyBorder="1"/>
    <xf numFmtId="0" fontId="2" fillId="2" borderId="11" xfId="0" applyFont="1" applyFill="1" applyBorder="1"/>
    <xf numFmtId="173" fontId="0" fillId="0" borderId="5" xfId="0" applyNumberFormat="1" applyBorder="1"/>
    <xf numFmtId="8" fontId="0" fillId="0" borderId="5" xfId="0" applyNumberFormat="1" applyBorder="1"/>
    <xf numFmtId="8" fontId="0" fillId="0" borderId="0" xfId="0" applyNumberFormat="1"/>
    <xf numFmtId="0" fontId="1" fillId="3" borderId="14" xfId="0" applyFont="1" applyFill="1" applyBorder="1"/>
    <xf numFmtId="0" fontId="0" fillId="11" borderId="5" xfId="0" applyFill="1" applyBorder="1"/>
    <xf numFmtId="0" fontId="0" fillId="11" borderId="1" xfId="0" applyFill="1" applyBorder="1"/>
    <xf numFmtId="0" fontId="0" fillId="11" borderId="3" xfId="0" applyFill="1" applyBorder="1"/>
    <xf numFmtId="0" fontId="0" fillId="11" borderId="2" xfId="0" applyFill="1" applyBorder="1"/>
    <xf numFmtId="0" fontId="16" fillId="0" borderId="0" xfId="0" applyFont="1"/>
    <xf numFmtId="0" fontId="2" fillId="2" borderId="11" xfId="0" applyFont="1" applyFill="1" applyBorder="1" applyAlignment="1">
      <alignment horizontal="right"/>
    </xf>
    <xf numFmtId="0" fontId="16" fillId="2" borderId="13" xfId="0" applyFont="1" applyFill="1" applyBorder="1"/>
    <xf numFmtId="0" fontId="2" fillId="2" borderId="14" xfId="0" applyFont="1" applyFill="1" applyBorder="1" applyAlignment="1">
      <alignment horizontal="right"/>
    </xf>
    <xf numFmtId="0" fontId="16" fillId="2" borderId="0" xfId="0" applyFont="1" applyFill="1" applyBorder="1"/>
    <xf numFmtId="0" fontId="2" fillId="2" borderId="7" xfId="0" applyFont="1" applyFill="1" applyBorder="1" applyAlignment="1">
      <alignment horizontal="right"/>
    </xf>
    <xf numFmtId="0" fontId="16" fillId="2" borderId="16" xfId="0" applyFont="1" applyFill="1" applyBorder="1"/>
    <xf numFmtId="0" fontId="0" fillId="0" borderId="0" xfId="0" applyAlignment="1">
      <alignment horizontal="left"/>
    </xf>
    <xf numFmtId="164" fontId="0" fillId="0" borderId="0" xfId="0" applyNumberFormat="1" applyFont="1"/>
    <xf numFmtId="0" fontId="17" fillId="0" borderId="0" xfId="0" applyFont="1"/>
    <xf numFmtId="164" fontId="0" fillId="7" borderId="5" xfId="0" applyNumberFormat="1" applyFont="1" applyFill="1" applyBorder="1"/>
    <xf numFmtId="0" fontId="1" fillId="12" borderId="0" xfId="0" applyFont="1" applyFill="1"/>
    <xf numFmtId="164" fontId="18" fillId="13" borderId="5" xfId="0" applyNumberFormat="1" applyFont="1" applyFill="1" applyBorder="1"/>
    <xf numFmtId="0" fontId="19" fillId="14" borderId="0" xfId="0" applyFont="1" applyFill="1"/>
    <xf numFmtId="0" fontId="0" fillId="0" borderId="9" xfId="0" applyFill="1" applyBorder="1"/>
    <xf numFmtId="0" fontId="0" fillId="0" borderId="0" xfId="0" applyAlignment="1">
      <alignment horizontal="left" indent="2"/>
    </xf>
    <xf numFmtId="164" fontId="0" fillId="7" borderId="1" xfId="0" applyNumberFormat="1" applyFont="1" applyFill="1" applyBorder="1"/>
    <xf numFmtId="0" fontId="2" fillId="0" borderId="0" xfId="0" applyFont="1" applyAlignment="1">
      <alignment horizontal="left"/>
    </xf>
    <xf numFmtId="0" fontId="1" fillId="3" borderId="1" xfId="0" applyFont="1" applyFill="1" applyBorder="1"/>
    <xf numFmtId="0" fontId="20" fillId="3" borderId="5" xfId="0" applyFont="1" applyFill="1" applyBorder="1" applyAlignment="1">
      <alignment wrapText="1"/>
    </xf>
    <xf numFmtId="0" fontId="0" fillId="0" borderId="0" xfId="0" applyAlignment="1">
      <alignment horizontal="center"/>
    </xf>
    <xf numFmtId="0" fontId="0" fillId="0" borderId="0" xfId="0" applyFont="1" applyFill="1" applyBorder="1"/>
    <xf numFmtId="0" fontId="1" fillId="3" borderId="1" xfId="0" applyFont="1" applyFill="1" applyBorder="1" applyAlignment="1">
      <alignment wrapText="1"/>
    </xf>
    <xf numFmtId="0" fontId="0" fillId="15" borderId="3" xfId="0" applyFill="1" applyBorder="1" applyAlignment="1">
      <alignment textRotation="180" wrapText="1"/>
    </xf>
    <xf numFmtId="0" fontId="0" fillId="15" borderId="2" xfId="0" applyFill="1" applyBorder="1"/>
    <xf numFmtId="0" fontId="0" fillId="15" borderId="1" xfId="0" applyFill="1" applyBorder="1"/>
    <xf numFmtId="164" fontId="8" fillId="7" borderId="1" xfId="0" applyNumberFormat="1" applyFont="1" applyFill="1" applyBorder="1"/>
    <xf numFmtId="0" fontId="1" fillId="12" borderId="5" xfId="0" applyFont="1" applyFill="1" applyBorder="1"/>
    <xf numFmtId="164" fontId="0" fillId="4" borderId="5" xfId="0" applyNumberFormat="1" applyFill="1" applyBorder="1"/>
    <xf numFmtId="0" fontId="2" fillId="0" borderId="0" xfId="0" applyFont="1" applyAlignment="1">
      <alignment vertical="center"/>
    </xf>
    <xf numFmtId="0" fontId="0" fillId="2" borderId="11" xfId="0" applyFill="1" applyBorder="1"/>
    <xf numFmtId="0" fontId="0" fillId="2" borderId="14" xfId="0" applyFill="1" applyBorder="1"/>
    <xf numFmtId="0" fontId="2" fillId="7" borderId="5" xfId="0" applyFont="1" applyFill="1" applyBorder="1" applyAlignment="1">
      <alignment vertical="center"/>
    </xf>
    <xf numFmtId="0" fontId="0" fillId="2" borderId="7" xfId="0" applyFill="1" applyBorder="1"/>
    <xf numFmtId="174" fontId="0" fillId="0" borderId="5" xfId="0" applyNumberFormat="1" applyBorder="1"/>
    <xf numFmtId="175" fontId="0" fillId="0" borderId="5" xfId="0" applyNumberFormat="1" applyBorder="1"/>
    <xf numFmtId="0" fontId="1" fillId="5" borderId="0" xfId="0" applyFont="1" applyFill="1"/>
    <xf numFmtId="3" fontId="2" fillId="0" borderId="5" xfId="0" applyNumberFormat="1" applyFont="1" applyBorder="1"/>
    <xf numFmtId="0" fontId="1" fillId="12" borderId="9" xfId="0" applyFont="1" applyFill="1" applyBorder="1"/>
    <xf numFmtId="0" fontId="1" fillId="12" borderId="7" xfId="0" applyFont="1" applyFill="1" applyBorder="1" applyAlignment="1">
      <alignment horizontal="centerContinuous"/>
    </xf>
    <xf numFmtId="0" fontId="1" fillId="12" borderId="8" xfId="0" applyFont="1" applyFill="1" applyBorder="1" applyAlignment="1">
      <alignment horizontal="centerContinuous"/>
    </xf>
    <xf numFmtId="0" fontId="1" fillId="12" borderId="2" xfId="0" applyFont="1" applyFill="1" applyBorder="1" applyAlignment="1">
      <alignment horizontal="centerContinuous"/>
    </xf>
    <xf numFmtId="0" fontId="1" fillId="5" borderId="9" xfId="0" applyFont="1" applyFill="1" applyBorder="1"/>
    <xf numFmtId="0" fontId="1" fillId="5" borderId="7" xfId="0" applyFont="1" applyFill="1" applyBorder="1" applyAlignment="1">
      <alignment horizontal="centerContinuous"/>
    </xf>
    <xf numFmtId="0" fontId="1" fillId="5" borderId="2" xfId="0" applyFont="1" applyFill="1" applyBorder="1" applyAlignment="1">
      <alignment horizontal="centerContinuous"/>
    </xf>
    <xf numFmtId="0" fontId="1" fillId="5" borderId="8" xfId="0" applyFont="1" applyFill="1" applyBorder="1" applyAlignment="1">
      <alignment horizontal="centerContinuous"/>
    </xf>
    <xf numFmtId="0" fontId="2" fillId="2" borderId="13" xfId="0" applyFont="1" applyFill="1" applyBorder="1"/>
    <xf numFmtId="0" fontId="2" fillId="2" borderId="10" xfId="0" applyFont="1" applyFill="1" applyBorder="1"/>
    <xf numFmtId="0" fontId="2" fillId="2" borderId="7" xfId="0" applyFont="1" applyFill="1" applyBorder="1"/>
    <xf numFmtId="0" fontId="2" fillId="2" borderId="16" xfId="0" applyFont="1" applyFill="1" applyBorder="1"/>
    <xf numFmtId="0" fontId="2" fillId="2" borderId="8" xfId="0" applyFont="1" applyFill="1" applyBorder="1"/>
    <xf numFmtId="0" fontId="0" fillId="5" borderId="5" xfId="0" applyFill="1" applyBorder="1"/>
    <xf numFmtId="6" fontId="0" fillId="0" borderId="5" xfId="0" applyNumberFormat="1" applyBorder="1"/>
    <xf numFmtId="0" fontId="8" fillId="0" borderId="0" xfId="0" applyFont="1"/>
    <xf numFmtId="0" fontId="21" fillId="0" borderId="5" xfId="0" applyFont="1" applyBorder="1" applyAlignment="1">
      <alignment horizontal="center"/>
    </xf>
    <xf numFmtId="0" fontId="11" fillId="0" borderId="5" xfId="0" applyFont="1" applyBorder="1" applyAlignment="1">
      <alignment horizontal="center"/>
    </xf>
    <xf numFmtId="0" fontId="1" fillId="3" borderId="0" xfId="0" applyFont="1" applyFill="1" applyAlignment="1">
      <alignment wrapText="1"/>
    </xf>
    <xf numFmtId="6" fontId="0" fillId="4" borderId="5" xfId="0" applyNumberFormat="1" applyFill="1" applyBorder="1"/>
    <xf numFmtId="6" fontId="0" fillId="0" borderId="4" xfId="0" applyNumberFormat="1" applyBorder="1"/>
    <xf numFmtId="0" fontId="21" fillId="0" borderId="5" xfId="0" applyFont="1" applyBorder="1"/>
    <xf numFmtId="0" fontId="11" fillId="0" borderId="5" xfId="0" applyFont="1" applyBorder="1"/>
    <xf numFmtId="0" fontId="5" fillId="3" borderId="5" xfId="0" applyFont="1" applyFill="1" applyBorder="1"/>
    <xf numFmtId="0" fontId="0" fillId="0" borderId="0" xfId="0" applyAlignment="1">
      <alignment horizontal="left" indent="4"/>
    </xf>
    <xf numFmtId="0" fontId="0" fillId="0" borderId="0" xfId="0" applyAlignment="1">
      <alignment textRotation="180" wrapText="1"/>
    </xf>
    <xf numFmtId="6" fontId="0" fillId="0" borderId="0" xfId="0" applyNumberFormat="1"/>
    <xf numFmtId="6" fontId="2" fillId="0" borderId="4" xfId="0" applyNumberFormat="1" applyFont="1" applyBorder="1"/>
    <xf numFmtId="0" fontId="0" fillId="0" borderId="3" xfId="0" applyFont="1" applyBorder="1"/>
    <xf numFmtId="0" fontId="21" fillId="0" borderId="12" xfId="0" applyFont="1" applyBorder="1"/>
    <xf numFmtId="0" fontId="2" fillId="0" borderId="2" xfId="0" applyFont="1" applyBorder="1" applyAlignment="1">
      <alignment horizontal="center"/>
    </xf>
    <xf numFmtId="0" fontId="2" fillId="0" borderId="0" xfId="0" applyFont="1" applyAlignment="1">
      <alignment horizontal="center"/>
    </xf>
    <xf numFmtId="0" fontId="5" fillId="5" borderId="5" xfId="0" applyFont="1" applyFill="1" applyBorder="1" applyAlignment="1">
      <alignment horizontal="center"/>
    </xf>
    <xf numFmtId="0" fontId="2" fillId="0" borderId="5" xfId="0" applyFont="1" applyBorder="1" applyAlignment="1">
      <alignment horizontal="center"/>
    </xf>
    <xf numFmtId="0" fontId="5" fillId="12" borderId="5" xfId="0" applyFont="1" applyFill="1" applyBorder="1" applyAlignment="1">
      <alignment horizontal="center"/>
    </xf>
    <xf numFmtId="0" fontId="21" fillId="0" borderId="0" xfId="0" applyFont="1"/>
    <xf numFmtId="1" fontId="0" fillId="0" borderId="0" xfId="0" applyNumberFormat="1"/>
    <xf numFmtId="1" fontId="2" fillId="0" borderId="0" xfId="0" applyNumberFormat="1" applyFont="1"/>
    <xf numFmtId="0" fontId="0" fillId="3" borderId="2" xfId="0" applyFill="1" applyBorder="1"/>
    <xf numFmtId="1" fontId="0" fillId="0" borderId="5" xfId="0" applyNumberFormat="1" applyBorder="1" applyAlignment="1">
      <alignment vertical="center"/>
    </xf>
    <xf numFmtId="1" fontId="0" fillId="0" borderId="5" xfId="0" applyNumberFormat="1" applyFill="1" applyBorder="1" applyAlignment="1">
      <alignment vertical="center"/>
    </xf>
    <xf numFmtId="1" fontId="0" fillId="4" borderId="5" xfId="0" applyNumberFormat="1" applyFill="1" applyBorder="1" applyAlignment="1">
      <alignment vertical="center"/>
    </xf>
    <xf numFmtId="176" fontId="0" fillId="4" borderId="5" xfId="0" applyNumberFormat="1" applyFill="1" applyBorder="1"/>
    <xf numFmtId="177" fontId="0" fillId="4" borderId="5" xfId="0" applyNumberFormat="1" applyFill="1" applyBorder="1"/>
    <xf numFmtId="177" fontId="0" fillId="4" borderId="4" xfId="0" applyNumberFormat="1" applyFill="1" applyBorder="1"/>
    <xf numFmtId="0" fontId="27" fillId="0" borderId="0" xfId="0" applyFont="1"/>
    <xf numFmtId="0" fontId="0" fillId="0" borderId="9" xfId="0" applyBorder="1"/>
    <xf numFmtId="0" fontId="0" fillId="0" borderId="5" xfId="0" applyBorder="1" applyAlignment="1">
      <alignment horizontal="center" vertical="center"/>
    </xf>
    <xf numFmtId="0" fontId="2" fillId="0" borderId="5" xfId="0" applyFont="1" applyBorder="1" applyAlignment="1">
      <alignment horizontal="center" vertical="center"/>
    </xf>
    <xf numFmtId="0" fontId="11" fillId="0" borderId="5" xfId="0" applyFont="1" applyBorder="1" applyAlignment="1">
      <alignment horizontal="center" vertical="center"/>
    </xf>
    <xf numFmtId="0" fontId="0" fillId="12" borderId="9" xfId="0" applyFill="1" applyBorder="1"/>
    <xf numFmtId="0" fontId="0" fillId="12" borderId="2" xfId="0" applyFill="1" applyBorder="1" applyAlignment="1">
      <alignment horizontal="centerContinuous"/>
    </xf>
    <xf numFmtId="0" fontId="0" fillId="12" borderId="8" xfId="0" applyFill="1" applyBorder="1" applyAlignment="1">
      <alignment horizontal="centerContinuous"/>
    </xf>
    <xf numFmtId="0" fontId="0" fillId="0" borderId="1" xfId="0" applyBorder="1" applyAlignment="1">
      <alignment horizontal="center" vertical="center"/>
    </xf>
    <xf numFmtId="0" fontId="0" fillId="5" borderId="9" xfId="0" applyFill="1" applyBorder="1"/>
    <xf numFmtId="0" fontId="5" fillId="5" borderId="12" xfId="0" applyFont="1" applyFill="1" applyBorder="1" applyAlignment="1">
      <alignment horizontal="center" vertical="center"/>
    </xf>
    <xf numFmtId="0" fontId="5" fillId="12" borderId="12" xfId="0" applyFont="1" applyFill="1" applyBorder="1" applyAlignment="1">
      <alignment horizontal="center" vertical="center"/>
    </xf>
    <xf numFmtId="0" fontId="0" fillId="12" borderId="9" xfId="0" applyFill="1" applyBorder="1" applyAlignment="1">
      <alignment horizontal="center" vertical="center"/>
    </xf>
    <xf numFmtId="0" fontId="1" fillId="5" borderId="7" xfId="0" applyFont="1" applyFill="1" applyBorder="1" applyAlignment="1">
      <alignment horizontal="centerContinuous" wrapText="1"/>
    </xf>
    <xf numFmtId="0" fontId="1" fillId="5" borderId="8" xfId="0" applyFont="1" applyFill="1" applyBorder="1" applyAlignment="1">
      <alignment horizontal="centerContinuous" wrapText="1"/>
    </xf>
    <xf numFmtId="0" fontId="1" fillId="5" borderId="2" xfId="0" applyFont="1" applyFill="1" applyBorder="1" applyAlignment="1">
      <alignment horizontal="centerContinuous" wrapText="1"/>
    </xf>
    <xf numFmtId="0" fontId="0" fillId="0" borderId="2" xfId="0" applyBorder="1" applyAlignment="1">
      <alignment horizontal="center"/>
    </xf>
    <xf numFmtId="0" fontId="0" fillId="0" borderId="13" xfId="0" applyBorder="1"/>
    <xf numFmtId="0" fontId="0" fillId="0" borderId="14" xfId="0" applyBorder="1"/>
    <xf numFmtId="0" fontId="0" fillId="0" borderId="15" xfId="0" applyBorder="1"/>
    <xf numFmtId="0" fontId="0" fillId="0" borderId="7" xfId="0" applyBorder="1"/>
    <xf numFmtId="0" fontId="0" fillId="0" borderId="16" xfId="0" applyBorder="1"/>
    <xf numFmtId="0" fontId="0" fillId="0" borderId="8" xfId="0" applyBorder="1"/>
    <xf numFmtId="0" fontId="2" fillId="0" borderId="11" xfId="0" applyFont="1" applyBorder="1"/>
    <xf numFmtId="0" fontId="0" fillId="0" borderId="13" xfId="0" applyFont="1" applyBorder="1"/>
    <xf numFmtId="0" fontId="2" fillId="0" borderId="13" xfId="0" applyFont="1" applyBorder="1"/>
    <xf numFmtId="0" fontId="0" fillId="0" borderId="0" xfId="0" applyFont="1" applyBorder="1"/>
    <xf numFmtId="0" fontId="11" fillId="0" borderId="0" xfId="0" applyFont="1" applyBorder="1" applyAlignment="1">
      <alignment horizontal="center" vertical="center"/>
    </xf>
    <xf numFmtId="0" fontId="0" fillId="0" borderId="0" xfId="0" applyBorder="1" applyAlignment="1">
      <alignment horizontal="center" vertical="center"/>
    </xf>
    <xf numFmtId="0" fontId="21" fillId="0" borderId="0" xfId="0" applyFont="1" applyBorder="1" applyAlignment="1">
      <alignment horizontal="center" vertical="center"/>
    </xf>
    <xf numFmtId="0" fontId="0" fillId="0" borderId="0" xfId="0" quotePrefix="1" applyBorder="1"/>
    <xf numFmtId="0" fontId="11" fillId="0" borderId="15" xfId="0" applyFont="1" applyBorder="1" applyAlignment="1">
      <alignment horizontal="center" vertical="center"/>
    </xf>
    <xf numFmtId="0" fontId="21" fillId="0" borderId="0" xfId="0" applyFont="1" applyBorder="1" applyAlignment="1">
      <alignment horizontal="center"/>
    </xf>
    <xf numFmtId="0" fontId="0" fillId="0" borderId="0" xfId="0" applyBorder="1" applyAlignment="1">
      <alignment horizontal="center"/>
    </xf>
    <xf numFmtId="0" fontId="11" fillId="0" borderId="0" xfId="0" applyFont="1" applyBorder="1" applyAlignment="1">
      <alignment horizontal="center"/>
    </xf>
    <xf numFmtId="0" fontId="0" fillId="0" borderId="5" xfId="0" applyBorder="1" applyAlignment="1">
      <alignment horizontal="right"/>
    </xf>
    <xf numFmtId="0" fontId="28" fillId="0" borderId="0" xfId="0" applyFont="1"/>
    <xf numFmtId="178" fontId="0" fillId="0" borderId="0" xfId="0" applyNumberFormat="1"/>
    <xf numFmtId="175" fontId="0" fillId="4" borderId="5" xfId="0" applyNumberFormat="1" applyFill="1" applyBorder="1"/>
    <xf numFmtId="0" fontId="0" fillId="0" borderId="0" xfId="0" applyAlignment="1">
      <alignment horizontal="left" indent="3"/>
    </xf>
    <xf numFmtId="0" fontId="0" fillId="0" borderId="0" xfId="0" applyAlignment="1">
      <alignment horizontal="left" indent="6"/>
    </xf>
    <xf numFmtId="0" fontId="2" fillId="0" borderId="0" xfId="0" applyFont="1" applyAlignment="1">
      <alignment horizontal="left" indent="12"/>
    </xf>
    <xf numFmtId="0" fontId="2" fillId="0" borderId="0" xfId="0" applyFont="1" applyAlignment="1">
      <alignment horizontal="left" indent="3"/>
    </xf>
    <xf numFmtId="0" fontId="11" fillId="0" borderId="12" xfId="0" applyFont="1" applyBorder="1"/>
    <xf numFmtId="0" fontId="2" fillId="0" borderId="13" xfId="0" applyFont="1" applyBorder="1" applyAlignment="1">
      <alignment horizontal="center"/>
    </xf>
    <xf numFmtId="0" fontId="2" fillId="0" borderId="12" xfId="0" applyFont="1" applyBorder="1"/>
    <xf numFmtId="0" fontId="2" fillId="0" borderId="9" xfId="0" applyFont="1" applyBorder="1" applyAlignment="1">
      <alignment horizontal="center"/>
    </xf>
    <xf numFmtId="0" fontId="2" fillId="0" borderId="0" xfId="0" applyFont="1" applyBorder="1" applyAlignment="1">
      <alignment horizontal="center"/>
    </xf>
    <xf numFmtId="0" fontId="5" fillId="5" borderId="12" xfId="0" applyFont="1" applyFill="1" applyBorder="1" applyAlignment="1">
      <alignment horizontal="center"/>
    </xf>
    <xf numFmtId="0" fontId="5" fillId="12" borderId="12" xfId="0" applyFont="1" applyFill="1" applyBorder="1" applyAlignment="1">
      <alignment horizontal="center"/>
    </xf>
    <xf numFmtId="0" fontId="2" fillId="2" borderId="1" xfId="0" applyFont="1" applyFill="1" applyBorder="1"/>
    <xf numFmtId="179" fontId="7" fillId="4" borderId="5" xfId="3" applyNumberFormat="1" applyFont="1" applyFill="1" applyBorder="1"/>
    <xf numFmtId="8" fontId="7" fillId="4" borderId="5" xfId="4" applyNumberFormat="1" applyFont="1" applyFill="1" applyBorder="1"/>
    <xf numFmtId="10" fontId="0" fillId="0" borderId="5" xfId="0" applyNumberFormat="1" applyBorder="1"/>
    <xf numFmtId="180" fontId="0" fillId="0" borderId="5" xfId="3" applyNumberFormat="1" applyFont="1" applyBorder="1"/>
    <xf numFmtId="8" fontId="0" fillId="0" borderId="5" xfId="0" applyNumberFormat="1" applyFill="1" applyBorder="1"/>
    <xf numFmtId="8" fontId="2" fillId="0" borderId="5" xfId="0" applyNumberFormat="1" applyFont="1" applyBorder="1"/>
    <xf numFmtId="0" fontId="0" fillId="5" borderId="8" xfId="0" applyFill="1" applyBorder="1"/>
    <xf numFmtId="0" fontId="0" fillId="5" borderId="2" xfId="0" applyFill="1" applyBorder="1"/>
    <xf numFmtId="0" fontId="4" fillId="0" borderId="5" xfId="1" applyBorder="1"/>
    <xf numFmtId="0" fontId="7" fillId="0" borderId="5" xfId="2" applyNumberFormat="1" applyFont="1" applyBorder="1"/>
    <xf numFmtId="0" fontId="0" fillId="0" borderId="0" xfId="0" applyAlignment="1">
      <alignment horizontal="left" indent="1"/>
    </xf>
    <xf numFmtId="0" fontId="2" fillId="0" borderId="0" xfId="0" applyFont="1" applyAlignment="1">
      <alignment wrapText="1"/>
    </xf>
    <xf numFmtId="0" fontId="29" fillId="3" borderId="5" xfId="1" applyFont="1" applyFill="1" applyBorder="1"/>
    <xf numFmtId="172" fontId="0" fillId="4" borderId="5" xfId="0" applyNumberFormat="1" applyFill="1" applyBorder="1"/>
    <xf numFmtId="172" fontId="0" fillId="0" borderId="5" xfId="0" applyNumberFormat="1" applyFill="1" applyBorder="1"/>
    <xf numFmtId="0" fontId="0" fillId="4" borderId="12" xfId="0" applyFill="1" applyBorder="1"/>
    <xf numFmtId="0" fontId="0" fillId="5" borderId="12" xfId="0" applyFill="1" applyBorder="1"/>
    <xf numFmtId="0" fontId="0" fillId="5" borderId="4" xfId="0" applyFill="1" applyBorder="1"/>
    <xf numFmtId="0" fontId="1" fillId="5" borderId="11" xfId="0" applyFont="1" applyFill="1" applyBorder="1"/>
    <xf numFmtId="0" fontId="1" fillId="5" borderId="8" xfId="0" applyFont="1" applyFill="1" applyBorder="1"/>
    <xf numFmtId="175" fontId="0" fillId="0" borderId="5" xfId="0" applyNumberFormat="1" applyFont="1" applyBorder="1"/>
    <xf numFmtId="0" fontId="5" fillId="6" borderId="16" xfId="0" applyFont="1" applyFill="1" applyBorder="1" applyAlignment="1">
      <alignment horizontal="centerContinuous" wrapText="1"/>
    </xf>
    <xf numFmtId="0" fontId="21" fillId="0" borderId="0" xfId="0" applyFont="1" applyFill="1" applyBorder="1" applyAlignment="1">
      <alignment horizontal="right"/>
    </xf>
    <xf numFmtId="0" fontId="21" fillId="0" borderId="0" xfId="0" applyFont="1" applyAlignment="1">
      <alignment horizontal="right"/>
    </xf>
    <xf numFmtId="0" fontId="11" fillId="0" borderId="0" xfId="0" applyFont="1" applyAlignment="1">
      <alignment horizontal="right"/>
    </xf>
    <xf numFmtId="0" fontId="0" fillId="0" borderId="0" xfId="0" applyAlignment="1">
      <alignment horizontal="left" indent="7"/>
    </xf>
    <xf numFmtId="0" fontId="18" fillId="0" borderId="0" xfId="0" applyFont="1"/>
    <xf numFmtId="0" fontId="2" fillId="0" borderId="0" xfId="0" applyFont="1" applyAlignment="1">
      <alignment horizontal="left" indent="8"/>
    </xf>
    <xf numFmtId="0" fontId="2" fillId="0" borderId="0" xfId="0" applyFont="1" applyFill="1" applyBorder="1"/>
    <xf numFmtId="175" fontId="1" fillId="3" borderId="4" xfId="0" applyNumberFormat="1" applyFont="1" applyFill="1" applyBorder="1"/>
    <xf numFmtId="0" fontId="2" fillId="0" borderId="0" xfId="0" applyFont="1" applyAlignment="1">
      <alignment horizontal="left" indent="2"/>
    </xf>
    <xf numFmtId="0" fontId="31" fillId="16" borderId="17" xfId="0" applyFont="1" applyFill="1" applyBorder="1"/>
    <xf numFmtId="0" fontId="31" fillId="16" borderId="18" xfId="0" applyFont="1" applyFill="1" applyBorder="1"/>
    <xf numFmtId="0" fontId="31" fillId="16" borderId="5" xfId="0" applyFont="1" applyFill="1" applyBorder="1" applyAlignment="1">
      <alignment wrapText="1"/>
    </xf>
    <xf numFmtId="0" fontId="0" fillId="17" borderId="19" xfId="0" applyFont="1" applyFill="1" applyBorder="1"/>
    <xf numFmtId="0" fontId="0" fillId="17" borderId="20" xfId="0" applyNumberFormat="1" applyFont="1" applyFill="1" applyBorder="1"/>
    <xf numFmtId="0" fontId="1" fillId="5" borderId="5" xfId="0" applyFont="1" applyFill="1" applyBorder="1" applyAlignment="1">
      <alignment wrapText="1"/>
    </xf>
    <xf numFmtId="9" fontId="0" fillId="0" borderId="5" xfId="0" applyNumberFormat="1" applyBorder="1"/>
    <xf numFmtId="0" fontId="0" fillId="7" borderId="5" xfId="0" applyFont="1" applyFill="1" applyBorder="1"/>
    <xf numFmtId="49" fontId="0" fillId="0" borderId="5" xfId="0" applyNumberFormat="1" applyBorder="1"/>
    <xf numFmtId="0" fontId="32" fillId="0" borderId="0" xfId="0" applyFont="1"/>
    <xf numFmtId="0" fontId="33" fillId="3" borderId="5" xfId="0" applyFont="1" applyFill="1" applyBorder="1"/>
    <xf numFmtId="170" fontId="0" fillId="4" borderId="5" xfId="0" applyNumberFormat="1" applyFill="1" applyBorder="1"/>
    <xf numFmtId="0" fontId="0" fillId="0" borderId="1" xfId="0" applyBorder="1" applyAlignment="1">
      <alignment horizontal="left" wrapText="1"/>
    </xf>
    <xf numFmtId="0" fontId="0" fillId="0" borderId="2" xfId="0" applyBorder="1" applyAlignment="1">
      <alignment horizontal="left" wrapText="1"/>
    </xf>
    <xf numFmtId="0" fontId="0" fillId="0" borderId="3" xfId="0" applyBorder="1" applyAlignment="1">
      <alignment horizontal="left" wrapText="1"/>
    </xf>
    <xf numFmtId="1" fontId="0" fillId="0" borderId="9" xfId="0" quotePrefix="1" applyNumberFormat="1" applyBorder="1" applyAlignment="1">
      <alignment horizontal="center" vertical="center"/>
    </xf>
    <xf numFmtId="1" fontId="0" fillId="0" borderId="9" xfId="0" applyNumberFormat="1" applyBorder="1" applyAlignment="1">
      <alignment horizontal="center" vertical="center"/>
    </xf>
    <xf numFmtId="0" fontId="2" fillId="0" borderId="0" xfId="0" applyFont="1" applyAlignment="1">
      <alignment horizontal="left" wrapText="1"/>
    </xf>
  </cellXfs>
  <cellStyles count="5">
    <cellStyle name="Comma" xfId="2" builtinId="3"/>
    <cellStyle name="Currency" xfId="4" builtinId="4"/>
    <cellStyle name="Normal" xfId="0" builtinId="0"/>
    <cellStyle name="Normal 2" xfId="1"/>
    <cellStyle name="Percent" xfId="3" builtinId="5"/>
  </cellStyles>
  <dxfs count="43">
    <dxf>
      <fill>
        <patternFill>
          <bgColor rgb="FFFFFF00"/>
        </patternFill>
      </fill>
    </dxf>
    <dxf>
      <fill>
        <patternFill>
          <bgColor rgb="FFFFFF00"/>
        </patternFill>
      </fill>
    </dxf>
    <dxf>
      <fill>
        <patternFill>
          <bgColor rgb="FFFFFF00"/>
        </patternFill>
      </fill>
    </dxf>
    <dxf>
      <alignment wrapText="1" readingOrder="0"/>
    </dxf>
    <dxf>
      <fill>
        <patternFill>
          <bgColor rgb="FFFFFF00"/>
        </patternFill>
      </fill>
    </dxf>
    <dxf>
      <fill>
        <patternFill>
          <bgColor rgb="FFFFFF00"/>
        </patternFill>
      </fill>
    </dxf>
    <dxf>
      <fill>
        <patternFill>
          <bgColor rgb="FFFFFF00"/>
        </patternFill>
      </fill>
    </dxf>
    <dxf>
      <fill>
        <patternFill>
          <bgColor rgb="FFFFFF00"/>
        </patternFill>
      </fill>
    </dxf>
    <dxf>
      <border diagonalUp="0" diagonalDown="0" outline="0">
        <left style="thin">
          <color indexed="64"/>
        </left>
        <right/>
        <top style="thin">
          <color indexed="64"/>
        </top>
        <bottom/>
      </border>
    </dxf>
    <dxf>
      <border diagonalUp="0" diagonalDown="0">
        <left style="thin">
          <color indexed="64"/>
        </left>
        <right/>
        <top style="thin">
          <color indexed="64"/>
        </top>
        <bottom style="thin">
          <color indexed="64"/>
        </bottom>
        <vertical/>
        <horizontal/>
      </border>
    </dxf>
    <dxf>
      <border diagonalUp="0" diagonalDown="0" outline="0">
        <left style="thin">
          <color indexed="64"/>
        </left>
        <right style="thin">
          <color indexed="64"/>
        </right>
        <top style="thin">
          <color indexed="64"/>
        </top>
        <bottom/>
      </border>
    </dxf>
    <dxf>
      <border diagonalUp="0" diagonalDown="0">
        <left style="thin">
          <color indexed="64"/>
        </left>
        <right style="thin">
          <color indexed="64"/>
        </right>
        <top style="thin">
          <color indexed="64"/>
        </top>
        <bottom style="thin">
          <color indexed="64"/>
        </bottom>
        <vertical/>
        <horizontal/>
      </border>
    </dxf>
    <dxf>
      <border diagonalUp="0" diagonalDown="0" outline="0">
        <left style="thin">
          <color indexed="64"/>
        </left>
        <right style="thin">
          <color indexed="64"/>
        </right>
        <top style="thin">
          <color indexed="64"/>
        </top>
        <bottom/>
      </border>
    </dxf>
    <dxf>
      <border diagonalUp="0" diagonalDown="0">
        <left style="thin">
          <color indexed="64"/>
        </left>
        <right style="thin">
          <color indexed="64"/>
        </right>
        <top style="thin">
          <color indexed="64"/>
        </top>
        <bottom style="thin">
          <color indexed="64"/>
        </bottom>
        <vertical/>
        <horizontal/>
      </border>
    </dxf>
    <dxf>
      <numFmt numFmtId="19" formatCode="m/d/yyyy"/>
      <border diagonalUp="0" diagonalDown="0" outline="0">
        <left/>
        <right style="thin">
          <color indexed="64"/>
        </right>
        <top style="thin">
          <color indexed="64"/>
        </top>
        <bottom/>
      </border>
    </dxf>
    <dxf>
      <numFmt numFmtId="19" formatCode="m/d/yy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scheme val="minor"/>
      </font>
      <fill>
        <patternFill patternType="solid">
          <fgColor indexed="64"/>
          <bgColor rgb="FF002060"/>
        </patternFill>
      </fill>
      <border diagonalUp="0" diagonalDown="0" outline="0">
        <left style="thin">
          <color indexed="64"/>
        </left>
        <right style="thin">
          <color indexed="64"/>
        </right>
        <top/>
        <bottom/>
      </border>
    </dxf>
    <dxf>
      <fill>
        <patternFill patternType="solid">
          <bgColor theme="5" tint="0.79998168889431442"/>
        </patternFill>
      </fill>
    </dxf>
    <dxf>
      <fill>
        <patternFill patternType="solid">
          <bgColor theme="5" tint="0.79998168889431442"/>
        </patternFill>
      </fill>
    </dxf>
    <dxf>
      <fill>
        <patternFill patternType="solid">
          <bgColor rgb="FFFFFF00"/>
        </patternFill>
      </fill>
    </dxf>
    <dxf>
      <fill>
        <patternFill patternType="solid">
          <bgColor rgb="FFFFFF00"/>
        </patternFill>
      </fill>
    </dxf>
    <dxf>
      <font>
        <b val="0"/>
        <i val="0"/>
        <strike val="0"/>
        <condense val="0"/>
        <extend val="0"/>
        <outline val="0"/>
        <shadow val="0"/>
        <u val="none"/>
        <vertAlign val="baseline"/>
        <sz val="11"/>
        <color theme="1"/>
        <name val="Calibri"/>
        <scheme val="minor"/>
      </font>
      <numFmt numFmtId="165" formatCode="_(* #,##0_);_(* \(#,##0\);_(* &quot;-&quot;??_);_(@_)"/>
      <border diagonalUp="0" diagonalDown="0" outline="0">
        <left style="thin">
          <color indexed="64"/>
        </left>
        <right/>
        <top style="thin">
          <color indexed="64"/>
        </top>
        <bottom/>
      </border>
    </dxf>
    <dxf>
      <font>
        <b val="0"/>
        <i val="0"/>
        <strike val="0"/>
        <condense val="0"/>
        <extend val="0"/>
        <outline val="0"/>
        <shadow val="0"/>
        <u val="none"/>
        <vertAlign val="baseline"/>
        <sz val="11"/>
        <color theme="1"/>
        <name val="Calibri"/>
        <scheme val="minor"/>
      </font>
      <numFmt numFmtId="165" formatCode="_(* #,##0_);_(* \(#,##0\);_(* &quot;-&quot;??_);_(@_)"/>
      <border diagonalUp="0" diagonalDown="0">
        <left style="thin">
          <color indexed="64"/>
        </left>
        <right/>
        <top style="thin">
          <color indexed="64"/>
        </top>
        <bottom style="thin">
          <color indexed="64"/>
        </bottom>
        <vertical/>
        <horizontal/>
      </border>
    </dxf>
    <dxf>
      <border diagonalUp="0" diagonalDown="0" outline="0">
        <left/>
        <right style="thin">
          <color indexed="64"/>
        </right>
        <top style="thin">
          <color indexed="64"/>
        </top>
        <bottom/>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scheme val="minor"/>
      </font>
      <fill>
        <patternFill patternType="solid">
          <fgColor indexed="64"/>
          <bgColor rgb="FF002060"/>
        </patternFill>
      </fill>
      <border diagonalUp="0" diagonalDown="0" outline="0">
        <left style="thin">
          <color indexed="64"/>
        </left>
        <right style="thin">
          <color indexed="64"/>
        </right>
        <top/>
        <bottom/>
      </border>
    </dxf>
    <dxf>
      <fill>
        <patternFill>
          <bgColor rgb="FFFFFF99"/>
        </patternFill>
      </fill>
    </dxf>
    <dxf>
      <fill>
        <patternFill>
          <bgColor rgb="FFFFFF99"/>
        </patternFill>
      </fill>
    </dxf>
    <dxf>
      <fill>
        <patternFill>
          <bgColor rgb="FFFFFF99"/>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FFCC"/>
      <color rgb="FF0000FF"/>
      <color rgb="FFCCFFCC"/>
      <color rgb="FFCCFF66"/>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63" Type="http://schemas.openxmlformats.org/officeDocument/2006/relationships/worksheet" Target="worksheets/sheet63.xml"/><Relationship Id="rId159" Type="http://schemas.openxmlformats.org/officeDocument/2006/relationships/worksheet" Target="worksheets/sheet159.xml"/><Relationship Id="rId170" Type="http://schemas.openxmlformats.org/officeDocument/2006/relationships/worksheet" Target="worksheets/sheet170.xml"/><Relationship Id="rId226" Type="http://schemas.openxmlformats.org/officeDocument/2006/relationships/worksheet" Target="worksheets/sheet226.xml"/><Relationship Id="rId268" Type="http://schemas.openxmlformats.org/officeDocument/2006/relationships/worksheet" Target="worksheets/sheet268.xml"/><Relationship Id="rId32" Type="http://schemas.openxmlformats.org/officeDocument/2006/relationships/worksheet" Target="worksheets/sheet32.xml"/><Relationship Id="rId74" Type="http://schemas.openxmlformats.org/officeDocument/2006/relationships/worksheet" Target="worksheets/sheet74.xml"/><Relationship Id="rId128" Type="http://schemas.openxmlformats.org/officeDocument/2006/relationships/worksheet" Target="worksheets/sheet128.xml"/><Relationship Id="rId5" Type="http://schemas.openxmlformats.org/officeDocument/2006/relationships/worksheet" Target="worksheets/sheet5.xml"/><Relationship Id="rId181" Type="http://schemas.openxmlformats.org/officeDocument/2006/relationships/worksheet" Target="worksheets/sheet181.xml"/><Relationship Id="rId237" Type="http://schemas.openxmlformats.org/officeDocument/2006/relationships/worksheet" Target="worksheets/sheet237.xml"/><Relationship Id="rId279" Type="http://schemas.openxmlformats.org/officeDocument/2006/relationships/pivotCacheDefinition" Target="pivotCache/pivotCacheDefinition6.xml"/><Relationship Id="rId43" Type="http://schemas.openxmlformats.org/officeDocument/2006/relationships/worksheet" Target="worksheets/sheet43.xml"/><Relationship Id="rId139" Type="http://schemas.openxmlformats.org/officeDocument/2006/relationships/worksheet" Target="worksheets/sheet139.xml"/><Relationship Id="rId85" Type="http://schemas.openxmlformats.org/officeDocument/2006/relationships/worksheet" Target="worksheets/sheet85.xml"/><Relationship Id="rId150" Type="http://schemas.openxmlformats.org/officeDocument/2006/relationships/worksheet" Target="worksheets/sheet150.xml"/><Relationship Id="rId171" Type="http://schemas.openxmlformats.org/officeDocument/2006/relationships/worksheet" Target="worksheets/sheet171.xml"/><Relationship Id="rId192" Type="http://schemas.openxmlformats.org/officeDocument/2006/relationships/worksheet" Target="worksheets/sheet192.xml"/><Relationship Id="rId206" Type="http://schemas.openxmlformats.org/officeDocument/2006/relationships/worksheet" Target="worksheets/sheet206.xml"/><Relationship Id="rId227" Type="http://schemas.openxmlformats.org/officeDocument/2006/relationships/worksheet" Target="worksheets/sheet227.xml"/><Relationship Id="rId248" Type="http://schemas.openxmlformats.org/officeDocument/2006/relationships/worksheet" Target="worksheets/sheet248.xml"/><Relationship Id="rId269" Type="http://schemas.openxmlformats.org/officeDocument/2006/relationships/worksheet" Target="worksheets/sheet269.xml"/><Relationship Id="rId12" Type="http://schemas.openxmlformats.org/officeDocument/2006/relationships/worksheet" Target="worksheets/sheet12.xml"/><Relationship Id="rId33" Type="http://schemas.openxmlformats.org/officeDocument/2006/relationships/worksheet" Target="worksheets/sheet33.xml"/><Relationship Id="rId108" Type="http://schemas.openxmlformats.org/officeDocument/2006/relationships/worksheet" Target="worksheets/sheet108.xml"/><Relationship Id="rId129" Type="http://schemas.openxmlformats.org/officeDocument/2006/relationships/worksheet" Target="worksheets/sheet129.xml"/><Relationship Id="rId280" Type="http://schemas.openxmlformats.org/officeDocument/2006/relationships/pivotCacheDefinition" Target="pivotCache/pivotCacheDefinition7.xml"/><Relationship Id="rId54" Type="http://schemas.openxmlformats.org/officeDocument/2006/relationships/worksheet" Target="worksheets/sheet54.xml"/><Relationship Id="rId75" Type="http://schemas.openxmlformats.org/officeDocument/2006/relationships/worksheet" Target="worksheets/sheet75.xml"/><Relationship Id="rId96" Type="http://schemas.openxmlformats.org/officeDocument/2006/relationships/worksheet" Target="worksheets/sheet96.xml"/><Relationship Id="rId140" Type="http://schemas.openxmlformats.org/officeDocument/2006/relationships/worksheet" Target="worksheets/sheet140.xml"/><Relationship Id="rId161" Type="http://schemas.openxmlformats.org/officeDocument/2006/relationships/worksheet" Target="worksheets/sheet161.xml"/><Relationship Id="rId182" Type="http://schemas.openxmlformats.org/officeDocument/2006/relationships/worksheet" Target="worksheets/sheet182.xml"/><Relationship Id="rId217" Type="http://schemas.openxmlformats.org/officeDocument/2006/relationships/worksheet" Target="worksheets/sheet217.xml"/><Relationship Id="rId6" Type="http://schemas.openxmlformats.org/officeDocument/2006/relationships/worksheet" Target="worksheets/sheet6.xml"/><Relationship Id="rId238" Type="http://schemas.openxmlformats.org/officeDocument/2006/relationships/worksheet" Target="worksheets/sheet238.xml"/><Relationship Id="rId259" Type="http://schemas.openxmlformats.org/officeDocument/2006/relationships/worksheet" Target="worksheets/sheet259.xml"/><Relationship Id="rId23" Type="http://schemas.openxmlformats.org/officeDocument/2006/relationships/worksheet" Target="worksheets/sheet23.xml"/><Relationship Id="rId119" Type="http://schemas.openxmlformats.org/officeDocument/2006/relationships/worksheet" Target="worksheets/sheet119.xml"/><Relationship Id="rId270" Type="http://schemas.openxmlformats.org/officeDocument/2006/relationships/worksheet" Target="worksheets/sheet270.xml"/><Relationship Id="rId44" Type="http://schemas.openxmlformats.org/officeDocument/2006/relationships/worksheet" Target="worksheets/sheet44.xml"/><Relationship Id="rId65" Type="http://schemas.openxmlformats.org/officeDocument/2006/relationships/worksheet" Target="worksheets/sheet65.xml"/><Relationship Id="rId86" Type="http://schemas.openxmlformats.org/officeDocument/2006/relationships/worksheet" Target="worksheets/sheet86.xml"/><Relationship Id="rId130" Type="http://schemas.openxmlformats.org/officeDocument/2006/relationships/worksheet" Target="worksheets/sheet130.xml"/><Relationship Id="rId151" Type="http://schemas.openxmlformats.org/officeDocument/2006/relationships/worksheet" Target="worksheets/sheet151.xml"/><Relationship Id="rId172" Type="http://schemas.openxmlformats.org/officeDocument/2006/relationships/worksheet" Target="worksheets/sheet172.xml"/><Relationship Id="rId193" Type="http://schemas.openxmlformats.org/officeDocument/2006/relationships/worksheet" Target="worksheets/sheet193.xml"/><Relationship Id="rId207" Type="http://schemas.openxmlformats.org/officeDocument/2006/relationships/worksheet" Target="worksheets/sheet207.xml"/><Relationship Id="rId228" Type="http://schemas.openxmlformats.org/officeDocument/2006/relationships/worksheet" Target="worksheets/sheet228.xml"/><Relationship Id="rId249" Type="http://schemas.openxmlformats.org/officeDocument/2006/relationships/worksheet" Target="worksheets/sheet249.xml"/><Relationship Id="rId13" Type="http://schemas.openxmlformats.org/officeDocument/2006/relationships/worksheet" Target="worksheets/sheet13.xml"/><Relationship Id="rId109" Type="http://schemas.openxmlformats.org/officeDocument/2006/relationships/worksheet" Target="worksheets/sheet109.xml"/><Relationship Id="rId260" Type="http://schemas.openxmlformats.org/officeDocument/2006/relationships/worksheet" Target="worksheets/sheet260.xml"/><Relationship Id="rId281" Type="http://schemas.openxmlformats.org/officeDocument/2006/relationships/pivotCacheDefinition" Target="pivotCache/pivotCacheDefinition8.xml"/><Relationship Id="rId34" Type="http://schemas.openxmlformats.org/officeDocument/2006/relationships/worksheet" Target="worksheets/sheet34.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20" Type="http://schemas.openxmlformats.org/officeDocument/2006/relationships/worksheet" Target="worksheets/sheet120.xml"/><Relationship Id="rId141" Type="http://schemas.openxmlformats.org/officeDocument/2006/relationships/worksheet" Target="worksheets/sheet141.xml"/><Relationship Id="rId7" Type="http://schemas.openxmlformats.org/officeDocument/2006/relationships/worksheet" Target="worksheets/sheet7.xml"/><Relationship Id="rId162" Type="http://schemas.openxmlformats.org/officeDocument/2006/relationships/worksheet" Target="worksheets/sheet162.xml"/><Relationship Id="rId183" Type="http://schemas.openxmlformats.org/officeDocument/2006/relationships/worksheet" Target="worksheets/sheet183.xml"/><Relationship Id="rId218" Type="http://schemas.openxmlformats.org/officeDocument/2006/relationships/worksheet" Target="worksheets/sheet218.xml"/><Relationship Id="rId239" Type="http://schemas.openxmlformats.org/officeDocument/2006/relationships/worksheet" Target="worksheets/sheet239.xml"/><Relationship Id="rId250" Type="http://schemas.openxmlformats.org/officeDocument/2006/relationships/worksheet" Target="worksheets/sheet250.xml"/><Relationship Id="rId271" Type="http://schemas.openxmlformats.org/officeDocument/2006/relationships/worksheet" Target="worksheets/sheet271.xml"/><Relationship Id="rId24" Type="http://schemas.openxmlformats.org/officeDocument/2006/relationships/worksheet" Target="worksheets/sheet24.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31" Type="http://schemas.openxmlformats.org/officeDocument/2006/relationships/worksheet" Target="worksheets/sheet131.xml"/><Relationship Id="rId152" Type="http://schemas.openxmlformats.org/officeDocument/2006/relationships/worksheet" Target="worksheets/sheet152.xml"/><Relationship Id="rId173" Type="http://schemas.openxmlformats.org/officeDocument/2006/relationships/worksheet" Target="worksheets/sheet173.xml"/><Relationship Id="rId194" Type="http://schemas.openxmlformats.org/officeDocument/2006/relationships/worksheet" Target="worksheets/sheet194.xml"/><Relationship Id="rId208" Type="http://schemas.openxmlformats.org/officeDocument/2006/relationships/worksheet" Target="worksheets/sheet208.xml"/><Relationship Id="rId229" Type="http://schemas.openxmlformats.org/officeDocument/2006/relationships/worksheet" Target="worksheets/sheet229.xml"/><Relationship Id="rId240" Type="http://schemas.openxmlformats.org/officeDocument/2006/relationships/worksheet" Target="worksheets/sheet240.xml"/><Relationship Id="rId261" Type="http://schemas.openxmlformats.org/officeDocument/2006/relationships/worksheet" Target="worksheets/sheet261.xml"/><Relationship Id="rId14" Type="http://schemas.openxmlformats.org/officeDocument/2006/relationships/worksheet" Target="worksheets/sheet14.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282" Type="http://schemas.microsoft.com/office/2007/relationships/slicerCache" Target="slicerCaches/slicerCache1.xml"/><Relationship Id="rId8" Type="http://schemas.openxmlformats.org/officeDocument/2006/relationships/worksheet" Target="worksheets/sheet8.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184" Type="http://schemas.openxmlformats.org/officeDocument/2006/relationships/worksheet" Target="worksheets/sheet184.xml"/><Relationship Id="rId219" Type="http://schemas.openxmlformats.org/officeDocument/2006/relationships/worksheet" Target="worksheets/sheet219.xml"/><Relationship Id="rId230" Type="http://schemas.openxmlformats.org/officeDocument/2006/relationships/worksheet" Target="worksheets/sheet230.xml"/><Relationship Id="rId251" Type="http://schemas.openxmlformats.org/officeDocument/2006/relationships/worksheet" Target="worksheets/sheet251.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272" Type="http://schemas.openxmlformats.org/officeDocument/2006/relationships/worksheet" Target="worksheets/sheet272.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worksheet" Target="worksheets/sheet174.xml"/><Relationship Id="rId195" Type="http://schemas.openxmlformats.org/officeDocument/2006/relationships/worksheet" Target="worksheets/sheet195.xml"/><Relationship Id="rId209" Type="http://schemas.openxmlformats.org/officeDocument/2006/relationships/worksheet" Target="worksheets/sheet209.xml"/><Relationship Id="rId220" Type="http://schemas.openxmlformats.org/officeDocument/2006/relationships/worksheet" Target="worksheets/sheet220.xml"/><Relationship Id="rId241" Type="http://schemas.openxmlformats.org/officeDocument/2006/relationships/worksheet" Target="worksheets/sheet241.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262" Type="http://schemas.openxmlformats.org/officeDocument/2006/relationships/worksheet" Target="worksheets/sheet262.xml"/><Relationship Id="rId283" Type="http://schemas.openxmlformats.org/officeDocument/2006/relationships/theme" Target="theme/theme1.xml"/><Relationship Id="rId78" Type="http://schemas.openxmlformats.org/officeDocument/2006/relationships/worksheet" Target="worksheets/sheet78.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64" Type="http://schemas.openxmlformats.org/officeDocument/2006/relationships/worksheet" Target="worksheets/sheet164.xml"/><Relationship Id="rId185" Type="http://schemas.openxmlformats.org/officeDocument/2006/relationships/worksheet" Target="worksheets/sheet185.xml"/><Relationship Id="rId9" Type="http://schemas.openxmlformats.org/officeDocument/2006/relationships/worksheet" Target="worksheets/sheet9.xml"/><Relationship Id="rId210" Type="http://schemas.openxmlformats.org/officeDocument/2006/relationships/worksheet" Target="worksheets/sheet210.xml"/><Relationship Id="rId26" Type="http://schemas.openxmlformats.org/officeDocument/2006/relationships/worksheet" Target="worksheets/sheet26.xml"/><Relationship Id="rId231" Type="http://schemas.openxmlformats.org/officeDocument/2006/relationships/worksheet" Target="worksheets/sheet231.xml"/><Relationship Id="rId252" Type="http://schemas.openxmlformats.org/officeDocument/2006/relationships/worksheet" Target="worksheets/sheet252.xml"/><Relationship Id="rId273" Type="http://schemas.openxmlformats.org/officeDocument/2006/relationships/externalLink" Target="externalLinks/externalLink1.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worksheet" Target="worksheets/sheet175.xml"/><Relationship Id="rId196" Type="http://schemas.openxmlformats.org/officeDocument/2006/relationships/worksheet" Target="worksheets/sheet196.xml"/><Relationship Id="rId200" Type="http://schemas.openxmlformats.org/officeDocument/2006/relationships/worksheet" Target="worksheets/sheet200.xml"/><Relationship Id="rId16" Type="http://schemas.openxmlformats.org/officeDocument/2006/relationships/worksheet" Target="worksheets/sheet16.xml"/><Relationship Id="rId221" Type="http://schemas.openxmlformats.org/officeDocument/2006/relationships/worksheet" Target="worksheets/sheet221.xml"/><Relationship Id="rId242" Type="http://schemas.openxmlformats.org/officeDocument/2006/relationships/worksheet" Target="worksheets/sheet242.xml"/><Relationship Id="rId263" Type="http://schemas.openxmlformats.org/officeDocument/2006/relationships/worksheet" Target="worksheets/sheet263.xml"/><Relationship Id="rId284" Type="http://schemas.openxmlformats.org/officeDocument/2006/relationships/styles" Target="styles.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186" Type="http://schemas.openxmlformats.org/officeDocument/2006/relationships/worksheet" Target="worksheets/sheet186.xml"/><Relationship Id="rId211" Type="http://schemas.openxmlformats.org/officeDocument/2006/relationships/worksheet" Target="worksheets/sheet211.xml"/><Relationship Id="rId232" Type="http://schemas.openxmlformats.org/officeDocument/2006/relationships/worksheet" Target="worksheets/sheet232.xml"/><Relationship Id="rId253" Type="http://schemas.openxmlformats.org/officeDocument/2006/relationships/worksheet" Target="worksheets/sheet253.xml"/><Relationship Id="rId274" Type="http://schemas.openxmlformats.org/officeDocument/2006/relationships/pivotCacheDefinition" Target="pivotCache/pivotCacheDefinition1.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worksheet" Target="worksheets/sheet176.xml"/><Relationship Id="rId197" Type="http://schemas.openxmlformats.org/officeDocument/2006/relationships/worksheet" Target="worksheets/sheet197.xml"/><Relationship Id="rId201" Type="http://schemas.openxmlformats.org/officeDocument/2006/relationships/worksheet" Target="worksheets/sheet201.xml"/><Relationship Id="rId222" Type="http://schemas.openxmlformats.org/officeDocument/2006/relationships/worksheet" Target="worksheets/sheet222.xml"/><Relationship Id="rId243" Type="http://schemas.openxmlformats.org/officeDocument/2006/relationships/worksheet" Target="worksheets/sheet243.xml"/><Relationship Id="rId264" Type="http://schemas.openxmlformats.org/officeDocument/2006/relationships/worksheet" Target="worksheets/sheet264.xml"/><Relationship Id="rId285" Type="http://schemas.openxmlformats.org/officeDocument/2006/relationships/sharedStrings" Target="sharedStrings.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87" Type="http://schemas.openxmlformats.org/officeDocument/2006/relationships/worksheet" Target="worksheets/sheet187.xml"/><Relationship Id="rId1" Type="http://schemas.openxmlformats.org/officeDocument/2006/relationships/worksheet" Target="worksheets/sheet1.xml"/><Relationship Id="rId212" Type="http://schemas.openxmlformats.org/officeDocument/2006/relationships/worksheet" Target="worksheets/sheet212.xml"/><Relationship Id="rId233" Type="http://schemas.openxmlformats.org/officeDocument/2006/relationships/worksheet" Target="worksheets/sheet233.xml"/><Relationship Id="rId254" Type="http://schemas.openxmlformats.org/officeDocument/2006/relationships/worksheet" Target="worksheets/sheet254.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275" Type="http://schemas.openxmlformats.org/officeDocument/2006/relationships/pivotCacheDefinition" Target="pivotCache/pivotCacheDefinition2.xml"/><Relationship Id="rId60" Type="http://schemas.openxmlformats.org/officeDocument/2006/relationships/worksheet" Target="worksheets/sheet60.xml"/><Relationship Id="rId81" Type="http://schemas.openxmlformats.org/officeDocument/2006/relationships/worksheet" Target="worksheets/sheet81.xml"/><Relationship Id="rId135" Type="http://schemas.openxmlformats.org/officeDocument/2006/relationships/worksheet" Target="worksheets/sheet135.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202" Type="http://schemas.openxmlformats.org/officeDocument/2006/relationships/worksheet" Target="worksheets/sheet202.xml"/><Relationship Id="rId223" Type="http://schemas.openxmlformats.org/officeDocument/2006/relationships/worksheet" Target="worksheets/sheet223.xml"/><Relationship Id="rId244" Type="http://schemas.openxmlformats.org/officeDocument/2006/relationships/worksheet" Target="worksheets/sheet244.xml"/><Relationship Id="rId18" Type="http://schemas.openxmlformats.org/officeDocument/2006/relationships/worksheet" Target="worksheets/sheet18.xml"/><Relationship Id="rId39" Type="http://schemas.openxmlformats.org/officeDocument/2006/relationships/worksheet" Target="worksheets/sheet39.xml"/><Relationship Id="rId265" Type="http://schemas.openxmlformats.org/officeDocument/2006/relationships/worksheet" Target="worksheets/sheet265.xml"/><Relationship Id="rId286" Type="http://schemas.openxmlformats.org/officeDocument/2006/relationships/calcChain" Target="calcChain.xml"/><Relationship Id="rId50" Type="http://schemas.openxmlformats.org/officeDocument/2006/relationships/worksheet" Target="worksheets/sheet50.xml"/><Relationship Id="rId104" Type="http://schemas.openxmlformats.org/officeDocument/2006/relationships/worksheet" Target="worksheets/sheet104.xml"/><Relationship Id="rId125" Type="http://schemas.openxmlformats.org/officeDocument/2006/relationships/worksheet" Target="worksheets/sheet125.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71" Type="http://schemas.openxmlformats.org/officeDocument/2006/relationships/worksheet" Target="worksheets/sheet71.xml"/><Relationship Id="rId92" Type="http://schemas.openxmlformats.org/officeDocument/2006/relationships/worksheet" Target="worksheets/sheet92.xml"/><Relationship Id="rId213" Type="http://schemas.openxmlformats.org/officeDocument/2006/relationships/worksheet" Target="worksheets/sheet213.xml"/><Relationship Id="rId234" Type="http://schemas.openxmlformats.org/officeDocument/2006/relationships/worksheet" Target="worksheets/sheet234.xml"/><Relationship Id="rId2" Type="http://schemas.openxmlformats.org/officeDocument/2006/relationships/worksheet" Target="worksheets/sheet2.xml"/><Relationship Id="rId29" Type="http://schemas.openxmlformats.org/officeDocument/2006/relationships/worksheet" Target="worksheets/sheet29.xml"/><Relationship Id="rId255" Type="http://schemas.openxmlformats.org/officeDocument/2006/relationships/worksheet" Target="worksheets/sheet255.xml"/><Relationship Id="rId276" Type="http://schemas.openxmlformats.org/officeDocument/2006/relationships/pivotCacheDefinition" Target="pivotCache/pivotCacheDefinition3.xml"/><Relationship Id="rId40" Type="http://schemas.openxmlformats.org/officeDocument/2006/relationships/worksheet" Target="worksheets/sheet40.xml"/><Relationship Id="rId115" Type="http://schemas.openxmlformats.org/officeDocument/2006/relationships/worksheet" Target="worksheets/sheet115.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61" Type="http://schemas.openxmlformats.org/officeDocument/2006/relationships/worksheet" Target="worksheets/sheet61.xml"/><Relationship Id="rId82" Type="http://schemas.openxmlformats.org/officeDocument/2006/relationships/worksheet" Target="worksheets/sheet82.xml"/><Relationship Id="rId199" Type="http://schemas.openxmlformats.org/officeDocument/2006/relationships/worksheet" Target="worksheets/sheet199.xml"/><Relationship Id="rId203" Type="http://schemas.openxmlformats.org/officeDocument/2006/relationships/worksheet" Target="worksheets/sheet203.xml"/><Relationship Id="rId19" Type="http://schemas.openxmlformats.org/officeDocument/2006/relationships/worksheet" Target="worksheets/sheet19.xml"/><Relationship Id="rId224" Type="http://schemas.openxmlformats.org/officeDocument/2006/relationships/worksheet" Target="worksheets/sheet224.xml"/><Relationship Id="rId245" Type="http://schemas.openxmlformats.org/officeDocument/2006/relationships/worksheet" Target="worksheets/sheet245.xml"/><Relationship Id="rId266" Type="http://schemas.openxmlformats.org/officeDocument/2006/relationships/worksheet" Target="worksheets/sheet266.xml"/><Relationship Id="rId30" Type="http://schemas.openxmlformats.org/officeDocument/2006/relationships/worksheet" Target="worksheets/sheet3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189" Type="http://schemas.openxmlformats.org/officeDocument/2006/relationships/worksheet" Target="worksheets/sheet189.xml"/><Relationship Id="rId3" Type="http://schemas.openxmlformats.org/officeDocument/2006/relationships/worksheet" Target="worksheets/sheet3.xml"/><Relationship Id="rId214" Type="http://schemas.openxmlformats.org/officeDocument/2006/relationships/worksheet" Target="worksheets/sheet214.xml"/><Relationship Id="rId235" Type="http://schemas.openxmlformats.org/officeDocument/2006/relationships/worksheet" Target="worksheets/sheet235.xml"/><Relationship Id="rId256" Type="http://schemas.openxmlformats.org/officeDocument/2006/relationships/worksheet" Target="worksheets/sheet256.xml"/><Relationship Id="rId277" Type="http://schemas.openxmlformats.org/officeDocument/2006/relationships/pivotCacheDefinition" Target="pivotCache/pivotCacheDefinition4.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179" Type="http://schemas.openxmlformats.org/officeDocument/2006/relationships/worksheet" Target="worksheets/sheet179.xml"/><Relationship Id="rId190" Type="http://schemas.openxmlformats.org/officeDocument/2006/relationships/worksheet" Target="worksheets/sheet190.xml"/><Relationship Id="rId204" Type="http://schemas.openxmlformats.org/officeDocument/2006/relationships/worksheet" Target="worksheets/sheet204.xml"/><Relationship Id="rId225" Type="http://schemas.openxmlformats.org/officeDocument/2006/relationships/worksheet" Target="worksheets/sheet225.xml"/><Relationship Id="rId246" Type="http://schemas.openxmlformats.org/officeDocument/2006/relationships/worksheet" Target="worksheets/sheet246.xml"/><Relationship Id="rId267" Type="http://schemas.openxmlformats.org/officeDocument/2006/relationships/worksheet" Target="worksheets/sheet26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94" Type="http://schemas.openxmlformats.org/officeDocument/2006/relationships/worksheet" Target="worksheets/sheet94.xml"/><Relationship Id="rId148" Type="http://schemas.openxmlformats.org/officeDocument/2006/relationships/worksheet" Target="worksheets/sheet148.xml"/><Relationship Id="rId169" Type="http://schemas.openxmlformats.org/officeDocument/2006/relationships/worksheet" Target="worksheets/sheet169.xml"/><Relationship Id="rId4" Type="http://schemas.openxmlformats.org/officeDocument/2006/relationships/worksheet" Target="worksheets/sheet4.xml"/><Relationship Id="rId180" Type="http://schemas.openxmlformats.org/officeDocument/2006/relationships/worksheet" Target="worksheets/sheet180.xml"/><Relationship Id="rId215" Type="http://schemas.openxmlformats.org/officeDocument/2006/relationships/worksheet" Target="worksheets/sheet215.xml"/><Relationship Id="rId236" Type="http://schemas.openxmlformats.org/officeDocument/2006/relationships/worksheet" Target="worksheets/sheet236.xml"/><Relationship Id="rId257" Type="http://schemas.openxmlformats.org/officeDocument/2006/relationships/worksheet" Target="worksheets/sheet257.xml"/><Relationship Id="rId278" Type="http://schemas.openxmlformats.org/officeDocument/2006/relationships/pivotCacheDefinition" Target="pivotCache/pivotCacheDefinition5.xml"/><Relationship Id="rId42" Type="http://schemas.openxmlformats.org/officeDocument/2006/relationships/worksheet" Target="worksheets/sheet42.xml"/><Relationship Id="rId84" Type="http://schemas.openxmlformats.org/officeDocument/2006/relationships/worksheet" Target="worksheets/sheet84.xml"/><Relationship Id="rId138" Type="http://schemas.openxmlformats.org/officeDocument/2006/relationships/worksheet" Target="worksheets/sheet138.xml"/><Relationship Id="rId191" Type="http://schemas.openxmlformats.org/officeDocument/2006/relationships/worksheet" Target="worksheets/sheet191.xml"/><Relationship Id="rId205" Type="http://schemas.openxmlformats.org/officeDocument/2006/relationships/worksheet" Target="worksheets/sheet205.xml"/><Relationship Id="rId247" Type="http://schemas.openxmlformats.org/officeDocument/2006/relationships/worksheet" Target="worksheets/sheet247.xml"/><Relationship Id="rId107" Type="http://schemas.openxmlformats.org/officeDocument/2006/relationships/worksheet" Target="worksheets/sheet107.xml"/><Relationship Id="rId11" Type="http://schemas.openxmlformats.org/officeDocument/2006/relationships/worksheet" Target="worksheets/sheet11.xml"/><Relationship Id="rId53" Type="http://schemas.openxmlformats.org/officeDocument/2006/relationships/worksheet" Target="worksheets/sheet53.xml"/><Relationship Id="rId149" Type="http://schemas.openxmlformats.org/officeDocument/2006/relationships/worksheet" Target="worksheets/sheet149.xml"/><Relationship Id="rId95" Type="http://schemas.openxmlformats.org/officeDocument/2006/relationships/worksheet" Target="worksheets/sheet95.xml"/><Relationship Id="rId160" Type="http://schemas.openxmlformats.org/officeDocument/2006/relationships/worksheet" Target="worksheets/sheet160.xml"/><Relationship Id="rId216" Type="http://schemas.openxmlformats.org/officeDocument/2006/relationships/worksheet" Target="worksheets/sheet216.xml"/><Relationship Id="rId258" Type="http://schemas.openxmlformats.org/officeDocument/2006/relationships/worksheet" Target="worksheets/sheet258.xml"/><Relationship Id="rId22" Type="http://schemas.openxmlformats.org/officeDocument/2006/relationships/worksheet" Target="worksheets/sheet22.xml"/><Relationship Id="rId64" Type="http://schemas.openxmlformats.org/officeDocument/2006/relationships/worksheet" Target="worksheets/sheet64.xml"/><Relationship Id="rId118" Type="http://schemas.openxmlformats.org/officeDocument/2006/relationships/worksheet" Target="worksheets/sheet11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'13-(34) to 13-(42)'!$C$1</c:f>
              <c:strCache>
                <c:ptCount val="1"/>
                <c:pt idx="0">
                  <c:v>Sales</c:v>
                </c:pt>
              </c:strCache>
            </c:strRef>
          </c:tx>
          <c:spPr>
            <a:solidFill>
              <a:schemeClr val="accent1"/>
            </a:solidFill>
            <a:ln>
              <a:noFill/>
            </a:ln>
            <a:effectLst/>
          </c:spPr>
          <c:invertIfNegative val="0"/>
          <c:cat>
            <c:strRef>
              <c:f>[0]!RepsDynamic</c:f>
              <c:strCache>
                <c:ptCount val="2"/>
                <c:pt idx="0">
                  <c:v>K.C.</c:v>
                </c:pt>
                <c:pt idx="1">
                  <c:v>J.P.</c:v>
                </c:pt>
              </c:strCache>
            </c:strRef>
          </c:cat>
          <c:val>
            <c:numRef>
              <c:f>[0]!SalesDynamic</c:f>
              <c:numCache>
                <c:formatCode>"$"#,##0.00_);[Red]\("$"#,##0.00\)</c:formatCode>
                <c:ptCount val="2"/>
                <c:pt idx="0">
                  <c:v>5735</c:v>
                </c:pt>
                <c:pt idx="1">
                  <c:v>5662</c:v>
                </c:pt>
              </c:numCache>
            </c:numRef>
          </c:val>
        </c:ser>
        <c:dLbls>
          <c:showLegendKey val="0"/>
          <c:showVal val="0"/>
          <c:showCatName val="0"/>
          <c:showSerName val="0"/>
          <c:showPercent val="0"/>
          <c:showBubbleSize val="0"/>
        </c:dLbls>
        <c:gapWidth val="219"/>
        <c:overlap val="-27"/>
        <c:axId val="291698592"/>
        <c:axId val="291699152"/>
      </c:barChart>
      <c:catAx>
        <c:axId val="291698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1699152"/>
        <c:crosses val="autoZero"/>
        <c:auto val="1"/>
        <c:lblAlgn val="ctr"/>
        <c:lblOffset val="100"/>
        <c:noMultiLvlLbl val="0"/>
      </c:catAx>
      <c:valAx>
        <c:axId val="291699152"/>
        <c:scaling>
          <c:orientation val="minMax"/>
        </c:scaling>
        <c:delete val="0"/>
        <c:axPos val="l"/>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1698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[CtrlShiftEnterBookFinishedFile.xlsm]13-(43)!PivotTable1</c:name>
    <c:fmtId val="0"/>
  </c:pivotSource>
  <c:chart>
    <c:autoTitleDeleted val="1"/>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'13-(43)'!$F$3</c:f>
              <c:strCache>
                <c:ptCount val="1"/>
                <c:pt idx="0">
                  <c:v>Total</c:v>
                </c:pt>
              </c:strCache>
            </c:strRef>
          </c:tx>
          <c:spPr>
            <a:solidFill>
              <a:schemeClr val="accent1"/>
            </a:solidFill>
            <a:ln>
              <a:noFill/>
            </a:ln>
            <a:effectLst/>
          </c:spPr>
          <c:invertIfNegative val="0"/>
          <c:cat>
            <c:strRef>
              <c:f>'13-(43)'!$E$4:$E$7</c:f>
              <c:strCache>
                <c:ptCount val="3"/>
                <c:pt idx="0">
                  <c:v>D.D.</c:v>
                </c:pt>
                <c:pt idx="1">
                  <c:v>E.K.</c:v>
                </c:pt>
                <c:pt idx="2">
                  <c:v>S.O.</c:v>
                </c:pt>
              </c:strCache>
            </c:strRef>
          </c:cat>
          <c:val>
            <c:numRef>
              <c:f>'13-(43)'!$F$4:$F$7</c:f>
              <c:numCache>
                <c:formatCode>General</c:formatCode>
                <c:ptCount val="3"/>
                <c:pt idx="0">
                  <c:v>1798</c:v>
                </c:pt>
                <c:pt idx="1">
                  <c:v>1795</c:v>
                </c:pt>
                <c:pt idx="2">
                  <c:v>2447</c:v>
                </c:pt>
              </c:numCache>
            </c:numRef>
          </c:val>
        </c:ser>
        <c:dLbls>
          <c:showLegendKey val="0"/>
          <c:showVal val="0"/>
          <c:showCatName val="0"/>
          <c:showSerName val="0"/>
          <c:showPercent val="0"/>
          <c:showBubbleSize val="0"/>
        </c:dLbls>
        <c:gapWidth val="219"/>
        <c:overlap val="-27"/>
        <c:axId val="291701392"/>
        <c:axId val="291701952"/>
      </c:barChart>
      <c:catAx>
        <c:axId val="291701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1701952"/>
        <c:crosses val="autoZero"/>
        <c:auto val="1"/>
        <c:lblAlgn val="ctr"/>
        <c:lblOffset val="100"/>
        <c:noMultiLvlLbl val="0"/>
      </c:catAx>
      <c:valAx>
        <c:axId val="29170195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1701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77391</xdr:colOff>
      <xdr:row>1</xdr:row>
      <xdr:rowOff>59531</xdr:rowOff>
    </xdr:from>
    <xdr:to>
      <xdr:col>7</xdr:col>
      <xdr:colOff>392907</xdr:colOff>
      <xdr:row>7</xdr:row>
      <xdr:rowOff>184548</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262188</xdr:colOff>
      <xdr:row>7</xdr:row>
      <xdr:rowOff>83720</xdr:rowOff>
    </xdr:from>
    <xdr:to>
      <xdr:col>5</xdr:col>
      <xdr:colOff>476249</xdr:colOff>
      <xdr:row>12</xdr:row>
      <xdr:rowOff>190499</xdr:rowOff>
    </xdr:to>
    <mc:AlternateContent xmlns:mc="http://schemas.openxmlformats.org/markup-compatibility/2006" xmlns:a14="http://schemas.microsoft.com/office/drawing/2010/main">
      <mc:Choice Requires="a14">
        <xdr:graphicFrame macro="">
          <xdr:nvGraphicFramePr>
            <xdr:cNvPr id="2" name="Cities"/>
            <xdr:cNvGraphicFramePr/>
          </xdr:nvGraphicFramePr>
          <xdr:xfrm>
            <a:off x="0" y="0"/>
            <a:ext cx="0" cy="0"/>
          </xdr:xfrm>
          <a:graphic>
            <a:graphicData uri="http://schemas.microsoft.com/office/drawing/2010/slicer">
              <sle:slicer xmlns:sle="http://schemas.microsoft.com/office/drawing/2010/slicer" name="Cities"/>
            </a:graphicData>
          </a:graphic>
        </xdr:graphicFrame>
      </mc:Choice>
      <mc:Fallback xmlns="">
        <xdr:sp macro="" textlink="">
          <xdr:nvSpPr>
            <xdr:cNvPr id="0" name=""/>
            <xdr:cNvSpPr>
              <a:spLocks noTextEdit="1"/>
            </xdr:cNvSpPr>
          </xdr:nvSpPr>
          <xdr:spPr>
            <a:xfrm>
              <a:off x="1946609" y="1417220"/>
              <a:ext cx="1091364" cy="10592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167940</xdr:colOff>
      <xdr:row>0</xdr:row>
      <xdr:rowOff>130341</xdr:rowOff>
    </xdr:from>
    <xdr:to>
      <xdr:col>10</xdr:col>
      <xdr:colOff>100263</xdr:colOff>
      <xdr:row>9</xdr:row>
      <xdr:rowOff>85224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480392</xdr:colOff>
      <xdr:row>1</xdr:row>
      <xdr:rowOff>0</xdr:rowOff>
    </xdr:from>
    <xdr:to>
      <xdr:col>6</xdr:col>
      <xdr:colOff>207065</xdr:colOff>
      <xdr:row>4</xdr:row>
      <xdr:rowOff>115957</xdr:rowOff>
    </xdr:to>
    <xdr:cxnSp macro="">
      <xdr:nvCxnSpPr>
        <xdr:cNvPr id="4" name="Straight Arrow Connector 3"/>
        <xdr:cNvCxnSpPr/>
      </xdr:nvCxnSpPr>
      <xdr:spPr>
        <a:xfrm>
          <a:off x="3354457" y="190500"/>
          <a:ext cx="869673" cy="877957"/>
        </a:xfrm>
        <a:prstGeom prst="straightConnector1">
          <a:avLst/>
        </a:prstGeom>
        <a:ln w="38100">
          <a:solidFill>
            <a:srgbClr val="FF0000"/>
          </a:solidFill>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556846</xdr:colOff>
      <xdr:row>0</xdr:row>
      <xdr:rowOff>183173</xdr:rowOff>
    </xdr:from>
    <xdr:to>
      <xdr:col>6</xdr:col>
      <xdr:colOff>65942</xdr:colOff>
      <xdr:row>5</xdr:row>
      <xdr:rowOff>119062</xdr:rowOff>
    </xdr:to>
    <xdr:cxnSp macro="">
      <xdr:nvCxnSpPr>
        <xdr:cNvPr id="2" name="Straight Arrow Connector 1"/>
        <xdr:cNvCxnSpPr/>
      </xdr:nvCxnSpPr>
      <xdr:spPr>
        <a:xfrm>
          <a:off x="2769577" y="183173"/>
          <a:ext cx="1003788" cy="888389"/>
        </a:xfrm>
        <a:prstGeom prst="straightConnector1">
          <a:avLst/>
        </a:prstGeom>
        <a:ln w="25400">
          <a:solidFill>
            <a:srgbClr val="FF0000"/>
          </a:solidFill>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553641</xdr:colOff>
      <xdr:row>1</xdr:row>
      <xdr:rowOff>17859</xdr:rowOff>
    </xdr:from>
    <xdr:to>
      <xdr:col>5</xdr:col>
      <xdr:colOff>107156</xdr:colOff>
      <xdr:row>4</xdr:row>
      <xdr:rowOff>130969</xdr:rowOff>
    </xdr:to>
    <xdr:cxnSp macro="">
      <xdr:nvCxnSpPr>
        <xdr:cNvPr id="2" name="Straight Arrow Connector 1"/>
        <xdr:cNvCxnSpPr/>
      </xdr:nvCxnSpPr>
      <xdr:spPr>
        <a:xfrm>
          <a:off x="2607469" y="208359"/>
          <a:ext cx="315515" cy="827485"/>
        </a:xfrm>
        <a:prstGeom prst="straightConnector1">
          <a:avLst/>
        </a:prstGeom>
        <a:ln w="25400">
          <a:solidFill>
            <a:srgbClr val="FF0000"/>
          </a:solidFill>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297656</xdr:colOff>
      <xdr:row>1</xdr:row>
      <xdr:rowOff>23812</xdr:rowOff>
    </xdr:from>
    <xdr:to>
      <xdr:col>4</xdr:col>
      <xdr:colOff>833437</xdr:colOff>
      <xdr:row>4</xdr:row>
      <xdr:rowOff>136923</xdr:rowOff>
    </xdr:to>
    <xdr:cxnSp macro="">
      <xdr:nvCxnSpPr>
        <xdr:cNvPr id="2" name="Straight Arrow Connector 1"/>
        <xdr:cNvCxnSpPr/>
      </xdr:nvCxnSpPr>
      <xdr:spPr>
        <a:xfrm>
          <a:off x="1857375" y="214312"/>
          <a:ext cx="535781" cy="684611"/>
        </a:xfrm>
        <a:prstGeom prst="straightConnector1">
          <a:avLst/>
        </a:prstGeom>
        <a:ln w="25400">
          <a:solidFill>
            <a:srgbClr val="FF0000"/>
          </a:solidFill>
          <a:prstDash val="dash"/>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VideoExcelStorage\02ArrayBook\ArrayFormulaBook\FilesForCtrlShiftEnterBook\ch1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ow r="2">
          <cell r="A2">
            <v>41679</v>
          </cell>
          <cell r="B2" t="str">
            <v>West</v>
          </cell>
          <cell r="C2" t="str">
            <v>Pro 2</v>
          </cell>
          <cell r="D2">
            <v>11</v>
          </cell>
          <cell r="F2">
            <v>41426</v>
          </cell>
          <cell r="G2">
            <v>41671</v>
          </cell>
          <cell r="H2" t="str">
            <v>East</v>
          </cell>
          <cell r="I2" t="str">
            <v>Pro 1</v>
          </cell>
        </row>
        <row r="3">
          <cell r="A3">
            <v>41385</v>
          </cell>
          <cell r="B3" t="str">
            <v>East</v>
          </cell>
          <cell r="C3" t="str">
            <v>Pro 1</v>
          </cell>
          <cell r="D3">
            <v>12</v>
          </cell>
        </row>
        <row r="4">
          <cell r="A4">
            <v>41422</v>
          </cell>
          <cell r="B4" t="str">
            <v>West</v>
          </cell>
          <cell r="C4" t="str">
            <v>Pro 2</v>
          </cell>
          <cell r="D4">
            <v>2</v>
          </cell>
        </row>
        <row r="5">
          <cell r="A5">
            <v>41454</v>
          </cell>
          <cell r="B5" t="str">
            <v>East</v>
          </cell>
          <cell r="C5" t="str">
            <v>Pro 1</v>
          </cell>
          <cell r="D5">
            <v>9</v>
          </cell>
        </row>
        <row r="6">
          <cell r="A6">
            <v>41647</v>
          </cell>
          <cell r="B6" t="str">
            <v>East</v>
          </cell>
          <cell r="C6" t="str">
            <v>Pro 1</v>
          </cell>
          <cell r="D6">
            <v>8</v>
          </cell>
        </row>
      </sheetData>
      <sheetData sheetId="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pivotCacheDefinition1.xml><?xml version="1.0" encoding="utf-8"?>
<pivotCacheDefinition xmlns="http://schemas.openxmlformats.org/spreadsheetml/2006/main" xmlns:r="http://schemas.openxmlformats.org/officeDocument/2006/relationships" r:id="rId1" refreshedBy="Girvin, Michael" refreshedDate="41293.457238773146" createdVersion="5" refreshedVersion="5" minRefreshableVersion="3" recordCount="6">
  <cacheSource type="worksheet">
    <worksheetSource ref="A1:B7" sheet="3-(17)"/>
  </cacheSource>
  <cacheFields count="2">
    <cacheField name="City" numFmtId="0">
      <sharedItems count="3">
        <s v="Seattle"/>
        <s v="Tacoma"/>
        <s v="Oakland"/>
      </sharedItems>
    </cacheField>
    <cacheField name="Times (h)" numFmtId="0">
      <sharedItems containsSemiMixedTypes="0" containsString="0" containsNumber="1" containsInteger="1" minValue="4" maxValue="1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irvin, Michael" refreshedDate="41296.432274999999" createdVersion="5" refreshedVersion="5" minRefreshableVersion="3" recordCount="10">
  <cacheSource type="worksheet">
    <worksheetSource ref="A2:C12" sheet="4-(30)"/>
  </cacheSource>
  <cacheFields count="3">
    <cacheField name="Region" numFmtId="0">
      <sharedItems count="2">
        <s v="West"/>
        <s v="Midwest"/>
      </sharedItems>
    </cacheField>
    <cacheField name="Sales Rep" numFmtId="0">
      <sharedItems count="3">
        <s v="Chin"/>
        <s v="Sioux"/>
        <s v="Moe"/>
      </sharedItems>
    </cacheField>
    <cacheField name="Sales" numFmtId="0">
      <sharedItems containsSemiMixedTypes="0" containsString="0" containsNumber="1" containsInteger="1" minValue="280" maxValue="914"/>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Girvin, Michael" refreshedDate="41299.60505150463" createdVersion="5" refreshedVersion="5" minRefreshableVersion="3" recordCount="11">
  <cacheSource type="worksheet">
    <worksheetSource ref="A2:C13" sheet="4-(42)"/>
  </cacheSource>
  <cacheFields count="3">
    <cacheField name="Track" numFmtId="0">
      <sharedItems count="3">
        <s v="PI"/>
        <s v="SeaTac"/>
        <s v="Sumner"/>
      </sharedItems>
    </cacheField>
    <cacheField name="BMX Racer" numFmtId="0">
      <sharedItems count="3">
        <s v="Zaine"/>
        <s v="Logan"/>
        <s v="Isaac"/>
      </sharedItems>
    </cacheField>
    <cacheField name="Time (s)" numFmtId="0">
      <sharedItems containsSemiMixedTypes="0" containsString="0" containsNumber="1" minValue="34.5" maxValue="55.6"/>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Girvin, Michael" refreshedDate="41303.562987847225" createdVersion="5" refreshedVersion="5" minRefreshableVersion="3" recordCount="14">
  <cacheSource type="worksheet">
    <worksheetSource ref="A2:C16" sheet="5-(12)"/>
  </cacheSource>
  <cacheFields count="3">
    <cacheField name="Product Code" numFmtId="0">
      <sharedItems count="7">
        <s v="2A45-2A46"/>
        <s v="2A39-2A40"/>
        <s v="2A38-2A39"/>
        <s v="2A44-2A45"/>
        <s v="2A48-2A49"/>
        <s v="2A35-2A36"/>
        <s v="2A46-2A47"/>
      </sharedItems>
    </cacheField>
    <cacheField name="L/R?" numFmtId="0">
      <sharedItems count="2">
        <s v="R"/>
        <s v="L"/>
      </sharedItems>
    </cacheField>
    <cacheField name="Qty" numFmtId="0">
      <sharedItems containsSemiMixedTypes="0" containsString="0" containsNumber="1" containsInteger="1" minValue="18" maxValue="36"/>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Girvin, Michael" refreshedDate="41328.515078935183" createdVersion="5" refreshedVersion="5" minRefreshableVersion="3" recordCount="17">
  <cacheSource type="worksheet">
    <worksheetSource ref="A1:A18" sheet="9-(27)"/>
  </cacheSource>
  <cacheFields count="1">
    <cacheField name="Value" numFmtId="0">
      <sharedItems containsSemiMixedTypes="0" containsString="0" containsNumber="1" containsInteger="1" minValue="16" maxValue="36" count="10">
        <n v="18"/>
        <n v="23"/>
        <n v="16"/>
        <n v="22"/>
        <n v="25"/>
        <n v="24"/>
        <n v="28"/>
        <n v="31"/>
        <n v="19"/>
        <n v="36"/>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Girvin, Michael" refreshedDate="41338.522067129627" createdVersion="5" refreshedVersion="5" minRefreshableVersion="3" recordCount="5">
  <cacheSource type="worksheet">
    <worksheetSource ref="A1:D6" sheet="11-(2)"/>
  </cacheSource>
  <cacheFields count="4">
    <cacheField name="Date" numFmtId="14">
      <sharedItems containsSemiMixedTypes="0" containsNonDate="0" containsDate="1" containsString="0" minDate="2013-03-05T00:00:00" maxDate="2013-03-07T00:00:00" count="2">
        <d v="2013-03-05T00:00:00"/>
        <d v="2013-03-06T00:00:00"/>
      </sharedItems>
    </cacheField>
    <cacheField name="Auto" numFmtId="0">
      <sharedItems count="2">
        <s v="Toyota"/>
        <s v="Kia"/>
      </sharedItems>
    </cacheField>
    <cacheField name="Mechanic" numFmtId="0">
      <sharedItems count="3">
        <s v="Tom"/>
        <s v="Chin"/>
        <s v="Meg"/>
      </sharedItems>
    </cacheField>
    <cacheField name="Cost" numFmtId="0">
      <sharedItems containsSemiMixedTypes="0" containsString="0" containsNumber="1" containsInteger="1" minValue="219" maxValue="2051" count="5">
        <n v="1290"/>
        <n v="955"/>
        <n v="2051"/>
        <n v="489"/>
        <n v="219"/>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Girvin, Michael" refreshedDate="41348.505120023146" createdVersion="5" refreshedVersion="5" minRefreshableVersion="3" recordCount="5">
  <cacheSource type="worksheet">
    <worksheetSource ref="A1:C6" sheet="13-(43)"/>
  </cacheSource>
  <cacheFields count="3">
    <cacheField name="Cities" numFmtId="0">
      <sharedItems count="2">
        <s v="SF"/>
        <s v="Seattle"/>
      </sharedItems>
    </cacheField>
    <cacheField name="Reps" numFmtId="0">
      <sharedItems count="5">
        <s v="K.C."/>
        <s v="J.P."/>
        <s v="D.D."/>
        <s v="S.O."/>
        <s v="E.K."/>
      </sharedItems>
    </cacheField>
    <cacheField name="Sales" numFmtId="8">
      <sharedItems containsSemiMixedTypes="0" containsString="0" containsNumber="1" containsInteger="1" minValue="1795" maxValue="5735"/>
    </cacheField>
  </cacheFields>
  <extLst>
    <ext xmlns:x14="http://schemas.microsoft.com/office/spreadsheetml/2009/9/main" uri="{725AE2AE-9491-48be-B2B4-4EB974FC3084}">
      <x14:pivotCacheDefinition pivotCacheId="1"/>
    </ext>
  </extLst>
</pivotCacheDefinition>
</file>

<file path=xl/pivotCache/pivotCacheDefinition8.xml><?xml version="1.0" encoding="utf-8"?>
<pivotCacheDefinition xmlns="http://schemas.openxmlformats.org/spreadsheetml/2006/main" xmlns:r="http://schemas.openxmlformats.org/officeDocument/2006/relationships" r:id="rId1" refreshedBy="Girvin, Michael" refreshedDate="41362.556967129633" createdVersion="5" refreshedVersion="5" minRefreshableVersion="3" recordCount="8">
  <cacheSource type="worksheet">
    <worksheetSource ref="A1:C9" sheet="19-(6)"/>
  </cacheSource>
  <cacheFields count="3">
    <cacheField name="Date" numFmtId="175">
      <sharedItems containsSemiMixedTypes="0" containsNonDate="0" containsDate="1" containsString="0" minDate="2013-04-05T00:00:00" maxDate="2013-07-15T00:00:00"/>
    </cacheField>
    <cacheField name="Race Track" numFmtId="0">
      <sharedItems count="5">
        <s v="Sumner"/>
        <s v="SeaTac"/>
        <s v="Burlington"/>
        <s v="Mt Vernon"/>
        <s v="Everett"/>
      </sharedItems>
    </cacheField>
    <cacheField name="Place" numFmtId="0">
      <sharedItems containsSemiMixedTypes="0" containsString="0" containsNumber="1" containsInteger="1" minValue="2" maxValue="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
  <r>
    <x v="0"/>
    <n v="5"/>
  </r>
  <r>
    <x v="1"/>
    <n v="8"/>
  </r>
  <r>
    <x v="2"/>
    <n v="9"/>
  </r>
  <r>
    <x v="0"/>
    <n v="4"/>
  </r>
  <r>
    <x v="1"/>
    <n v="10"/>
  </r>
  <r>
    <x v="2"/>
    <n v="6"/>
  </r>
</pivotCacheRecords>
</file>

<file path=xl/pivotCache/pivotCacheRecords2.xml><?xml version="1.0" encoding="utf-8"?>
<pivotCacheRecords xmlns="http://schemas.openxmlformats.org/spreadsheetml/2006/main" xmlns:r="http://schemas.openxmlformats.org/officeDocument/2006/relationships" count="10">
  <r>
    <x v="0"/>
    <x v="0"/>
    <n v="914"/>
  </r>
  <r>
    <x v="1"/>
    <x v="1"/>
    <n v="355"/>
  </r>
  <r>
    <x v="0"/>
    <x v="1"/>
    <n v="590"/>
  </r>
  <r>
    <x v="0"/>
    <x v="0"/>
    <n v="610"/>
  </r>
  <r>
    <x v="1"/>
    <x v="2"/>
    <n v="506"/>
  </r>
  <r>
    <x v="0"/>
    <x v="2"/>
    <n v="825"/>
  </r>
  <r>
    <x v="1"/>
    <x v="0"/>
    <n v="710"/>
  </r>
  <r>
    <x v="1"/>
    <x v="1"/>
    <n v="280"/>
  </r>
  <r>
    <x v="1"/>
    <x v="2"/>
    <n v="363"/>
  </r>
  <r>
    <x v="0"/>
    <x v="1"/>
    <n v="685"/>
  </r>
</pivotCacheRecords>
</file>

<file path=xl/pivotCache/pivotCacheRecords3.xml><?xml version="1.0" encoding="utf-8"?>
<pivotCacheRecords xmlns="http://schemas.openxmlformats.org/spreadsheetml/2006/main" xmlns:r="http://schemas.openxmlformats.org/officeDocument/2006/relationships" count="11">
  <r>
    <x v="0"/>
    <x v="0"/>
    <n v="34.5"/>
  </r>
  <r>
    <x v="1"/>
    <x v="1"/>
    <n v="44.3"/>
  </r>
  <r>
    <x v="2"/>
    <x v="0"/>
    <n v="49"/>
  </r>
  <r>
    <x v="0"/>
    <x v="2"/>
    <n v="37.799999999999997"/>
  </r>
  <r>
    <x v="1"/>
    <x v="2"/>
    <n v="47.5"/>
  </r>
  <r>
    <x v="1"/>
    <x v="0"/>
    <n v="43"/>
  </r>
  <r>
    <x v="0"/>
    <x v="1"/>
    <n v="35.9"/>
  </r>
  <r>
    <x v="2"/>
    <x v="0"/>
    <n v="51"/>
  </r>
  <r>
    <x v="2"/>
    <x v="1"/>
    <n v="53.4"/>
  </r>
  <r>
    <x v="2"/>
    <x v="2"/>
    <n v="55.6"/>
  </r>
  <r>
    <x v="0"/>
    <x v="0"/>
    <n v="39"/>
  </r>
</pivotCacheRecords>
</file>

<file path=xl/pivotCache/pivotCacheRecords4.xml><?xml version="1.0" encoding="utf-8"?>
<pivotCacheRecords xmlns="http://schemas.openxmlformats.org/spreadsheetml/2006/main" xmlns:r="http://schemas.openxmlformats.org/officeDocument/2006/relationships" count="14">
  <r>
    <x v="0"/>
    <x v="0"/>
    <n v="18"/>
  </r>
  <r>
    <x v="1"/>
    <x v="1"/>
    <n v="36"/>
  </r>
  <r>
    <x v="2"/>
    <x v="0"/>
    <n v="36"/>
  </r>
  <r>
    <x v="3"/>
    <x v="1"/>
    <n v="18"/>
  </r>
  <r>
    <x v="4"/>
    <x v="1"/>
    <n v="20"/>
  </r>
  <r>
    <x v="0"/>
    <x v="1"/>
    <n v="24"/>
  </r>
  <r>
    <x v="4"/>
    <x v="0"/>
    <n v="24"/>
  </r>
  <r>
    <x v="3"/>
    <x v="0"/>
    <n v="28"/>
  </r>
  <r>
    <x v="5"/>
    <x v="1"/>
    <n v="30"/>
  </r>
  <r>
    <x v="6"/>
    <x v="1"/>
    <n v="30"/>
  </r>
  <r>
    <x v="2"/>
    <x v="1"/>
    <n v="30"/>
  </r>
  <r>
    <x v="5"/>
    <x v="0"/>
    <n v="35"/>
  </r>
  <r>
    <x v="1"/>
    <x v="0"/>
    <n v="35"/>
  </r>
  <r>
    <x v="6"/>
    <x v="0"/>
    <n v="36"/>
  </r>
</pivotCacheRecords>
</file>

<file path=xl/pivotCache/pivotCacheRecords5.xml><?xml version="1.0" encoding="utf-8"?>
<pivotCacheRecords xmlns="http://schemas.openxmlformats.org/spreadsheetml/2006/main" xmlns:r="http://schemas.openxmlformats.org/officeDocument/2006/relationships" count="17">
  <r>
    <x v="0"/>
  </r>
  <r>
    <x v="1"/>
  </r>
  <r>
    <x v="2"/>
  </r>
  <r>
    <x v="1"/>
  </r>
  <r>
    <x v="3"/>
  </r>
  <r>
    <x v="4"/>
  </r>
  <r>
    <x v="5"/>
  </r>
  <r>
    <x v="6"/>
  </r>
  <r>
    <x v="2"/>
  </r>
  <r>
    <x v="6"/>
  </r>
  <r>
    <x v="6"/>
  </r>
  <r>
    <x v="7"/>
  </r>
  <r>
    <x v="1"/>
  </r>
  <r>
    <x v="7"/>
  </r>
  <r>
    <x v="4"/>
  </r>
  <r>
    <x v="8"/>
  </r>
  <r>
    <x v="9"/>
  </r>
</pivotCacheRecords>
</file>

<file path=xl/pivotCache/pivotCacheRecords6.xml><?xml version="1.0" encoding="utf-8"?>
<pivotCacheRecords xmlns="http://schemas.openxmlformats.org/spreadsheetml/2006/main" xmlns:r="http://schemas.openxmlformats.org/officeDocument/2006/relationships" count="5">
  <r>
    <x v="0"/>
    <x v="0"/>
    <x v="0"/>
    <x v="0"/>
  </r>
  <r>
    <x v="1"/>
    <x v="1"/>
    <x v="1"/>
    <x v="1"/>
  </r>
  <r>
    <x v="0"/>
    <x v="0"/>
    <x v="0"/>
    <x v="2"/>
  </r>
  <r>
    <x v="0"/>
    <x v="0"/>
    <x v="0"/>
    <x v="3"/>
  </r>
  <r>
    <x v="1"/>
    <x v="0"/>
    <x v="2"/>
    <x v="4"/>
  </r>
</pivotCacheRecords>
</file>

<file path=xl/pivotCache/pivotCacheRecords7.xml><?xml version="1.0" encoding="utf-8"?>
<pivotCacheRecords xmlns="http://schemas.openxmlformats.org/spreadsheetml/2006/main" xmlns:r="http://schemas.openxmlformats.org/officeDocument/2006/relationships" count="5">
  <r>
    <x v="0"/>
    <x v="0"/>
    <n v="5735"/>
  </r>
  <r>
    <x v="0"/>
    <x v="1"/>
    <n v="5662"/>
  </r>
  <r>
    <x v="1"/>
    <x v="2"/>
    <n v="1798"/>
  </r>
  <r>
    <x v="1"/>
    <x v="3"/>
    <n v="2447"/>
  </r>
  <r>
    <x v="1"/>
    <x v="4"/>
    <n v="1795"/>
  </r>
</pivotCacheRecords>
</file>

<file path=xl/pivotCache/pivotCacheRecords8.xml><?xml version="1.0" encoding="utf-8"?>
<pivotCacheRecords xmlns="http://schemas.openxmlformats.org/spreadsheetml/2006/main" xmlns:r="http://schemas.openxmlformats.org/officeDocument/2006/relationships" count="8">
  <r>
    <d v="2013-04-05T00:00:00"/>
    <x v="0"/>
    <n v="2"/>
  </r>
  <r>
    <d v="2013-04-06T00:00:00"/>
    <x v="1"/>
    <n v="4"/>
  </r>
  <r>
    <d v="2013-06-15T00:00:00"/>
    <x v="2"/>
    <n v="3"/>
  </r>
  <r>
    <d v="2013-06-16T00:00:00"/>
    <x v="1"/>
    <n v="5"/>
  </r>
  <r>
    <d v="2013-06-21T00:00:00"/>
    <x v="0"/>
    <n v="2"/>
  </r>
  <r>
    <d v="2013-06-22T00:00:00"/>
    <x v="3"/>
    <n v="6"/>
  </r>
  <r>
    <d v="2013-06-23T00:00:00"/>
    <x v="1"/>
    <n v="2"/>
  </r>
  <r>
    <d v="2013-07-14T00:00:00"/>
    <x v="4"/>
    <n v="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rowGrandTotals="0" itemPrintTitles="1" createdVersion="5" indent="0" compact="0" compactData="0" multipleFieldFilters="0">
  <location ref="D1:E4" firstHeaderRow="1" firstDataRow="1" firstDataCol="1"/>
  <pivotFields count="2">
    <pivotField axis="axisRow" compact="0" outline="0" showAll="0">
      <items count="4">
        <item x="2"/>
        <item x="0"/>
        <item x="1"/>
        <item t="default"/>
      </items>
    </pivotField>
    <pivotField dataField="1" compact="0" outline="0" showAll="0"/>
  </pivotFields>
  <rowFields count="1">
    <field x="0"/>
  </rowFields>
  <rowItems count="3">
    <i>
      <x/>
    </i>
    <i>
      <x v="1"/>
    </i>
    <i>
      <x v="2"/>
    </i>
  </rowItems>
  <colItems count="1">
    <i/>
  </colItems>
  <dataFields count="1">
    <dataField name="Min of Times (h)" fld="1" subtotal="min" baseField="0"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location ref="E5:F9" firstHeaderRow="1" firstDataRow="1" firstDataCol="1" rowPageCount="1" colPageCount="1"/>
  <pivotFields count="3">
    <pivotField axis="axisPage" compact="0" outline="0" showAll="0">
      <items count="3">
        <item x="1"/>
        <item x="0"/>
        <item t="default"/>
      </items>
    </pivotField>
    <pivotField axis="axisRow" compact="0" outline="0" showAll="0">
      <items count="4">
        <item x="0"/>
        <item x="2"/>
        <item x="1"/>
        <item t="default"/>
      </items>
    </pivotField>
    <pivotField dataField="1" compact="0" outline="0" showAll="0"/>
  </pivotFields>
  <rowFields count="1">
    <field x="1"/>
  </rowFields>
  <rowItems count="4">
    <i>
      <x/>
    </i>
    <i>
      <x v="1"/>
    </i>
    <i>
      <x v="2"/>
    </i>
    <i t="grand">
      <x/>
    </i>
  </rowItems>
  <colItems count="1">
    <i/>
  </colItems>
  <pageFields count="1">
    <pageField fld="0" item="1" hier="-1"/>
  </pageFields>
  <dataFields count="1">
    <dataField name="Max of Sales" fld="2" subtotal="max"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rowGrandTotals="0" colGrandTotals="0" itemPrintTitles="1" createdVersion="5" indent="0" compact="0" compactData="0" multipleFieldFilters="0">
  <location ref="E4:F7" firstHeaderRow="1" firstDataRow="1" firstDataCol="1" rowPageCount="1" colPageCount="1"/>
  <pivotFields count="3">
    <pivotField axis="axisPage" compact="0" outline="0" multipleItemSelectionAllowed="1" showAll="0">
      <items count="4">
        <item h="1" x="0"/>
        <item x="1"/>
        <item x="2"/>
        <item t="default"/>
      </items>
    </pivotField>
    <pivotField axis="axisRow" compact="0" outline="0" showAll="0">
      <items count="4">
        <item x="2"/>
        <item x="1"/>
        <item x="0"/>
        <item t="default"/>
      </items>
    </pivotField>
    <pivotField dataField="1" compact="0" outline="0" showAll="0"/>
  </pivotFields>
  <rowFields count="1">
    <field x="1"/>
  </rowFields>
  <rowItems count="3">
    <i>
      <x/>
    </i>
    <i>
      <x v="1"/>
    </i>
    <i>
      <x v="2"/>
    </i>
  </rowItems>
  <colItems count="1">
    <i/>
  </colItems>
  <pageFields count="1">
    <pageField fld="0" hier="-1"/>
  </pageFields>
  <dataFields count="1">
    <dataField name="Min of Time (s)" fld="2" subtotal="min"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rowGrandTotals="0" colGrandTotals="0" itemPrintTitles="1" createdVersion="5" indent="0" compact="0" compactData="0" multipleFieldFilters="0">
  <location ref="E3:G11" firstHeaderRow="1" firstDataRow="2" firstDataCol="1"/>
  <pivotFields count="3">
    <pivotField axis="axisRow" compact="0" outline="0" showAll="0" defaultSubtotal="0">
      <items count="7">
        <item x="5"/>
        <item x="2"/>
        <item x="1"/>
        <item x="3"/>
        <item x="0"/>
        <item x="6"/>
        <item x="4"/>
      </items>
    </pivotField>
    <pivotField axis="axisCol" compact="0" outline="0" showAll="0">
      <items count="3">
        <item x="1"/>
        <item x="0"/>
        <item t="default"/>
      </items>
    </pivotField>
    <pivotField dataField="1" compact="0" outline="0" showAll="0"/>
  </pivotFields>
  <rowFields count="1">
    <field x="0"/>
  </rowFields>
  <rowItems count="7">
    <i>
      <x/>
    </i>
    <i>
      <x v="1"/>
    </i>
    <i>
      <x v="2"/>
    </i>
    <i>
      <x v="3"/>
    </i>
    <i>
      <x v="4"/>
    </i>
    <i>
      <x v="5"/>
    </i>
    <i>
      <x v="6"/>
    </i>
  </rowItems>
  <colFields count="1">
    <field x="1"/>
  </colFields>
  <colItems count="2">
    <i>
      <x/>
    </i>
    <i>
      <x v="1"/>
    </i>
  </colItems>
  <dataFields count="1">
    <dataField name="Show Qty"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location ref="C1:D12" firstHeaderRow="1" firstDataRow="1" firstDataCol="1"/>
  <pivotFields count="1">
    <pivotField axis="axisRow" dataField="1" compact="0" outline="0" showAll="0">
      <items count="11">
        <item x="2"/>
        <item x="0"/>
        <item x="8"/>
        <item x="3"/>
        <item x="1"/>
        <item x="5"/>
        <item x="4"/>
        <item x="6"/>
        <item x="7"/>
        <item x="9"/>
        <item t="default"/>
      </items>
    </pivotField>
  </pivotFields>
  <rowFields count="1">
    <field x="0"/>
  </rowFields>
  <rowItems count="11">
    <i>
      <x/>
    </i>
    <i>
      <x v="1"/>
    </i>
    <i>
      <x v="2"/>
    </i>
    <i>
      <x v="3"/>
    </i>
    <i>
      <x v="4"/>
    </i>
    <i>
      <x v="5"/>
    </i>
    <i>
      <x v="6"/>
    </i>
    <i>
      <x v="7"/>
    </i>
    <i>
      <x v="8"/>
    </i>
    <i>
      <x v="9"/>
    </i>
    <i t="grand">
      <x/>
    </i>
  </rowItems>
  <colItems count="1">
    <i/>
  </colItems>
  <dataFields count="1">
    <dataField name="Count of Value" fld="0" subtotal="count" baseField="0" baseItem="0"/>
  </dataFields>
  <formats count="4">
    <format dxfId="23">
      <pivotArea outline="0" collapsedLevelsAreSubtotals="1" fieldPosition="0">
        <references count="1">
          <reference field="0" count="1" selected="0">
            <x v="4"/>
          </reference>
        </references>
      </pivotArea>
    </format>
    <format dxfId="22">
      <pivotArea dataOnly="0" labelOnly="1" outline="0" fieldPosition="0">
        <references count="1">
          <reference field="0" count="1">
            <x v="4"/>
          </reference>
        </references>
      </pivotArea>
    </format>
    <format dxfId="21">
      <pivotArea outline="0" collapsedLevelsAreSubtotals="1" fieldPosition="0">
        <references count="1">
          <reference field="0" count="1" selected="0">
            <x v="7"/>
          </reference>
        </references>
      </pivotArea>
    </format>
    <format dxfId="20">
      <pivotArea dataOnly="0" labelOnly="1" outline="0" fieldPosition="0">
        <references count="1">
          <reference field="0" count="1">
            <x v="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location ref="F5:G8" firstHeaderRow="1" firstDataRow="1" firstDataCol="1" rowPageCount="3" colPageCount="1"/>
  <pivotFields count="4">
    <pivotField axis="axisPage" compact="0" numFmtId="14" outline="0" subtotalTop="0" multipleItemSelectionAllowed="1" showAll="0">
      <items count="3">
        <item x="0"/>
        <item h="1" x="1"/>
        <item t="default"/>
      </items>
    </pivotField>
    <pivotField axis="axisPage" compact="0" outline="0" subtotalTop="0" showAll="0">
      <items count="3">
        <item x="1"/>
        <item x="0"/>
        <item t="default"/>
      </items>
    </pivotField>
    <pivotField axis="axisPage" compact="0" outline="0" subtotalTop="0" showAll="0">
      <items count="4">
        <item x="1"/>
        <item x="2"/>
        <item x="0"/>
        <item t="default"/>
      </items>
    </pivotField>
    <pivotField axis="axisRow" dataField="1" compact="0" outline="0" subtotalTop="0" multipleItemSelectionAllowed="1" showAll="0" measureFilter="1">
      <items count="6">
        <item x="4"/>
        <item x="3"/>
        <item x="1"/>
        <item x="0"/>
        <item x="2"/>
        <item t="default"/>
      </items>
    </pivotField>
  </pivotFields>
  <rowFields count="1">
    <field x="3"/>
  </rowFields>
  <rowItems count="3">
    <i>
      <x v="3"/>
    </i>
    <i>
      <x v="4"/>
    </i>
    <i t="grand">
      <x/>
    </i>
  </rowItems>
  <colItems count="1">
    <i/>
  </colItems>
  <pageFields count="3">
    <pageField fld="0" hier="-1"/>
    <pageField fld="2" item="2" hier="-1"/>
    <pageField fld="1" item="1" hier="-1"/>
  </pageFields>
  <dataFields count="1">
    <dataField name="Sum of Cost" fld="3" baseField="0" baseItem="0"/>
  </dataFields>
  <pivotTableStyleInfo name="PivotStyleLight16" showRowHeaders="1" showColHeaders="1" showRowStripes="0" showColStripes="0" showLastColumn="1"/>
  <filters count="1">
    <filter fld="3" type="valueGreaterThan" evalOrder="-1" id="4" iMeasureFld="0">
      <autoFilter ref="A1">
        <filterColumn colId="0">
          <customFilters>
            <customFilter operator="greaterThan" val="1000"/>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3">
  <location ref="E3:F7" firstHeaderRow="1" firstDataRow="1" firstDataCol="1" rowPageCount="1" colPageCount="1"/>
  <pivotFields count="3">
    <pivotField axis="axisPage" showAll="0">
      <items count="3">
        <item x="1"/>
        <item x="0"/>
        <item t="default"/>
      </items>
    </pivotField>
    <pivotField axis="axisRow" showAll="0">
      <items count="6">
        <item x="2"/>
        <item x="4"/>
        <item x="1"/>
        <item x="0"/>
        <item x="3"/>
        <item t="default"/>
      </items>
    </pivotField>
    <pivotField dataField="1" numFmtId="8" showAll="0"/>
  </pivotFields>
  <rowFields count="1">
    <field x="1"/>
  </rowFields>
  <rowItems count="4">
    <i>
      <x/>
    </i>
    <i>
      <x v="1"/>
    </i>
    <i>
      <x v="4"/>
    </i>
    <i t="grand">
      <x/>
    </i>
  </rowItems>
  <colItems count="1">
    <i/>
  </colItems>
  <pageFields count="1">
    <pageField fld="0" item="0" hier="-1"/>
  </pageFields>
  <dataFields count="1">
    <dataField name="Sum of Sales" fld="2"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location ref="E1:F7" firstHeaderRow="1" firstDataRow="1" firstDataCol="1"/>
  <pivotFields count="3">
    <pivotField compact="0" numFmtId="175" outline="0" showAll="0"/>
    <pivotField axis="axisRow" dataField="1" compact="0" outline="0" showAll="0">
      <items count="6">
        <item x="2"/>
        <item x="4"/>
        <item x="3"/>
        <item x="1"/>
        <item x="0"/>
        <item t="default"/>
      </items>
    </pivotField>
    <pivotField compact="0" outline="0" showAll="0"/>
  </pivotFields>
  <rowFields count="1">
    <field x="1"/>
  </rowFields>
  <rowItems count="6">
    <i>
      <x/>
    </i>
    <i>
      <x v="1"/>
    </i>
    <i>
      <x v="2"/>
    </i>
    <i>
      <x v="3"/>
    </i>
    <i>
      <x v="4"/>
    </i>
    <i t="grand">
      <x/>
    </i>
  </rowItems>
  <colItems count="1">
    <i/>
  </colItems>
  <dataFields count="1">
    <dataField name="Count of Race Track" fld="1" subtotal="count" baseField="0" baseItem="0"/>
  </dataFields>
  <formats count="1">
    <format dxfId="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ities" sourceName="Cities">
  <pivotTables>
    <pivotTable tabId="261" name="PivotTable1"/>
  </pivotTables>
  <data>
    <tabular pivotCacheId="1">
      <items count="2">
        <i x="1" s="1"/>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ities" cache="Slicer_Cities" caption="Cities" rowHeight="241300"/>
</slicers>
</file>

<file path=xl/tables/table1.xml><?xml version="1.0" encoding="utf-8"?>
<table xmlns="http://schemas.openxmlformats.org/spreadsheetml/2006/main" id="1" name="Table1" displayName="Table1" ref="A1:B9" totalsRowCount="1" headerRowDxfId="31" headerRowBorderDxfId="30" tableBorderDxfId="29" totalsRowBorderDxfId="28">
  <autoFilter ref="A1:B8">
    <filterColumn colId="1">
      <top10 val="3" filterVal="1465"/>
    </filterColumn>
  </autoFilter>
  <tableColumns count="2">
    <tableColumn id="1" name="Customer" totalsRowLabel="Total" dataDxfId="27" totalsRowDxfId="26"/>
    <tableColumn id="2" name="Sales" totalsRowFunction="sum" dataDxfId="25" totalsRowDxfId="24" dataCellStyle="Comma"/>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1:D7" totalsRowCount="1" headerRowDxfId="19" headerRowBorderDxfId="18" tableBorderDxfId="17" totalsRowBorderDxfId="16">
  <autoFilter ref="A1:D6">
    <filterColumn colId="0">
      <filters>
        <dateGroupItem year="2013" month="3" day="5" dateTimeGrouping="day"/>
      </filters>
    </filterColumn>
    <filterColumn colId="3">
      <customFilters>
        <customFilter operator="greaterThan" val="1000"/>
      </customFilters>
    </filterColumn>
  </autoFilter>
  <tableColumns count="4">
    <tableColumn id="1" name="Date" dataDxfId="15" totalsRowDxfId="14"/>
    <tableColumn id="2" name="Auto" dataDxfId="13" totalsRowDxfId="12"/>
    <tableColumn id="3" name="Mechanic" dataDxfId="11" totalsRowDxfId="10"/>
    <tableColumn id="4" name="Cost" totalsRowFunction="average" dataDxfId="9" totalsRowDxf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1.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2.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2" Type="http://schemas.openxmlformats.org/officeDocument/2006/relationships/printerSettings" Target="../printerSettings/printerSettings25.bin"/><Relationship Id="rId1" Type="http://schemas.openxmlformats.org/officeDocument/2006/relationships/pivotTable" Target="../pivotTables/pivotTable3.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30.bin"/><Relationship Id="rId1" Type="http://schemas.openxmlformats.org/officeDocument/2006/relationships/pivotTable" Target="../pivotTables/pivotTable4.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5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0.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9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9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05.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10.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14.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115.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116.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18.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123.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125.xml.rels><?xml version="1.0" encoding="UTF-8" standalone="yes"?>
<Relationships xmlns="http://schemas.openxmlformats.org/package/2006/relationships"><Relationship Id="rId2" Type="http://schemas.openxmlformats.org/officeDocument/2006/relationships/printerSettings" Target="../printerSettings/printerSettings64.bin"/><Relationship Id="rId1" Type="http://schemas.openxmlformats.org/officeDocument/2006/relationships/pivotTable" Target="../pivotTables/pivotTable6.xml"/></Relationships>
</file>

<file path=xl/worksheets/_rels/sheet12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5.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128.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129.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130.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131.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132.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134.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140.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141.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150.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151.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152.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153.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156.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157.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_rels/sheet159.xml.rels><?xml version="1.0" encoding="UTF-8" standalone="yes"?>
<Relationships xmlns="http://schemas.openxmlformats.org/package/2006/relationships"><Relationship Id="rId1" Type="http://schemas.openxmlformats.org/officeDocument/2006/relationships/printerSettings" Target="../printerSettings/printerSettings85.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86.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87.bin"/></Relationships>
</file>

<file path=xl/worksheets/_rels/sheet16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6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7.xml"/></Relationships>
</file>

<file path=xl/worksheets/_rels/sheet187.xml.rels><?xml version="1.0" encoding="UTF-8" standalone="yes"?>
<Relationships xmlns="http://schemas.openxmlformats.org/package/2006/relationships"><Relationship Id="rId1" Type="http://schemas.openxmlformats.org/officeDocument/2006/relationships/printerSettings" Target="../printerSettings/printerSettings88.bin"/></Relationships>
</file>

<file path=xl/worksheets/_rels/sheet188.xml.rels><?xml version="1.0" encoding="UTF-8" standalone="yes"?>
<Relationships xmlns="http://schemas.openxmlformats.org/package/2006/relationships"><Relationship Id="rId1" Type="http://schemas.openxmlformats.org/officeDocument/2006/relationships/printerSettings" Target="../printerSettings/printerSettings89.bin"/></Relationships>
</file>

<file path=xl/worksheets/_rels/sheet189.xml.rels><?xml version="1.0" encoding="UTF-8" standalone="yes"?>
<Relationships xmlns="http://schemas.openxmlformats.org/package/2006/relationships"><Relationship Id="rId1" Type="http://schemas.openxmlformats.org/officeDocument/2006/relationships/printerSettings" Target="../printerSettings/printerSettings90.bin"/></Relationships>
</file>

<file path=xl/worksheets/_rels/sheet190.xml.rels><?xml version="1.0" encoding="UTF-8" standalone="yes"?>
<Relationships xmlns="http://schemas.openxmlformats.org/package/2006/relationships"><Relationship Id="rId1" Type="http://schemas.openxmlformats.org/officeDocument/2006/relationships/printerSettings" Target="../printerSettings/printerSettings91.bin"/></Relationships>
</file>

<file path=xl/worksheets/_rels/sheet19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2.bin"/></Relationships>
</file>

<file path=xl/worksheets/_rels/sheet19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93.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9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95.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207.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208.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209.xml.rels><?xml version="1.0" encoding="UTF-8" standalone="yes"?>
<Relationships xmlns="http://schemas.openxmlformats.org/package/2006/relationships"><Relationship Id="rId1" Type="http://schemas.openxmlformats.org/officeDocument/2006/relationships/printerSettings" Target="../printerSettings/printerSettings96.bin"/></Relationships>
</file>

<file path=xl/worksheets/_rels/sheet210.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215.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225.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226.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227.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228.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229.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232.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251.xml.rels><?xml version="1.0" encoding="UTF-8" standalone="yes"?>
<Relationships xmlns="http://schemas.openxmlformats.org/package/2006/relationships"><Relationship Id="rId1" Type="http://schemas.openxmlformats.org/officeDocument/2006/relationships/printerSettings" Target="../printerSettings/printerSettings104.bin"/></Relationships>
</file>

<file path=xl/worksheets/_rels/sheet260.xml.rels><?xml version="1.0" encoding="UTF-8" standalone="yes"?>
<Relationships xmlns="http://schemas.openxmlformats.org/package/2006/relationships"><Relationship Id="rId1" Type="http://schemas.openxmlformats.org/officeDocument/2006/relationships/printerSettings" Target="../printerSettings/printerSettings105.bin"/></Relationships>
</file>

<file path=xl/worksheets/_rels/sheet261.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262.xml.rels><?xml version="1.0" encoding="UTF-8" standalone="yes"?>
<Relationships xmlns="http://schemas.openxmlformats.org/package/2006/relationships"><Relationship Id="rId1" Type="http://schemas.openxmlformats.org/officeDocument/2006/relationships/printerSettings" Target="../printerSettings/printerSettings107.bin"/></Relationships>
</file>

<file path=xl/worksheets/_rels/sheet267.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272.xml.rels><?xml version="1.0" encoding="UTF-8" standalone="yes"?>
<Relationships xmlns="http://schemas.openxmlformats.org/package/2006/relationships"><Relationship Id="rId1" Type="http://schemas.openxmlformats.org/officeDocument/2006/relationships/printerSettings" Target="../printerSettings/printerSettings10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00FF"/>
  </sheetPr>
  <dimension ref="A1:E8"/>
  <sheetViews>
    <sheetView tabSelected="1" zoomScale="130" zoomScaleNormal="130" workbookViewId="0">
      <selection activeCell="E7" sqref="E7"/>
    </sheetView>
  </sheetViews>
  <sheetFormatPr defaultRowHeight="15" x14ac:dyDescent="0.25"/>
  <cols>
    <col min="1" max="1" width="11.7109375" customWidth="1"/>
    <col min="2" max="2" width="11" customWidth="1"/>
    <col min="3" max="3" width="1.85546875" customWidth="1"/>
    <col min="4" max="4" width="11.7109375" customWidth="1"/>
    <col min="5" max="5" width="11.42578125" customWidth="1"/>
  </cols>
  <sheetData>
    <row r="1" spans="1:5" x14ac:dyDescent="0.25">
      <c r="A1" s="1" t="s">
        <v>6</v>
      </c>
      <c r="B1" s="2"/>
      <c r="C1" s="2"/>
      <c r="D1" s="2"/>
      <c r="E1" s="3"/>
    </row>
    <row r="2" spans="1:5" x14ac:dyDescent="0.25">
      <c r="A2" s="4" t="s">
        <v>0</v>
      </c>
      <c r="B2" s="4" t="s">
        <v>1</v>
      </c>
      <c r="D2" s="4" t="s">
        <v>0</v>
      </c>
      <c r="E2" s="4" t="s">
        <v>2</v>
      </c>
    </row>
    <row r="3" spans="1:5" x14ac:dyDescent="0.25">
      <c r="A3" s="5" t="s">
        <v>3</v>
      </c>
      <c r="B3" s="5">
        <v>5</v>
      </c>
      <c r="D3" s="5" t="s">
        <v>4</v>
      </c>
      <c r="E3" s="6">
        <f t="array" ref="E3">MIN(IF($A$3:$A$8=D3,$B$3:$B$8))</f>
        <v>6</v>
      </c>
    </row>
    <row r="4" spans="1:5" x14ac:dyDescent="0.25">
      <c r="A4" s="5" t="s">
        <v>5</v>
      </c>
      <c r="B4" s="5">
        <v>8</v>
      </c>
      <c r="D4" s="5" t="s">
        <v>3</v>
      </c>
      <c r="E4" s="6">
        <f t="array" ref="E4">MIN(IF($A$3:$A$8=D4,$B$3:$B$8))</f>
        <v>4</v>
      </c>
    </row>
    <row r="5" spans="1:5" x14ac:dyDescent="0.25">
      <c r="A5" s="5" t="s">
        <v>4</v>
      </c>
      <c r="B5" s="5">
        <v>9</v>
      </c>
      <c r="D5" s="5" t="s">
        <v>5</v>
      </c>
      <c r="E5" s="6">
        <f t="array" ref="E5">MIN(IF($A$3:$A$8=D5,$B$3:$B$8))</f>
        <v>8</v>
      </c>
    </row>
    <row r="6" spans="1:5" x14ac:dyDescent="0.25">
      <c r="A6" s="5" t="s">
        <v>3</v>
      </c>
      <c r="B6" s="5">
        <v>4</v>
      </c>
    </row>
    <row r="7" spans="1:5" x14ac:dyDescent="0.25">
      <c r="A7" s="5" t="s">
        <v>5</v>
      </c>
      <c r="B7" s="5">
        <v>10</v>
      </c>
    </row>
    <row r="8" spans="1:5" x14ac:dyDescent="0.25">
      <c r="A8" s="5" t="s">
        <v>4</v>
      </c>
      <c r="B8" s="5">
        <v>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00FF"/>
  </sheetPr>
  <dimension ref="A1:G10"/>
  <sheetViews>
    <sheetView zoomScale="130" zoomScaleNormal="130" workbookViewId="0">
      <selection activeCell="E3" sqref="E3"/>
    </sheetView>
  </sheetViews>
  <sheetFormatPr defaultRowHeight="15" x14ac:dyDescent="0.25"/>
  <cols>
    <col min="1" max="1" width="13.140625" customWidth="1"/>
    <col min="2" max="2" width="13.28515625" customWidth="1"/>
    <col min="3" max="3" width="10.85546875" customWidth="1"/>
    <col min="4" max="4" width="11.28515625" customWidth="1"/>
    <col min="5" max="5" width="1.42578125" customWidth="1"/>
    <col min="6" max="6" width="11.5703125" customWidth="1"/>
    <col min="7" max="9" width="9.7109375" customWidth="1"/>
  </cols>
  <sheetData>
    <row r="1" spans="1:7" x14ac:dyDescent="0.25">
      <c r="A1" s="1" t="s">
        <v>20</v>
      </c>
      <c r="B1" s="2"/>
      <c r="C1" s="2"/>
      <c r="D1" s="3"/>
      <c r="F1" s="23" t="s">
        <v>16</v>
      </c>
      <c r="G1" s="23"/>
    </row>
    <row r="2" spans="1:7" x14ac:dyDescent="0.25">
      <c r="A2" s="4" t="s">
        <v>8</v>
      </c>
      <c r="B2" s="4" t="s">
        <v>9</v>
      </c>
      <c r="C2" s="4" t="s">
        <v>10</v>
      </c>
      <c r="D2" s="4" t="s">
        <v>11</v>
      </c>
      <c r="F2" s="8" t="s">
        <v>17</v>
      </c>
      <c r="G2" s="8" t="s">
        <v>11</v>
      </c>
    </row>
    <row r="3" spans="1:7" x14ac:dyDescent="0.25">
      <c r="A3" s="7">
        <v>41199</v>
      </c>
      <c r="B3" s="5" t="s">
        <v>12</v>
      </c>
      <c r="C3" s="5">
        <v>22</v>
      </c>
      <c r="D3" s="6">
        <f>VLOOKUP(B3,$F$3:$G$5,2,0)</f>
        <v>12.5</v>
      </c>
      <c r="F3" s="5" t="s">
        <v>12</v>
      </c>
      <c r="G3" s="5">
        <v>12.5</v>
      </c>
    </row>
    <row r="4" spans="1:7" x14ac:dyDescent="0.25">
      <c r="A4" s="7">
        <v>41199</v>
      </c>
      <c r="B4" s="5" t="s">
        <v>13</v>
      </c>
      <c r="C4" s="5">
        <v>36</v>
      </c>
      <c r="D4" s="6">
        <f>VLOOKUP(B4,$F$3:$G$5,2,0)</f>
        <v>19</v>
      </c>
      <c r="F4" s="5" t="s">
        <v>13</v>
      </c>
      <c r="G4" s="5">
        <v>19</v>
      </c>
    </row>
    <row r="5" spans="1:7" x14ac:dyDescent="0.25">
      <c r="A5" s="7">
        <v>41199</v>
      </c>
      <c r="B5" s="5" t="s">
        <v>12</v>
      </c>
      <c r="C5" s="5">
        <v>22</v>
      </c>
      <c r="D5" s="6">
        <f>VLOOKUP(B5,$F$3:$G$5,2,0)</f>
        <v>12.5</v>
      </c>
      <c r="F5" s="5" t="s">
        <v>14</v>
      </c>
      <c r="G5" s="5">
        <v>5.75</v>
      </c>
    </row>
    <row r="6" spans="1:7" x14ac:dyDescent="0.25">
      <c r="A6" s="7">
        <v>41199</v>
      </c>
      <c r="B6" s="5" t="s">
        <v>14</v>
      </c>
      <c r="C6" s="5">
        <v>14</v>
      </c>
      <c r="D6" s="6">
        <f>VLOOKUP(B6,$F$3:$G$5,2,0)</f>
        <v>5.75</v>
      </c>
    </row>
    <row r="7" spans="1:7" ht="15.75" thickBot="1" x14ac:dyDescent="0.3">
      <c r="A7" s="7">
        <v>41199</v>
      </c>
      <c r="B7" s="5" t="s">
        <v>13</v>
      </c>
      <c r="C7" s="5">
        <v>37.5</v>
      </c>
      <c r="D7" s="6">
        <f>VLOOKUP(B7,$F$3:$G$5,2,0)</f>
        <v>19</v>
      </c>
      <c r="F7" s="8" t="s">
        <v>15</v>
      </c>
      <c r="G7" s="6">
        <f>SUMPRODUCT(SUMIFS(G3:G5,F3:F5,B3:B7))</f>
        <v>68.75</v>
      </c>
    </row>
    <row r="8" spans="1:7" ht="15.75" thickBot="1" x14ac:dyDescent="0.3">
      <c r="C8" s="8" t="s">
        <v>15</v>
      </c>
      <c r="D8" s="9">
        <f>SUM(D3:D7)</f>
        <v>68.75</v>
      </c>
      <c r="G8" s="10" t="s">
        <v>7</v>
      </c>
    </row>
    <row r="9" spans="1:7" ht="15.75" thickTop="1" x14ac:dyDescent="0.25">
      <c r="F9" t="s">
        <v>18</v>
      </c>
    </row>
    <row r="10" spans="1:7" x14ac:dyDescent="0.25">
      <c r="F10" t="s">
        <v>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00FF"/>
  </sheetPr>
  <dimension ref="A1:J13"/>
  <sheetViews>
    <sheetView zoomScale="130" zoomScaleNormal="130" workbookViewId="0">
      <selection activeCell="E3" sqref="E3"/>
    </sheetView>
  </sheetViews>
  <sheetFormatPr defaultRowHeight="15" x14ac:dyDescent="0.25"/>
  <cols>
    <col min="1" max="1" width="10" customWidth="1"/>
    <col min="2" max="2" width="8.7109375" bestFit="1" customWidth="1"/>
    <col min="3" max="3" width="9.5703125" bestFit="1" customWidth="1"/>
    <col min="4" max="4" width="7.140625" bestFit="1" customWidth="1"/>
    <col min="5" max="5" width="1.28515625" customWidth="1"/>
    <col min="6" max="6" width="9.5703125" customWidth="1"/>
    <col min="7" max="7" width="8" bestFit="1" customWidth="1"/>
    <col min="8" max="8" width="7.140625" bestFit="1" customWidth="1"/>
    <col min="9" max="9" width="9.5703125" customWidth="1"/>
    <col min="10" max="10" width="5.5703125" bestFit="1" customWidth="1"/>
  </cols>
  <sheetData>
    <row r="1" spans="1:10" x14ac:dyDescent="0.25">
      <c r="A1" s="1" t="s">
        <v>34</v>
      </c>
      <c r="B1" s="17"/>
      <c r="C1" s="17"/>
      <c r="D1" s="17"/>
      <c r="E1" s="17"/>
      <c r="F1" s="17"/>
      <c r="G1" s="18"/>
    </row>
    <row r="2" spans="1:10" x14ac:dyDescent="0.25">
      <c r="A2" s="16" t="s">
        <v>21</v>
      </c>
      <c r="B2" s="4" t="s">
        <v>8</v>
      </c>
      <c r="C2" s="4" t="s">
        <v>8</v>
      </c>
      <c r="D2" s="4" t="s">
        <v>22</v>
      </c>
      <c r="F2" s="11" t="s">
        <v>33</v>
      </c>
    </row>
    <row r="3" spans="1:10" x14ac:dyDescent="0.25">
      <c r="B3" s="19">
        <v>40940</v>
      </c>
      <c r="C3" s="19">
        <v>41425</v>
      </c>
      <c r="D3" s="5" t="s">
        <v>23</v>
      </c>
      <c r="F3" s="12">
        <f>COUNTIFS(A6:A13,"&gt;="&amp;B3,A6:A13,"&lt;="&amp;C3,B6:B13,D3)</f>
        <v>2</v>
      </c>
    </row>
    <row r="4" spans="1:10" ht="3.75" customHeight="1" x14ac:dyDescent="0.25"/>
    <row r="5" spans="1:10" x14ac:dyDescent="0.25">
      <c r="A5" s="8" t="s">
        <v>8</v>
      </c>
      <c r="B5" s="8" t="s">
        <v>22</v>
      </c>
      <c r="C5" s="8" t="s">
        <v>24</v>
      </c>
      <c r="D5" s="8" t="s">
        <v>25</v>
      </c>
    </row>
    <row r="6" spans="1:10" x14ac:dyDescent="0.25">
      <c r="A6" s="13">
        <v>41484</v>
      </c>
      <c r="B6" s="5" t="s">
        <v>27</v>
      </c>
      <c r="C6" s="5" t="s">
        <v>28</v>
      </c>
      <c r="D6" s="5">
        <v>929</v>
      </c>
      <c r="F6" s="23" t="s">
        <v>26</v>
      </c>
      <c r="G6" s="23"/>
      <c r="H6" s="23"/>
      <c r="I6" s="23"/>
      <c r="J6" s="23"/>
    </row>
    <row r="7" spans="1:10" x14ac:dyDescent="0.25">
      <c r="A7" s="13">
        <v>40946</v>
      </c>
      <c r="B7" s="5" t="s">
        <v>23</v>
      </c>
      <c r="C7" s="5" t="s">
        <v>30</v>
      </c>
      <c r="D7" s="5">
        <v>681</v>
      </c>
      <c r="F7" s="8" t="s">
        <v>29</v>
      </c>
      <c r="G7" s="8" t="s">
        <v>8</v>
      </c>
      <c r="H7" s="8" t="s">
        <v>22</v>
      </c>
      <c r="I7" s="8" t="s">
        <v>24</v>
      </c>
      <c r="J7" s="8" t="s">
        <v>25</v>
      </c>
    </row>
    <row r="8" spans="1:10" x14ac:dyDescent="0.25">
      <c r="A8" s="13">
        <v>41175</v>
      </c>
      <c r="B8" s="5" t="s">
        <v>31</v>
      </c>
      <c r="C8" s="14" t="s">
        <v>32</v>
      </c>
      <c r="D8" s="5">
        <v>1393</v>
      </c>
      <c r="F8" s="5">
        <v>1</v>
      </c>
      <c r="G8" s="15">
        <f>IF(ROWS(G$8:G8)&gt;$F$3,"",INDEX(A$6:A$13,_xlfn.AGGREGATE(15,6,(ROW($A$6:$A$13)-ROW($A$6)+1)/
(($A$6:$A$13&gt;=$B$3)*($A$6:$A$13&lt;=$C$3)*($B$6:$B$13=$D$3)),ROWS(G$8:G8))))</f>
        <v>40946</v>
      </c>
      <c r="H8" s="12" t="str">
        <f>IF(ROWS(H$8:H8)&gt;$F$3,"",INDEX(B$6:B$13,_xlfn.AGGREGATE(15,6,(ROW($A$6:$A$13)-ROW($A$6)+1)/(($A$6:$A$13&gt;=$B$3)*($A$6:$A$13&lt;=$C$3)*($B$6:$B$13=$D$3)),ROWS(H$8:H8))))</f>
        <v>East</v>
      </c>
      <c r="I8" s="12" t="str">
        <f>IF(ROWS(I$8:I8)&gt;$F$3,"",INDEX(C$6:C$13,_xlfn.AGGREGATE(15,6,(ROW($A$6:$A$13)-ROW($A$6)+1)/(($A$6:$A$13&gt;=$B$3)*($A$6:$A$13&lt;=$C$3)*($B$6:$B$13=$D$3)),ROWS(I$8:I8))))</f>
        <v>SW</v>
      </c>
      <c r="J8" s="12">
        <f>IF(ROWS(J$8:J8)&gt;$F$3,"",INDEX(D$6:D$13,_xlfn.AGGREGATE(15,6,(ROW($A$6:$A$13)-ROW($A$6)+1)/(($A$6:$A$13&gt;=$B$3)*($A$6:$A$13&lt;=$C$3)*($B$6:$B$13=$D$3)),ROWS(J$8:J8))))</f>
        <v>681</v>
      </c>
    </row>
    <row r="9" spans="1:10" x14ac:dyDescent="0.25">
      <c r="A9" s="13">
        <v>41013</v>
      </c>
      <c r="B9" s="5" t="s">
        <v>27</v>
      </c>
      <c r="C9" s="14" t="s">
        <v>28</v>
      </c>
      <c r="D9" s="5">
        <v>530</v>
      </c>
      <c r="F9" s="5">
        <v>2</v>
      </c>
      <c r="G9" s="15">
        <f>IF(ROWS(G$8:G9)&gt;$F$3,"",INDEX(A$6:A$13,_xlfn.AGGREGATE(15,6,(ROW($A$6:$A$13)-ROW($A$6)+1)/(($A$6:$A$13&gt;=$B$3)*($A$6:$A$13&lt;=$C$3)*($B$6:$B$13=$D$3)),ROWS(G$8:G9))))</f>
        <v>41116</v>
      </c>
      <c r="H9" s="12" t="str">
        <f>IF(ROWS(H$8:H9)&gt;$F$3,"",INDEX(B$6:B$13,_xlfn.AGGREGATE(15,6,(ROW($A$6:$A$13)-ROW($A$6)+1)/(($A$6:$A$13&gt;=$B$3)*($A$6:$A$13&lt;=$C$3)*($B$6:$B$13=$D$3)),ROWS(H$8:H9))))</f>
        <v>East</v>
      </c>
      <c r="I9" s="12" t="str">
        <f>IF(ROWS(I$8:I9)&gt;$F$3,"",INDEX(C$6:C$13,_xlfn.AGGREGATE(15,6,(ROW($A$6:$A$13)-ROW($A$6)+1)/(($A$6:$A$13&gt;=$B$3)*($A$6:$A$13&lt;=$C$3)*($B$6:$B$13=$D$3)),ROWS(I$8:I9))))</f>
        <v>WFMI</v>
      </c>
      <c r="J9" s="12">
        <f>IF(ROWS(J$8:J9)&gt;$F$3,"",INDEX(D$6:D$13,_xlfn.AGGREGATE(15,6,(ROW($A$6:$A$13)-ROW($A$6)+1)/(($A$6:$A$13&gt;=$B$3)*($A$6:$A$13&lt;=$C$3)*($B$6:$B$13=$D$3)),ROWS(J$8:J9))))</f>
        <v>1058</v>
      </c>
    </row>
    <row r="10" spans="1:10" x14ac:dyDescent="0.25">
      <c r="A10" s="13">
        <v>41116</v>
      </c>
      <c r="B10" s="5" t="s">
        <v>23</v>
      </c>
      <c r="C10" s="14" t="s">
        <v>28</v>
      </c>
      <c r="D10" s="5">
        <v>1058</v>
      </c>
      <c r="F10" s="5">
        <v>3</v>
      </c>
      <c r="G10" s="15" t="str">
        <f>IF(ROWS(G$8:G10)&gt;$F$3,"",INDEX(A$6:A$13,_xlfn.AGGREGATE(15,6,(ROW($A$6:$A$13)-ROW($A$6)+1)/(($A$6:$A$13&gt;=$B$3)*($A$6:$A$13&lt;=$C$3)*($B$6:$B$13=$D$3)),ROWS(G$8:G10))))</f>
        <v/>
      </c>
      <c r="H10" s="12" t="str">
        <f>IF(ROWS(H$8:H10)&gt;$F$3,"",INDEX(B$6:B$13,_xlfn.AGGREGATE(15,6,(ROW($A$6:$A$13)-ROW($A$6)+1)/(($A$6:$A$13&gt;=$B$3)*($A$6:$A$13&lt;=$C$3)*($B$6:$B$13=$D$3)),ROWS(H$8:H10))))</f>
        <v/>
      </c>
      <c r="I10" s="12" t="str">
        <f>IF(ROWS(I$8:I10)&gt;$F$3,"",INDEX(C$6:C$13,_xlfn.AGGREGATE(15,6,(ROW($A$6:$A$13)-ROW($A$6)+1)/(($A$6:$A$13&gt;=$B$3)*($A$6:$A$13&lt;=$C$3)*($B$6:$B$13=$D$3)),ROWS(I$8:I10))))</f>
        <v/>
      </c>
      <c r="J10" s="12" t="str">
        <f>IF(ROWS(J$8:J10)&gt;$F$3,"",INDEX(D$6:D$13,_xlfn.AGGREGATE(15,6,(ROW($A$6:$A$13)-ROW($A$6)+1)/(($A$6:$A$13&gt;=$B$3)*($A$6:$A$13&lt;=$C$3)*($B$6:$B$13=$D$3)),ROWS(J$8:J10))))</f>
        <v/>
      </c>
    </row>
    <row r="11" spans="1:10" x14ac:dyDescent="0.25">
      <c r="A11" s="13">
        <v>41559</v>
      </c>
      <c r="B11" s="5" t="s">
        <v>31</v>
      </c>
      <c r="C11" s="14" t="s">
        <v>30</v>
      </c>
      <c r="D11" s="5">
        <v>1023</v>
      </c>
      <c r="F11" s="5">
        <v>4</v>
      </c>
      <c r="G11" s="15" t="str">
        <f>IF(ROWS(G$8:G11)&gt;$F$3,"",INDEX(A$6:A$13,_xlfn.AGGREGATE(15,6,(ROW($A$6:$A$13)-ROW($A$6)+1)/(($A$6:$A$13&gt;=$B$3)*($A$6:$A$13&lt;=$C$3)*($B$6:$B$13=$D$3)),ROWS(G$8:G11))))</f>
        <v/>
      </c>
      <c r="H11" s="12" t="str">
        <f>IF(ROWS(H$8:H11)&gt;$F$3,"",INDEX(B$6:B$13,_xlfn.AGGREGATE(15,6,(ROW($A$6:$A$13)-ROW($A$6)+1)/(($A$6:$A$13&gt;=$B$3)*($A$6:$A$13&lt;=$C$3)*($B$6:$B$13=$D$3)),ROWS(H$8:H11))))</f>
        <v/>
      </c>
      <c r="I11" s="12" t="str">
        <f>IF(ROWS(I$8:I11)&gt;$F$3,"",INDEX(C$6:C$13,_xlfn.AGGREGATE(15,6,(ROW($A$6:$A$13)-ROW($A$6)+1)/(($A$6:$A$13&gt;=$B$3)*($A$6:$A$13&lt;=$C$3)*($B$6:$B$13=$D$3)),ROWS(I$8:I11))))</f>
        <v/>
      </c>
      <c r="J11" s="12" t="str">
        <f>IF(ROWS(J$8:J11)&gt;$F$3,"",INDEX(D$6:D$13,_xlfn.AGGREGATE(15,6,(ROW($A$6:$A$13)-ROW($A$6)+1)/(($A$6:$A$13&gt;=$B$3)*($A$6:$A$13&lt;=$C$3)*($B$6:$B$13=$D$3)),ROWS(J$8:J11))))</f>
        <v/>
      </c>
    </row>
    <row r="12" spans="1:10" x14ac:dyDescent="0.25">
      <c r="A12" s="13">
        <v>41216</v>
      </c>
      <c r="B12" s="5" t="s">
        <v>27</v>
      </c>
      <c r="C12" s="14" t="s">
        <v>32</v>
      </c>
      <c r="D12" s="5">
        <v>436</v>
      </c>
    </row>
    <row r="13" spans="1:10" x14ac:dyDescent="0.25">
      <c r="A13" s="13">
        <v>41520</v>
      </c>
      <c r="B13" s="5" t="s">
        <v>27</v>
      </c>
      <c r="C13" s="14" t="s">
        <v>32</v>
      </c>
      <c r="D13" s="5">
        <v>1311</v>
      </c>
    </row>
  </sheetData>
  <conditionalFormatting sqref="A6:D13">
    <cfRule type="expression" dxfId="42" priority="1">
      <formula>AND($A6&gt;=$B$3,$A6&lt;=$C$3,$B6=$D$3)</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00FF"/>
  </sheetPr>
  <dimension ref="A1:B4"/>
  <sheetViews>
    <sheetView zoomScale="115" zoomScaleNormal="115" workbookViewId="0">
      <selection activeCell="E3" sqref="E3"/>
    </sheetView>
  </sheetViews>
  <sheetFormatPr defaultRowHeight="15" x14ac:dyDescent="0.25"/>
  <cols>
    <col min="1" max="1" width="29.7109375" customWidth="1"/>
    <col min="2" max="2" width="15.42578125" customWidth="1"/>
    <col min="3" max="3" width="9.85546875" bestFit="1" customWidth="1"/>
    <col min="5" max="5" width="14.140625" customWidth="1"/>
  </cols>
  <sheetData>
    <row r="1" spans="1:2" x14ac:dyDescent="0.25">
      <c r="A1" s="1" t="s">
        <v>35</v>
      </c>
      <c r="B1" s="18"/>
    </row>
    <row r="2" spans="1:2" x14ac:dyDescent="0.25">
      <c r="A2" s="8" t="s">
        <v>36</v>
      </c>
      <c r="B2" s="7">
        <v>41252</v>
      </c>
    </row>
    <row r="3" spans="1:2" x14ac:dyDescent="0.25">
      <c r="A3" s="8" t="s">
        <v>37</v>
      </c>
      <c r="B3" s="7">
        <f>B2+700</f>
        <v>41952</v>
      </c>
    </row>
    <row r="4" spans="1:2" x14ac:dyDescent="0.25">
      <c r="A4" s="8" t="s">
        <v>38</v>
      </c>
      <c r="B4" s="6">
        <f ca="1">SUMPRODUCT(--(TEXT(ROW(INDIRECT(B2&amp;":"&amp;B3)),
"dddd dd")="Friday 13"))</f>
        <v>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00FF"/>
  </sheetPr>
  <dimension ref="A1:F8"/>
  <sheetViews>
    <sheetView zoomScale="130" zoomScaleNormal="130" workbookViewId="0">
      <selection activeCell="E3" sqref="E3"/>
    </sheetView>
  </sheetViews>
  <sheetFormatPr defaultRowHeight="15" x14ac:dyDescent="0.25"/>
  <cols>
    <col min="1" max="5" width="8.140625" customWidth="1"/>
    <col min="6" max="6" width="27" customWidth="1"/>
  </cols>
  <sheetData>
    <row r="1" spans="1:6" x14ac:dyDescent="0.25">
      <c r="A1" s="1" t="s">
        <v>46</v>
      </c>
      <c r="B1" s="21"/>
      <c r="C1" s="21"/>
      <c r="D1" s="21"/>
      <c r="E1" s="22"/>
    </row>
    <row r="2" spans="1:6" x14ac:dyDescent="0.25">
      <c r="A2" s="8" t="s">
        <v>40</v>
      </c>
      <c r="B2" s="8" t="s">
        <v>8</v>
      </c>
      <c r="C2" s="8" t="s">
        <v>41</v>
      </c>
      <c r="D2" s="8" t="s">
        <v>42</v>
      </c>
      <c r="E2" s="8" t="s">
        <v>43</v>
      </c>
    </row>
    <row r="3" spans="1:6" ht="18.75" x14ac:dyDescent="0.3">
      <c r="A3" s="5" t="s">
        <v>44</v>
      </c>
      <c r="B3" s="19">
        <v>41183</v>
      </c>
      <c r="C3" s="5">
        <v>759</v>
      </c>
      <c r="D3" s="5">
        <v>762</v>
      </c>
      <c r="E3" s="6">
        <f>D3-C3</f>
        <v>3</v>
      </c>
      <c r="F3" s="24" t="s">
        <v>1484</v>
      </c>
    </row>
    <row r="4" spans="1:6" ht="18.75" x14ac:dyDescent="0.3">
      <c r="A4" s="5" t="s">
        <v>44</v>
      </c>
      <c r="B4" s="19">
        <v>41184</v>
      </c>
      <c r="C4" s="5">
        <v>765</v>
      </c>
      <c r="D4" s="5">
        <v>757</v>
      </c>
      <c r="E4" s="6">
        <f>D4-C4</f>
        <v>-8</v>
      </c>
      <c r="F4" s="24"/>
    </row>
    <row r="5" spans="1:6" ht="18.75" x14ac:dyDescent="0.3">
      <c r="A5" s="5" t="s">
        <v>44</v>
      </c>
      <c r="B5" s="19">
        <v>41185</v>
      </c>
      <c r="C5" s="5">
        <v>756</v>
      </c>
      <c r="D5" s="5">
        <v>763</v>
      </c>
      <c r="E5" s="6">
        <f>D5-C5</f>
        <v>7</v>
      </c>
      <c r="F5" s="24"/>
    </row>
    <row r="6" spans="1:6" ht="18.75" x14ac:dyDescent="0.3">
      <c r="A6" s="5" t="s">
        <v>44</v>
      </c>
      <c r="B6" s="19">
        <v>41186</v>
      </c>
      <c r="C6" s="5">
        <v>762</v>
      </c>
      <c r="D6" s="5">
        <v>768</v>
      </c>
      <c r="E6" s="6">
        <f>D6-C6</f>
        <v>6</v>
      </c>
      <c r="F6" s="24"/>
    </row>
    <row r="8" spans="1:6" ht="18.75" x14ac:dyDescent="0.3">
      <c r="D8" s="8" t="s">
        <v>394</v>
      </c>
      <c r="E8" s="6">
        <f>MAX(E3:E6)</f>
        <v>7</v>
      </c>
      <c r="F8" s="24"/>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00FF"/>
  </sheetPr>
  <dimension ref="A1:E8"/>
  <sheetViews>
    <sheetView zoomScale="130" zoomScaleNormal="130" workbookViewId="0">
      <selection activeCell="E3" sqref="E3"/>
    </sheetView>
  </sheetViews>
  <sheetFormatPr defaultRowHeight="15" x14ac:dyDescent="0.25"/>
  <cols>
    <col min="1" max="5" width="8.140625" customWidth="1"/>
  </cols>
  <sheetData>
    <row r="1" spans="1:5" x14ac:dyDescent="0.25">
      <c r="A1" s="1" t="s">
        <v>47</v>
      </c>
      <c r="B1" s="21"/>
      <c r="C1" s="21"/>
      <c r="D1" s="22"/>
    </row>
    <row r="2" spans="1:5" x14ac:dyDescent="0.25">
      <c r="A2" s="8" t="s">
        <v>40</v>
      </c>
      <c r="B2" s="8" t="s">
        <v>8</v>
      </c>
      <c r="C2" s="8" t="s">
        <v>41</v>
      </c>
      <c r="D2" s="8" t="s">
        <v>42</v>
      </c>
    </row>
    <row r="3" spans="1:5" x14ac:dyDescent="0.25">
      <c r="A3" s="5" t="s">
        <v>44</v>
      </c>
      <c r="B3" s="19">
        <v>41183</v>
      </c>
      <c r="C3" s="5">
        <v>759</v>
      </c>
      <c r="D3" s="5">
        <v>762</v>
      </c>
    </row>
    <row r="4" spans="1:5" x14ac:dyDescent="0.25">
      <c r="A4" s="5" t="s">
        <v>44</v>
      </c>
      <c r="B4" s="19">
        <v>41184</v>
      </c>
      <c r="C4" s="5">
        <v>765</v>
      </c>
      <c r="D4" s="5">
        <v>757</v>
      </c>
    </row>
    <row r="5" spans="1:5" x14ac:dyDescent="0.25">
      <c r="A5" s="5" t="s">
        <v>44</v>
      </c>
      <c r="B5" s="19">
        <v>41185</v>
      </c>
      <c r="C5" s="5">
        <v>756</v>
      </c>
      <c r="D5" s="5">
        <v>763</v>
      </c>
    </row>
    <row r="6" spans="1:5" x14ac:dyDescent="0.25">
      <c r="A6" s="5" t="s">
        <v>44</v>
      </c>
      <c r="B6" s="19">
        <v>41186</v>
      </c>
      <c r="C6" s="5">
        <v>762</v>
      </c>
      <c r="D6" s="5">
        <v>768</v>
      </c>
    </row>
    <row r="8" spans="1:5" ht="18.75" x14ac:dyDescent="0.3">
      <c r="C8" s="8" t="s">
        <v>45</v>
      </c>
      <c r="D8" s="6">
        <f t="array" ref="D8">MAX(D3:D6-C3:C6)</f>
        <v>7</v>
      </c>
      <c r="E8" s="24" t="s">
        <v>1485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00FF"/>
  </sheetPr>
  <dimension ref="A1:G10"/>
  <sheetViews>
    <sheetView zoomScale="130" zoomScaleNormal="130" workbookViewId="0">
      <selection activeCell="E3" sqref="E3"/>
    </sheetView>
  </sheetViews>
  <sheetFormatPr defaultRowHeight="15" x14ac:dyDescent="0.25"/>
  <cols>
    <col min="1" max="5" width="8.140625" customWidth="1"/>
    <col min="6" max="6" width="2.28515625" customWidth="1"/>
    <col min="8" max="8" width="10.85546875" customWidth="1"/>
  </cols>
  <sheetData>
    <row r="1" spans="1:7" x14ac:dyDescent="0.25">
      <c r="A1" s="20" t="s">
        <v>48</v>
      </c>
      <c r="B1" s="17"/>
      <c r="C1" s="17"/>
      <c r="D1" s="17"/>
      <c r="E1" s="18"/>
    </row>
    <row r="2" spans="1:7" x14ac:dyDescent="0.25">
      <c r="A2" s="8" t="s">
        <v>40</v>
      </c>
      <c r="B2" s="8" t="s">
        <v>8</v>
      </c>
      <c r="C2" s="8" t="s">
        <v>41</v>
      </c>
      <c r="D2" s="8" t="s">
        <v>42</v>
      </c>
      <c r="E2" s="8" t="s">
        <v>43</v>
      </c>
    </row>
    <row r="3" spans="1:7" x14ac:dyDescent="0.25">
      <c r="A3" s="5" t="s">
        <v>44</v>
      </c>
      <c r="B3" s="19">
        <v>41183</v>
      </c>
      <c r="C3" s="5">
        <v>759</v>
      </c>
      <c r="D3" s="5">
        <v>762</v>
      </c>
      <c r="E3" s="6">
        <f>D3-C3</f>
        <v>3</v>
      </c>
      <c r="G3" t="s">
        <v>49</v>
      </c>
    </row>
    <row r="4" spans="1:7" x14ac:dyDescent="0.25">
      <c r="A4" s="5" t="s">
        <v>44</v>
      </c>
      <c r="B4" s="19">
        <v>41184</v>
      </c>
      <c r="C4" s="5">
        <v>765</v>
      </c>
      <c r="D4" s="5">
        <v>757</v>
      </c>
      <c r="E4" s="6">
        <f>D4-C4</f>
        <v>-8</v>
      </c>
      <c r="G4" t="s">
        <v>50</v>
      </c>
    </row>
    <row r="5" spans="1:7" x14ac:dyDescent="0.25">
      <c r="A5" s="5" t="s">
        <v>44</v>
      </c>
      <c r="B5" s="19">
        <v>41185</v>
      </c>
      <c r="C5" s="5">
        <v>756</v>
      </c>
      <c r="D5" s="5">
        <v>763</v>
      </c>
      <c r="E5" s="6">
        <f>D5-C5</f>
        <v>7</v>
      </c>
    </row>
    <row r="6" spans="1:7" x14ac:dyDescent="0.25">
      <c r="A6" s="5" t="s">
        <v>44</v>
      </c>
      <c r="B6" s="19">
        <v>41186</v>
      </c>
      <c r="C6" s="5">
        <v>762</v>
      </c>
      <c r="D6" s="5">
        <v>768</v>
      </c>
      <c r="E6" s="6">
        <f>D6-C6</f>
        <v>6</v>
      </c>
    </row>
    <row r="8" spans="1:7" x14ac:dyDescent="0.25">
      <c r="A8" s="8" t="s">
        <v>45</v>
      </c>
      <c r="B8" s="6">
        <f>MAX(E3:E6)</f>
        <v>7</v>
      </c>
    </row>
    <row r="10" spans="1:7" x14ac:dyDescent="0.25">
      <c r="A10" t="s">
        <v>1486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00FF"/>
  </sheetPr>
  <dimension ref="A1:G17"/>
  <sheetViews>
    <sheetView zoomScale="130" zoomScaleNormal="130" workbookViewId="0">
      <selection activeCell="E3" sqref="E3"/>
    </sheetView>
  </sheetViews>
  <sheetFormatPr defaultRowHeight="15" x14ac:dyDescent="0.25"/>
  <cols>
    <col min="1" max="5" width="8.140625" customWidth="1"/>
    <col min="6" max="6" width="2.28515625" customWidth="1"/>
    <col min="7" max="7" width="19.5703125" customWidth="1"/>
    <col min="8" max="8" width="10.7109375" customWidth="1"/>
  </cols>
  <sheetData>
    <row r="1" spans="1:7" x14ac:dyDescent="0.25">
      <c r="A1" s="20" t="s">
        <v>48</v>
      </c>
      <c r="B1" s="17"/>
      <c r="C1" s="17"/>
      <c r="D1" s="17"/>
      <c r="E1" s="18"/>
    </row>
    <row r="2" spans="1:7" x14ac:dyDescent="0.25">
      <c r="A2" s="8" t="s">
        <v>40</v>
      </c>
      <c r="B2" s="8" t="s">
        <v>8</v>
      </c>
      <c r="C2" s="8" t="s">
        <v>41</v>
      </c>
      <c r="D2" s="8" t="s">
        <v>42</v>
      </c>
      <c r="E2" s="8" t="s">
        <v>43</v>
      </c>
    </row>
    <row r="3" spans="1:7" x14ac:dyDescent="0.25">
      <c r="A3" s="5" t="s">
        <v>44</v>
      </c>
      <c r="B3" s="19">
        <v>41183</v>
      </c>
      <c r="C3" s="5">
        <v>759</v>
      </c>
      <c r="D3" s="5">
        <v>762</v>
      </c>
      <c r="E3" s="6">
        <f>D3-C3</f>
        <v>3</v>
      </c>
      <c r="G3" t="s">
        <v>49</v>
      </c>
    </row>
    <row r="4" spans="1:7" x14ac:dyDescent="0.25">
      <c r="A4" s="5" t="s">
        <v>44</v>
      </c>
      <c r="B4" s="19">
        <v>41184</v>
      </c>
      <c r="C4" s="5">
        <v>765</v>
      </c>
      <c r="D4" s="5">
        <v>757</v>
      </c>
      <c r="E4" s="6">
        <f>D4-C4</f>
        <v>-8</v>
      </c>
      <c r="G4" t="s">
        <v>50</v>
      </c>
    </row>
    <row r="5" spans="1:7" x14ac:dyDescent="0.25">
      <c r="A5" s="5" t="s">
        <v>44</v>
      </c>
      <c r="B5" s="19">
        <v>41185</v>
      </c>
      <c r="C5" s="5">
        <v>756</v>
      </c>
      <c r="D5" s="5">
        <v>763</v>
      </c>
      <c r="E5" s="6">
        <f>D5-C5</f>
        <v>7</v>
      </c>
    </row>
    <row r="6" spans="1:7" x14ac:dyDescent="0.25">
      <c r="A6" s="5" t="s">
        <v>44</v>
      </c>
      <c r="B6" s="19">
        <v>41186</v>
      </c>
      <c r="C6" s="5">
        <v>762</v>
      </c>
      <c r="D6" s="5">
        <v>768</v>
      </c>
      <c r="E6" s="6">
        <f>D6-C6</f>
        <v>6</v>
      </c>
    </row>
    <row r="8" spans="1:7" x14ac:dyDescent="0.25">
      <c r="A8" s="8" t="s">
        <v>45</v>
      </c>
      <c r="B8" s="6">
        <f t="array" ref="B8">MAX(D3:D6-C3:C6)</f>
        <v>7</v>
      </c>
    </row>
    <row r="13" spans="1:7" x14ac:dyDescent="0.25">
      <c r="A13" t="s">
        <v>1487</v>
      </c>
    </row>
    <row r="14" spans="1:7" x14ac:dyDescent="0.25">
      <c r="A14" t="s">
        <v>59</v>
      </c>
    </row>
    <row r="15" spans="1:7" x14ac:dyDescent="0.25">
      <c r="A15" t="s">
        <v>62</v>
      </c>
    </row>
    <row r="16" spans="1:7" x14ac:dyDescent="0.25">
      <c r="A16" t="s">
        <v>60</v>
      </c>
    </row>
    <row r="17" spans="1:1" x14ac:dyDescent="0.25">
      <c r="A17">
        <v>7</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00FF"/>
  </sheetPr>
  <dimension ref="A1:G10"/>
  <sheetViews>
    <sheetView zoomScale="130" zoomScaleNormal="130" workbookViewId="0">
      <selection activeCell="E3" sqref="E3"/>
    </sheetView>
  </sheetViews>
  <sheetFormatPr defaultRowHeight="15" x14ac:dyDescent="0.25"/>
  <cols>
    <col min="1" max="3" width="8.140625" customWidth="1"/>
    <col min="4" max="4" width="9.42578125" customWidth="1"/>
    <col min="5" max="5" width="1" customWidth="1"/>
    <col min="6" max="6" width="8" customWidth="1"/>
    <col min="7" max="7" width="28.85546875" customWidth="1"/>
    <col min="8" max="9" width="5.85546875" customWidth="1"/>
    <col min="10" max="10" width="9.7109375" customWidth="1"/>
    <col min="11" max="12" width="7.42578125" customWidth="1"/>
    <col min="13" max="13" width="16" customWidth="1"/>
    <col min="15" max="15" width="13" customWidth="1"/>
  </cols>
  <sheetData>
    <row r="1" spans="1:7" x14ac:dyDescent="0.25">
      <c r="A1" s="20" t="s">
        <v>48</v>
      </c>
      <c r="B1" s="17"/>
      <c r="C1" s="17"/>
      <c r="D1" s="17"/>
      <c r="E1" s="18"/>
    </row>
    <row r="2" spans="1:7" x14ac:dyDescent="0.25">
      <c r="A2" s="8" t="s">
        <v>40</v>
      </c>
      <c r="B2" s="8" t="s">
        <v>8</v>
      </c>
      <c r="C2" s="8" t="s">
        <v>41</v>
      </c>
      <c r="D2" s="8" t="s">
        <v>42</v>
      </c>
      <c r="F2" s="6" t="e">
        <f>MAX(D3:D6-C3:C6)</f>
        <v>#VALUE!</v>
      </c>
      <c r="G2" t="s">
        <v>1488</v>
      </c>
    </row>
    <row r="3" spans="1:7" x14ac:dyDescent="0.25">
      <c r="A3" s="5" t="s">
        <v>44</v>
      </c>
      <c r="B3" s="19">
        <v>41183</v>
      </c>
      <c r="C3" s="5">
        <v>759</v>
      </c>
      <c r="D3" s="5">
        <v>762</v>
      </c>
      <c r="F3" s="6">
        <f>MAX(D3:D6-C3:C6)</f>
        <v>3</v>
      </c>
      <c r="G3" t="s">
        <v>1488</v>
      </c>
    </row>
    <row r="4" spans="1:7" x14ac:dyDescent="0.25">
      <c r="A4" s="5" t="s">
        <v>44</v>
      </c>
      <c r="B4" s="19">
        <v>41184</v>
      </c>
      <c r="C4" s="5">
        <v>765</v>
      </c>
      <c r="D4" s="5">
        <v>757</v>
      </c>
      <c r="F4" s="6">
        <f>MAX(D3:D6-C3:C6)</f>
        <v>-8</v>
      </c>
      <c r="G4" t="s">
        <v>1488</v>
      </c>
    </row>
    <row r="5" spans="1:7" x14ac:dyDescent="0.25">
      <c r="A5" s="5" t="s">
        <v>44</v>
      </c>
      <c r="B5" s="19">
        <v>41185</v>
      </c>
      <c r="C5" s="5">
        <v>756</v>
      </c>
      <c r="D5" s="5">
        <v>763</v>
      </c>
      <c r="F5" s="6">
        <f>MAX(D3:D6-C3:C6)</f>
        <v>7</v>
      </c>
      <c r="G5" t="s">
        <v>1488</v>
      </c>
    </row>
    <row r="6" spans="1:7" x14ac:dyDescent="0.25">
      <c r="A6" s="5" t="s">
        <v>44</v>
      </c>
      <c r="B6" s="19">
        <v>41186</v>
      </c>
      <c r="C6" s="5">
        <v>762</v>
      </c>
      <c r="D6" s="5">
        <v>768</v>
      </c>
      <c r="F6" s="6">
        <f>MAX(D3:D6-C3:C6)</f>
        <v>6</v>
      </c>
      <c r="G6" t="s">
        <v>1488</v>
      </c>
    </row>
    <row r="7" spans="1:7" x14ac:dyDescent="0.25">
      <c r="F7" s="6" t="e">
        <f>MAX(D3:D6-C3:C6)</f>
        <v>#VALUE!</v>
      </c>
      <c r="G7" t="s">
        <v>1488</v>
      </c>
    </row>
    <row r="8" spans="1:7" x14ac:dyDescent="0.25">
      <c r="A8" s="8" t="s">
        <v>45</v>
      </c>
      <c r="B8" s="6">
        <f t="array" ref="B8">MAX(D3:D6-C3:C6)</f>
        <v>7</v>
      </c>
      <c r="C8" t="s">
        <v>1485</v>
      </c>
    </row>
    <row r="10" spans="1:7" x14ac:dyDescent="0.25">
      <c r="C10" s="6" t="e">
        <f>MAX(D3:D6-C3:C6)</f>
        <v>#VALUE!</v>
      </c>
      <c r="D10" t="s">
        <v>1488</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00FF"/>
  </sheetPr>
  <dimension ref="A1:G8"/>
  <sheetViews>
    <sheetView zoomScale="130" zoomScaleNormal="130" workbookViewId="0">
      <selection activeCell="E3" sqref="E3"/>
    </sheetView>
  </sheetViews>
  <sheetFormatPr defaultRowHeight="15" x14ac:dyDescent="0.25"/>
  <cols>
    <col min="1" max="5" width="7.85546875" customWidth="1"/>
    <col min="6" max="6" width="1.85546875" customWidth="1"/>
    <col min="7" max="7" width="19.5703125" customWidth="1"/>
    <col min="8" max="8" width="14.140625" customWidth="1"/>
  </cols>
  <sheetData>
    <row r="1" spans="1:7" x14ac:dyDescent="0.25">
      <c r="A1" s="20" t="s">
        <v>52</v>
      </c>
      <c r="B1" s="17"/>
      <c r="C1" s="17"/>
      <c r="D1" s="17"/>
      <c r="E1" s="18"/>
    </row>
    <row r="2" spans="1:7" x14ac:dyDescent="0.25">
      <c r="A2" s="8" t="s">
        <v>40</v>
      </c>
      <c r="B2" s="8" t="s">
        <v>8</v>
      </c>
      <c r="C2" s="8" t="s">
        <v>41</v>
      </c>
      <c r="D2" s="8" t="s">
        <v>42</v>
      </c>
      <c r="E2" s="8" t="s">
        <v>43</v>
      </c>
    </row>
    <row r="3" spans="1:7" x14ac:dyDescent="0.25">
      <c r="A3" s="5" t="s">
        <v>44</v>
      </c>
      <c r="B3" s="19">
        <v>41183</v>
      </c>
      <c r="C3" s="5">
        <v>759</v>
      </c>
      <c r="D3" s="5">
        <v>762</v>
      </c>
      <c r="E3" s="6">
        <f>D3-C3</f>
        <v>3</v>
      </c>
      <c r="G3" t="s">
        <v>49</v>
      </c>
    </row>
    <row r="4" spans="1:7" x14ac:dyDescent="0.25">
      <c r="A4" s="5" t="s">
        <v>44</v>
      </c>
      <c r="B4" s="19">
        <v>41184</v>
      </c>
      <c r="C4" s="5">
        <v>765</v>
      </c>
      <c r="D4" s="5">
        <v>757</v>
      </c>
      <c r="E4" s="6">
        <f>D4-C4</f>
        <v>-8</v>
      </c>
      <c r="G4" t="s">
        <v>50</v>
      </c>
    </row>
    <row r="5" spans="1:7" x14ac:dyDescent="0.25">
      <c r="A5" s="5" t="s">
        <v>44</v>
      </c>
      <c r="B5" s="19">
        <v>41185</v>
      </c>
      <c r="C5" s="5">
        <v>756</v>
      </c>
      <c r="D5" s="5">
        <v>763</v>
      </c>
      <c r="E5" s="6">
        <f>D5-C5</f>
        <v>7</v>
      </c>
    </row>
    <row r="6" spans="1:7" x14ac:dyDescent="0.25">
      <c r="A6" s="5" t="s">
        <v>44</v>
      </c>
      <c r="B6" s="19">
        <v>41186</v>
      </c>
      <c r="C6" s="5">
        <v>762</v>
      </c>
      <c r="D6" s="5">
        <v>768</v>
      </c>
      <c r="E6" s="6">
        <f>D6-C6</f>
        <v>6</v>
      </c>
    </row>
    <row r="8" spans="1:7" x14ac:dyDescent="0.25">
      <c r="A8" s="8" t="s">
        <v>51</v>
      </c>
      <c r="B8" s="6">
        <f>SUM(E3:E6)</f>
        <v>8</v>
      </c>
      <c r="C8" t="s">
        <v>1489</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00FF"/>
  </sheetPr>
  <dimension ref="A1:E9"/>
  <sheetViews>
    <sheetView zoomScale="130" zoomScaleNormal="130" workbookViewId="0">
      <selection activeCell="E3" sqref="E3"/>
    </sheetView>
  </sheetViews>
  <sheetFormatPr defaultRowHeight="15" x14ac:dyDescent="0.25"/>
  <cols>
    <col min="1" max="5" width="7.85546875" customWidth="1"/>
    <col min="6" max="6" width="1.85546875" customWidth="1"/>
    <col min="7" max="7" width="31.42578125" customWidth="1"/>
    <col min="8" max="8" width="14.140625" customWidth="1"/>
  </cols>
  <sheetData>
    <row r="1" spans="1:5" x14ac:dyDescent="0.25">
      <c r="A1" s="20" t="s">
        <v>52</v>
      </c>
      <c r="B1" s="17"/>
      <c r="C1" s="17"/>
      <c r="D1" s="17"/>
      <c r="E1" s="18"/>
    </row>
    <row r="2" spans="1:5" x14ac:dyDescent="0.25">
      <c r="A2" s="8" t="s">
        <v>40</v>
      </c>
      <c r="B2" s="8" t="s">
        <v>8</v>
      </c>
      <c r="C2" s="8" t="s">
        <v>41</v>
      </c>
      <c r="D2" s="8" t="s">
        <v>42</v>
      </c>
    </row>
    <row r="3" spans="1:5" x14ac:dyDescent="0.25">
      <c r="A3" s="5" t="s">
        <v>44</v>
      </c>
      <c r="B3" s="19">
        <v>41183</v>
      </c>
      <c r="C3" s="5">
        <v>759</v>
      </c>
      <c r="D3" s="5">
        <v>762</v>
      </c>
    </row>
    <row r="4" spans="1:5" x14ac:dyDescent="0.25">
      <c r="A4" s="5" t="s">
        <v>44</v>
      </c>
      <c r="B4" s="19">
        <v>41184</v>
      </c>
      <c r="C4" s="5">
        <v>765</v>
      </c>
      <c r="D4" s="5">
        <v>757</v>
      </c>
    </row>
    <row r="5" spans="1:5" x14ac:dyDescent="0.25">
      <c r="A5" s="5" t="s">
        <v>44</v>
      </c>
      <c r="B5" s="19">
        <v>41185</v>
      </c>
      <c r="C5" s="5">
        <v>756</v>
      </c>
      <c r="D5" s="5">
        <v>763</v>
      </c>
    </row>
    <row r="6" spans="1:5" x14ac:dyDescent="0.25">
      <c r="A6" s="5" t="s">
        <v>44</v>
      </c>
      <c r="B6" s="19">
        <v>41186</v>
      </c>
      <c r="C6" s="5">
        <v>762</v>
      </c>
      <c r="D6" s="5">
        <v>768</v>
      </c>
    </row>
    <row r="8" spans="1:5" x14ac:dyDescent="0.25">
      <c r="A8" s="8" t="s">
        <v>51</v>
      </c>
      <c r="B8" s="6">
        <f>SUMPRODUCT(D3:D6-C3:C6)</f>
        <v>8</v>
      </c>
      <c r="C8" t="s">
        <v>1490</v>
      </c>
    </row>
    <row r="9" spans="1:5" x14ac:dyDescent="0.25">
      <c r="A9" s="8" t="s">
        <v>51</v>
      </c>
      <c r="B9" s="6">
        <f t="array" ref="B9">SUM(D3:D6-C3:C6)</f>
        <v>8</v>
      </c>
      <c r="C9" t="s">
        <v>1491</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00FF"/>
  </sheetPr>
  <dimension ref="A1:D15"/>
  <sheetViews>
    <sheetView zoomScale="130" zoomScaleNormal="130" workbookViewId="0">
      <selection activeCell="E3" sqref="E3"/>
    </sheetView>
  </sheetViews>
  <sheetFormatPr defaultRowHeight="15" x14ac:dyDescent="0.25"/>
  <cols>
    <col min="1" max="4" width="8.42578125" customWidth="1"/>
    <col min="5" max="5" width="8.140625" customWidth="1"/>
  </cols>
  <sheetData>
    <row r="1" spans="1:4" x14ac:dyDescent="0.25">
      <c r="A1" s="20" t="s">
        <v>52</v>
      </c>
      <c r="B1" s="17"/>
      <c r="C1" s="17"/>
      <c r="D1" s="17"/>
    </row>
    <row r="2" spans="1:4" x14ac:dyDescent="0.25">
      <c r="A2" s="8" t="s">
        <v>40</v>
      </c>
      <c r="B2" s="8" t="s">
        <v>8</v>
      </c>
      <c r="C2" s="8" t="s">
        <v>41</v>
      </c>
      <c r="D2" s="8" t="s">
        <v>42</v>
      </c>
    </row>
    <row r="3" spans="1:4" x14ac:dyDescent="0.25">
      <c r="A3" s="5" t="s">
        <v>44</v>
      </c>
      <c r="B3" s="19">
        <v>41183</v>
      </c>
      <c r="C3" s="5">
        <v>759</v>
      </c>
      <c r="D3" s="5">
        <v>762</v>
      </c>
    </row>
    <row r="4" spans="1:4" x14ac:dyDescent="0.25">
      <c r="A4" s="5" t="s">
        <v>44</v>
      </c>
      <c r="B4" s="19">
        <v>41184</v>
      </c>
      <c r="C4" s="5">
        <v>765</v>
      </c>
      <c r="D4" s="5">
        <v>757</v>
      </c>
    </row>
    <row r="5" spans="1:4" x14ac:dyDescent="0.25">
      <c r="A5" s="5" t="s">
        <v>44</v>
      </c>
      <c r="B5" s="19">
        <v>41185</v>
      </c>
      <c r="C5" s="5">
        <v>756</v>
      </c>
      <c r="D5" s="5">
        <v>763</v>
      </c>
    </row>
    <row r="6" spans="1:4" x14ac:dyDescent="0.25">
      <c r="A6" s="5" t="s">
        <v>44</v>
      </c>
      <c r="B6" s="19">
        <v>41186</v>
      </c>
      <c r="C6" s="5">
        <v>762</v>
      </c>
      <c r="D6" s="5">
        <v>768</v>
      </c>
    </row>
    <row r="8" spans="1:4" x14ac:dyDescent="0.25">
      <c r="A8" s="8" t="s">
        <v>51</v>
      </c>
      <c r="B8" s="6">
        <f>SUMPRODUCT(D3:D6-C3:C6)</f>
        <v>8</v>
      </c>
    </row>
    <row r="12" spans="1:4" x14ac:dyDescent="0.25">
      <c r="A12" t="s">
        <v>61</v>
      </c>
    </row>
    <row r="13" spans="1:4" x14ac:dyDescent="0.25">
      <c r="A13" t="s">
        <v>59</v>
      </c>
    </row>
    <row r="14" spans="1:4" x14ac:dyDescent="0.25">
      <c r="A14" t="s">
        <v>62</v>
      </c>
    </row>
    <row r="15" spans="1:4" x14ac:dyDescent="0.25">
      <c r="A15" t="s">
        <v>60</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00FF"/>
  </sheetPr>
  <dimension ref="A1:G9"/>
  <sheetViews>
    <sheetView zoomScale="130" zoomScaleNormal="130" workbookViewId="0">
      <selection activeCell="E3" sqref="E3"/>
    </sheetView>
  </sheetViews>
  <sheetFormatPr defaultRowHeight="15" x14ac:dyDescent="0.25"/>
  <cols>
    <col min="3" max="3" width="23.7109375" customWidth="1"/>
    <col min="4" max="4" width="22.5703125" customWidth="1"/>
  </cols>
  <sheetData>
    <row r="1" spans="1:7" x14ac:dyDescent="0.25">
      <c r="A1" s="8" t="s">
        <v>53</v>
      </c>
      <c r="B1" s="8" t="s">
        <v>11</v>
      </c>
      <c r="C1" s="8" t="s">
        <v>64</v>
      </c>
      <c r="D1" t="s">
        <v>65</v>
      </c>
    </row>
    <row r="2" spans="1:7" x14ac:dyDescent="0.25">
      <c r="A2" s="5" t="s">
        <v>54</v>
      </c>
      <c r="B2" s="5">
        <v>12</v>
      </c>
      <c r="C2" s="27">
        <f>B2*$B$8</f>
        <v>10.199999999999999</v>
      </c>
      <c r="D2" t="s">
        <v>1492</v>
      </c>
      <c r="G2" t="s">
        <v>1493</v>
      </c>
    </row>
    <row r="3" spans="1:7" x14ac:dyDescent="0.25">
      <c r="A3" s="5" t="s">
        <v>55</v>
      </c>
      <c r="B3" s="5">
        <v>27</v>
      </c>
      <c r="C3" s="27">
        <f>B3*$B$8</f>
        <v>22.95</v>
      </c>
      <c r="D3" t="s">
        <v>1494</v>
      </c>
      <c r="G3" t="s">
        <v>1495</v>
      </c>
    </row>
    <row r="4" spans="1:7" x14ac:dyDescent="0.25">
      <c r="A4" s="5" t="s">
        <v>56</v>
      </c>
      <c r="B4" s="5">
        <v>9</v>
      </c>
      <c r="C4" s="27">
        <f>B4*$B$8</f>
        <v>7.6499999999999995</v>
      </c>
      <c r="D4" t="s">
        <v>1496</v>
      </c>
      <c r="G4" t="s">
        <v>1497</v>
      </c>
    </row>
    <row r="5" spans="1:7" x14ac:dyDescent="0.25">
      <c r="A5" s="5" t="s">
        <v>57</v>
      </c>
      <c r="B5" s="5">
        <v>18</v>
      </c>
      <c r="C5" s="27">
        <f>B5*$B$8</f>
        <v>15.299999999999999</v>
      </c>
      <c r="D5" t="s">
        <v>1498</v>
      </c>
      <c r="G5" t="s">
        <v>1499</v>
      </c>
    </row>
    <row r="6" spans="1:7" ht="4.5" customHeight="1" x14ac:dyDescent="0.25"/>
    <row r="7" spans="1:7" x14ac:dyDescent="0.25">
      <c r="A7" s="26" t="s">
        <v>58</v>
      </c>
      <c r="B7" s="5">
        <v>0.15</v>
      </c>
    </row>
    <row r="8" spans="1:7" x14ac:dyDescent="0.25">
      <c r="A8" s="25" t="s">
        <v>63</v>
      </c>
      <c r="B8" s="6">
        <f>1-B7</f>
        <v>0.85</v>
      </c>
      <c r="C8" t="s">
        <v>1500</v>
      </c>
    </row>
    <row r="9" spans="1:7" x14ac:dyDescent="0.25">
      <c r="A9" s="25" t="s">
        <v>15</v>
      </c>
      <c r="B9" s="6">
        <f>SUM(C2:C5)</f>
        <v>56.099999999999994</v>
      </c>
      <c r="C9" t="s">
        <v>1501</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0000FF"/>
  </sheetPr>
  <dimension ref="A1:C15"/>
  <sheetViews>
    <sheetView zoomScale="130" zoomScaleNormal="130" workbookViewId="0">
      <selection activeCell="E3" sqref="E3"/>
    </sheetView>
  </sheetViews>
  <sheetFormatPr defaultRowHeight="15" x14ac:dyDescent="0.25"/>
  <cols>
    <col min="3" max="3" width="23.7109375" customWidth="1"/>
    <col min="4" max="4" width="38.28515625" customWidth="1"/>
  </cols>
  <sheetData>
    <row r="1" spans="1:3" x14ac:dyDescent="0.25">
      <c r="A1" s="8" t="s">
        <v>53</v>
      </c>
      <c r="B1" s="8" t="s">
        <v>11</v>
      </c>
    </row>
    <row r="2" spans="1:3" x14ac:dyDescent="0.25">
      <c r="A2" s="5" t="s">
        <v>54</v>
      </c>
      <c r="B2" s="5">
        <v>12</v>
      </c>
    </row>
    <row r="3" spans="1:3" x14ac:dyDescent="0.25">
      <c r="A3" s="5" t="s">
        <v>55</v>
      </c>
      <c r="B3" s="5">
        <v>27</v>
      </c>
    </row>
    <row r="4" spans="1:3" x14ac:dyDescent="0.25">
      <c r="A4" s="5" t="s">
        <v>56</v>
      </c>
      <c r="B4" s="5">
        <v>9</v>
      </c>
    </row>
    <row r="5" spans="1:3" x14ac:dyDescent="0.25">
      <c r="A5" s="5" t="s">
        <v>57</v>
      </c>
      <c r="B5" s="5">
        <v>18</v>
      </c>
    </row>
    <row r="6" spans="1:3" ht="4.5" customHeight="1" x14ac:dyDescent="0.25"/>
    <row r="7" spans="1:3" x14ac:dyDescent="0.25">
      <c r="A7" s="26" t="s">
        <v>58</v>
      </c>
      <c r="B7" s="5">
        <v>0.15</v>
      </c>
    </row>
    <row r="8" spans="1:3" x14ac:dyDescent="0.25">
      <c r="A8" s="25" t="s">
        <v>63</v>
      </c>
      <c r="B8" s="6">
        <f>1-B7</f>
        <v>0.85</v>
      </c>
      <c r="C8" t="s">
        <v>1500</v>
      </c>
    </row>
    <row r="9" spans="1:3" x14ac:dyDescent="0.25">
      <c r="A9" s="25" t="s">
        <v>15</v>
      </c>
      <c r="B9" s="6">
        <f>SUMPRODUCT(B2:B5*B8)</f>
        <v>56.099999999999994</v>
      </c>
      <c r="C9" t="s">
        <v>1502</v>
      </c>
    </row>
    <row r="12" spans="1:3" x14ac:dyDescent="0.25">
      <c r="A12" t="s">
        <v>66</v>
      </c>
    </row>
    <row r="13" spans="1:3" x14ac:dyDescent="0.25">
      <c r="A13" t="s">
        <v>67</v>
      </c>
    </row>
    <row r="14" spans="1:3" x14ac:dyDescent="0.25">
      <c r="A14" t="s">
        <v>68</v>
      </c>
    </row>
    <row r="15" spans="1:3" x14ac:dyDescent="0.25">
      <c r="A15" t="s">
        <v>69</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0000FF"/>
  </sheetPr>
  <dimension ref="A1:C8"/>
  <sheetViews>
    <sheetView zoomScale="130" zoomScaleNormal="130" workbookViewId="0">
      <selection activeCell="E3" sqref="E3"/>
    </sheetView>
  </sheetViews>
  <sheetFormatPr defaultRowHeight="15" x14ac:dyDescent="0.25"/>
  <cols>
    <col min="3" max="3" width="39.28515625" customWidth="1"/>
    <col min="4" max="4" width="38.28515625" customWidth="1"/>
  </cols>
  <sheetData>
    <row r="1" spans="1:3" x14ac:dyDescent="0.25">
      <c r="A1" s="8" t="s">
        <v>53</v>
      </c>
      <c r="B1" s="8" t="s">
        <v>11</v>
      </c>
    </row>
    <row r="2" spans="1:3" x14ac:dyDescent="0.25">
      <c r="A2" s="5" t="s">
        <v>54</v>
      </c>
      <c r="B2" s="5">
        <v>12</v>
      </c>
    </row>
    <row r="3" spans="1:3" x14ac:dyDescent="0.25">
      <c r="A3" s="5" t="s">
        <v>55</v>
      </c>
      <c r="B3" s="5">
        <v>27</v>
      </c>
    </row>
    <row r="4" spans="1:3" x14ac:dyDescent="0.25">
      <c r="A4" s="5" t="s">
        <v>56</v>
      </c>
      <c r="B4" s="5">
        <v>9</v>
      </c>
    </row>
    <row r="5" spans="1:3" x14ac:dyDescent="0.25">
      <c r="A5" s="5" t="s">
        <v>57</v>
      </c>
      <c r="B5" s="5">
        <v>18</v>
      </c>
    </row>
    <row r="6" spans="1:3" ht="4.5" customHeight="1" x14ac:dyDescent="0.25"/>
    <row r="7" spans="1:3" x14ac:dyDescent="0.25">
      <c r="A7" s="26" t="s">
        <v>58</v>
      </c>
      <c r="B7" s="5">
        <v>0.15</v>
      </c>
    </row>
    <row r="8" spans="1:3" x14ac:dyDescent="0.25">
      <c r="A8" s="25" t="s">
        <v>15</v>
      </c>
      <c r="B8" s="6">
        <f>SUMPRODUCT(B2:B5*(1-B7))</f>
        <v>56.099999999999994</v>
      </c>
      <c r="C8" t="s">
        <v>1503</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0000FF"/>
  </sheetPr>
  <dimension ref="A1:C10"/>
  <sheetViews>
    <sheetView zoomScale="130" zoomScaleNormal="130" workbookViewId="0">
      <selection activeCell="E3" sqref="E3"/>
    </sheetView>
  </sheetViews>
  <sheetFormatPr defaultRowHeight="15" x14ac:dyDescent="0.25"/>
  <cols>
    <col min="1" max="1" width="15.5703125" bestFit="1" customWidth="1"/>
    <col min="2" max="2" width="13" customWidth="1"/>
    <col min="3" max="3" width="7.7109375" customWidth="1"/>
    <col min="4" max="7" width="10" customWidth="1"/>
  </cols>
  <sheetData>
    <row r="1" spans="1:3" x14ac:dyDescent="0.25">
      <c r="A1" s="28" t="s">
        <v>74</v>
      </c>
      <c r="B1" s="28" t="s">
        <v>73</v>
      </c>
    </row>
    <row r="2" spans="1:3" x14ac:dyDescent="0.25">
      <c r="A2" s="5">
        <v>0.2</v>
      </c>
      <c r="B2" s="6">
        <f>1-A2</f>
        <v>0.8</v>
      </c>
      <c r="C2" t="s">
        <v>1504</v>
      </c>
    </row>
    <row r="3" spans="1:3" x14ac:dyDescent="0.25">
      <c r="A3" s="5">
        <v>0.05</v>
      </c>
      <c r="B3" s="6">
        <f>1-A3</f>
        <v>0.95</v>
      </c>
      <c r="C3" t="s">
        <v>1505</v>
      </c>
    </row>
    <row r="4" spans="1:3" x14ac:dyDescent="0.25">
      <c r="A4" s="5">
        <v>0.1</v>
      </c>
      <c r="B4" s="6">
        <f>1-A4</f>
        <v>0.9</v>
      </c>
      <c r="C4" t="s">
        <v>1506</v>
      </c>
    </row>
    <row r="5" spans="1:3" x14ac:dyDescent="0.25">
      <c r="A5" s="5">
        <v>0.2</v>
      </c>
      <c r="B5" s="6">
        <f>1-A5</f>
        <v>0.8</v>
      </c>
      <c r="C5" t="s">
        <v>1507</v>
      </c>
    </row>
    <row r="6" spans="1:3" ht="3.75" customHeight="1" x14ac:dyDescent="0.25"/>
    <row r="7" spans="1:3" ht="30" x14ac:dyDescent="0.25">
      <c r="A7" s="28" t="s">
        <v>71</v>
      </c>
      <c r="B7" s="6">
        <f>PRODUCT(B2:B5)</f>
        <v>0.54720000000000002</v>
      </c>
      <c r="C7" t="s">
        <v>1508</v>
      </c>
    </row>
    <row r="8" spans="1:3" x14ac:dyDescent="0.25">
      <c r="A8" s="8" t="s">
        <v>17</v>
      </c>
      <c r="B8" s="29" t="s">
        <v>72</v>
      </c>
    </row>
    <row r="9" spans="1:3" x14ac:dyDescent="0.25">
      <c r="A9" s="28" t="s">
        <v>70</v>
      </c>
      <c r="B9" s="30">
        <v>30.25</v>
      </c>
    </row>
    <row r="10" spans="1:3" x14ac:dyDescent="0.25">
      <c r="A10" s="28" t="s">
        <v>63</v>
      </c>
      <c r="B10" s="31">
        <f>ROUND(B9*B7,2)</f>
        <v>16.55</v>
      </c>
      <c r="C10" t="s">
        <v>1509</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0000FF"/>
  </sheetPr>
  <dimension ref="A1:C10"/>
  <sheetViews>
    <sheetView zoomScale="130" zoomScaleNormal="130" workbookViewId="0">
      <selection activeCell="E3" sqref="E3"/>
    </sheetView>
  </sheetViews>
  <sheetFormatPr defaultRowHeight="15" x14ac:dyDescent="0.25"/>
  <cols>
    <col min="1" max="1" width="15.5703125" bestFit="1" customWidth="1"/>
    <col min="2" max="2" width="13" customWidth="1"/>
    <col min="3" max="3" width="43" customWidth="1"/>
    <col min="4" max="7" width="10" customWidth="1"/>
  </cols>
  <sheetData>
    <row r="1" spans="1:3" x14ac:dyDescent="0.25">
      <c r="A1" s="28" t="s">
        <v>74</v>
      </c>
    </row>
    <row r="2" spans="1:3" x14ac:dyDescent="0.25">
      <c r="A2" s="5">
        <v>0.2</v>
      </c>
    </row>
    <row r="3" spans="1:3" x14ac:dyDescent="0.25">
      <c r="A3" s="5">
        <v>0.05</v>
      </c>
    </row>
    <row r="4" spans="1:3" x14ac:dyDescent="0.25">
      <c r="A4" s="5">
        <v>0.1</v>
      </c>
    </row>
    <row r="5" spans="1:3" x14ac:dyDescent="0.25">
      <c r="A5" s="5">
        <v>0.2</v>
      </c>
    </row>
    <row r="8" spans="1:3" x14ac:dyDescent="0.25">
      <c r="A8" s="8" t="s">
        <v>17</v>
      </c>
      <c r="B8" s="29" t="s">
        <v>72</v>
      </c>
    </row>
    <row r="9" spans="1:3" x14ac:dyDescent="0.25">
      <c r="A9" s="28" t="s">
        <v>70</v>
      </c>
      <c r="B9" s="30">
        <v>30.25</v>
      </c>
    </row>
    <row r="10" spans="1:3" x14ac:dyDescent="0.25">
      <c r="A10" s="28" t="s">
        <v>63</v>
      </c>
      <c r="B10" s="31">
        <f t="array" ref="B10">ROUND(B9*PRODUCT(1-A2:A5),2)</f>
        <v>16.55</v>
      </c>
      <c r="C10" t="s">
        <v>1510</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0000FF"/>
  </sheetPr>
  <dimension ref="A1:N8"/>
  <sheetViews>
    <sheetView zoomScale="130" zoomScaleNormal="130" workbookViewId="0">
      <selection activeCell="E3" sqref="E3"/>
    </sheetView>
  </sheetViews>
  <sheetFormatPr defaultRowHeight="15" x14ac:dyDescent="0.25"/>
  <cols>
    <col min="1" max="5" width="9.28515625" customWidth="1"/>
  </cols>
  <sheetData>
    <row r="1" spans="1:14" x14ac:dyDescent="0.25">
      <c r="A1" s="1" t="s">
        <v>6</v>
      </c>
      <c r="B1" s="2"/>
      <c r="C1" s="2"/>
      <c r="D1" s="2"/>
      <c r="E1" s="3"/>
      <c r="N1" t="s">
        <v>21</v>
      </c>
    </row>
    <row r="2" spans="1:14" x14ac:dyDescent="0.25">
      <c r="A2" s="4" t="s">
        <v>0</v>
      </c>
      <c r="B2" s="4" t="s">
        <v>1</v>
      </c>
      <c r="D2" s="4" t="s">
        <v>0</v>
      </c>
      <c r="E2" s="4" t="s">
        <v>2</v>
      </c>
    </row>
    <row r="3" spans="1:14" x14ac:dyDescent="0.25">
      <c r="A3" s="5" t="s">
        <v>3</v>
      </c>
      <c r="B3" s="5">
        <v>5</v>
      </c>
      <c r="D3" s="5" t="s">
        <v>4</v>
      </c>
      <c r="E3" s="6">
        <f t="array" ref="E3">MIN(IF($A$3:$A$8=D3,$B$3:$B$8))</f>
        <v>6</v>
      </c>
    </row>
    <row r="4" spans="1:14" x14ac:dyDescent="0.25">
      <c r="A4" s="5" t="s">
        <v>5</v>
      </c>
      <c r="B4" s="5">
        <v>8</v>
      </c>
      <c r="D4" s="5" t="s">
        <v>3</v>
      </c>
      <c r="E4" s="6">
        <f t="array" ref="E4">MIN(IF($A$3:$A$8=D4,$B$3:$B$8))</f>
        <v>4</v>
      </c>
    </row>
    <row r="5" spans="1:14" x14ac:dyDescent="0.25">
      <c r="A5" s="5" t="s">
        <v>4</v>
      </c>
      <c r="B5" s="5">
        <v>9</v>
      </c>
      <c r="D5" s="5" t="s">
        <v>5</v>
      </c>
      <c r="E5" s="6">
        <f t="array" ref="E5">MIN(IF($A$3:$A$8=D5,$B$3:$B$8))</f>
        <v>8</v>
      </c>
    </row>
    <row r="6" spans="1:14" x14ac:dyDescent="0.25">
      <c r="A6" s="5" t="s">
        <v>3</v>
      </c>
      <c r="B6" s="5">
        <v>4</v>
      </c>
    </row>
    <row r="7" spans="1:14" x14ac:dyDescent="0.25">
      <c r="A7" s="5" t="s">
        <v>5</v>
      </c>
      <c r="B7" s="5">
        <v>10</v>
      </c>
    </row>
    <row r="8" spans="1:14" x14ac:dyDescent="0.25">
      <c r="A8" s="5" t="s">
        <v>4</v>
      </c>
      <c r="B8" s="5">
        <v>6</v>
      </c>
    </row>
  </sheetData>
  <conditionalFormatting sqref="A3:B8">
    <cfRule type="expression" dxfId="41" priority="2">
      <formula>$A3=$N$2</formula>
    </cfRule>
  </conditionalFormatting>
  <dataValidations disablePrompts="1" count="1">
    <dataValidation type="list" allowBlank="1" showInputMessage="1" showErrorMessage="1" sqref="N2">
      <formula1>$D$3:$D$5</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00FF"/>
  </sheetPr>
  <dimension ref="A1:N8"/>
  <sheetViews>
    <sheetView zoomScale="130" zoomScaleNormal="130" workbookViewId="0">
      <selection activeCell="E3" sqref="E3"/>
    </sheetView>
  </sheetViews>
  <sheetFormatPr defaultRowHeight="15" x14ac:dyDescent="0.25"/>
  <cols>
    <col min="1" max="5" width="9.28515625" customWidth="1"/>
  </cols>
  <sheetData>
    <row r="1" spans="1:14" x14ac:dyDescent="0.25">
      <c r="A1" s="1" t="s">
        <v>6</v>
      </c>
      <c r="B1" s="2"/>
      <c r="C1" s="2"/>
      <c r="D1" s="2"/>
      <c r="E1" s="3"/>
      <c r="N1" t="s">
        <v>21</v>
      </c>
    </row>
    <row r="2" spans="1:14" x14ac:dyDescent="0.25">
      <c r="A2" s="4" t="s">
        <v>0</v>
      </c>
      <c r="B2" s="4" t="s">
        <v>1</v>
      </c>
      <c r="D2" s="4" t="s">
        <v>0</v>
      </c>
      <c r="E2" s="4" t="s">
        <v>2</v>
      </c>
    </row>
    <row r="3" spans="1:14" x14ac:dyDescent="0.25">
      <c r="A3" s="5" t="s">
        <v>3</v>
      </c>
      <c r="B3" s="5">
        <v>5</v>
      </c>
      <c r="D3" s="5" t="s">
        <v>4</v>
      </c>
      <c r="E3" s="6">
        <f t="array" ref="E3">MIN(IF($A$3:$A$8=D3,$B$3:$B$8))</f>
        <v>6</v>
      </c>
    </row>
    <row r="4" spans="1:14" x14ac:dyDescent="0.25">
      <c r="A4" s="5" t="s">
        <v>5</v>
      </c>
      <c r="B4" s="5">
        <v>8</v>
      </c>
      <c r="D4" s="5" t="s">
        <v>3</v>
      </c>
      <c r="E4" s="6">
        <f t="array" ref="E4">MIN(IF($A$3:$A$8=D4,$B$3:$B$8))</f>
        <v>4</v>
      </c>
    </row>
    <row r="5" spans="1:14" x14ac:dyDescent="0.25">
      <c r="A5" s="5" t="s">
        <v>4</v>
      </c>
      <c r="B5" s="5">
        <v>9</v>
      </c>
      <c r="D5" s="5" t="s">
        <v>5</v>
      </c>
      <c r="E5" s="6">
        <f t="array" ref="E5">MIN(IF($A$3:$A$8=D5,$B$3:$B$8))</f>
        <v>8</v>
      </c>
    </row>
    <row r="6" spans="1:14" x14ac:dyDescent="0.25">
      <c r="A6" s="5" t="s">
        <v>3</v>
      </c>
      <c r="B6" s="5">
        <v>4</v>
      </c>
    </row>
    <row r="7" spans="1:14" x14ac:dyDescent="0.25">
      <c r="A7" s="5" t="s">
        <v>5</v>
      </c>
      <c r="B7" s="5">
        <v>10</v>
      </c>
    </row>
    <row r="8" spans="1:14" x14ac:dyDescent="0.25">
      <c r="A8" s="5" t="s">
        <v>4</v>
      </c>
      <c r="B8" s="5">
        <v>6</v>
      </c>
    </row>
  </sheetData>
  <conditionalFormatting sqref="A3:B8">
    <cfRule type="expression" dxfId="40" priority="1">
      <formula>$A3=$N$2</formula>
    </cfRule>
  </conditionalFormatting>
  <dataValidations count="1">
    <dataValidation type="list" allowBlank="1" showInputMessage="1" showErrorMessage="1" sqref="N2">
      <formula1>$D$3:$D$5</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0000FF"/>
  </sheetPr>
  <dimension ref="A1:N8"/>
  <sheetViews>
    <sheetView zoomScale="115" zoomScaleNormal="115" workbookViewId="0">
      <selection activeCell="E3" sqref="E3"/>
    </sheetView>
  </sheetViews>
  <sheetFormatPr defaultRowHeight="15" x14ac:dyDescent="0.25"/>
  <cols>
    <col min="1" max="2" width="10" customWidth="1"/>
    <col min="3" max="3" width="9.140625" customWidth="1"/>
    <col min="4" max="5" width="10" customWidth="1"/>
  </cols>
  <sheetData>
    <row r="1" spans="1:14" x14ac:dyDescent="0.25">
      <c r="A1" s="1" t="s">
        <v>75</v>
      </c>
      <c r="B1" s="2"/>
      <c r="C1" s="2"/>
      <c r="D1" s="2"/>
      <c r="E1" s="3"/>
      <c r="N1" t="s">
        <v>21</v>
      </c>
    </row>
    <row r="2" spans="1:14" x14ac:dyDescent="0.25">
      <c r="A2" s="4" t="s">
        <v>0</v>
      </c>
      <c r="B2" s="4" t="s">
        <v>1</v>
      </c>
      <c r="D2" s="4" t="s">
        <v>0</v>
      </c>
      <c r="E2" s="4" t="s">
        <v>2</v>
      </c>
    </row>
    <row r="3" spans="1:14" x14ac:dyDescent="0.25">
      <c r="A3" s="5" t="s">
        <v>3</v>
      </c>
      <c r="B3" s="5">
        <v>5</v>
      </c>
      <c r="D3" s="5" t="s">
        <v>4</v>
      </c>
      <c r="E3" s="6">
        <f>DMIN($A$2:$B$8,"Times (h)",D2:D3)</f>
        <v>6</v>
      </c>
    </row>
    <row r="4" spans="1:14" x14ac:dyDescent="0.25">
      <c r="A4" s="5" t="s">
        <v>5</v>
      </c>
      <c r="B4" s="5">
        <v>8</v>
      </c>
    </row>
    <row r="5" spans="1:14" x14ac:dyDescent="0.25">
      <c r="A5" s="5" t="s">
        <v>4</v>
      </c>
      <c r="B5" s="5">
        <v>9</v>
      </c>
    </row>
    <row r="6" spans="1:14" x14ac:dyDescent="0.25">
      <c r="A6" s="5" t="s">
        <v>3</v>
      </c>
      <c r="B6" s="5">
        <v>4</v>
      </c>
    </row>
    <row r="7" spans="1:14" x14ac:dyDescent="0.25">
      <c r="A7" s="5" t="s">
        <v>5</v>
      </c>
      <c r="B7" s="5">
        <v>10</v>
      </c>
    </row>
    <row r="8" spans="1:14" x14ac:dyDescent="0.25">
      <c r="A8" s="5" t="s">
        <v>4</v>
      </c>
      <c r="B8" s="5">
        <v>6</v>
      </c>
    </row>
  </sheetData>
  <conditionalFormatting sqref="A3:B8">
    <cfRule type="expression" dxfId="39" priority="1">
      <formula>$A3=$N$2</formula>
    </cfRule>
  </conditionalFormatting>
  <dataValidations disablePrompts="1" count="1">
    <dataValidation type="list" allowBlank="1" showInputMessage="1" showErrorMessage="1" sqref="N2">
      <formula1>$D$3:$D$5</formula1>
    </dataValidation>
  </dataValidation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00FF"/>
  </sheetPr>
  <dimension ref="A1:N8"/>
  <sheetViews>
    <sheetView zoomScale="115" zoomScaleNormal="115" workbookViewId="0">
      <selection activeCell="E3" sqref="E3"/>
    </sheetView>
  </sheetViews>
  <sheetFormatPr defaultRowHeight="15" x14ac:dyDescent="0.25"/>
  <cols>
    <col min="1" max="2" width="10" customWidth="1"/>
    <col min="3" max="3" width="7.28515625" customWidth="1"/>
    <col min="4" max="5" width="10" customWidth="1"/>
  </cols>
  <sheetData>
    <row r="1" spans="1:14" x14ac:dyDescent="0.25">
      <c r="A1" s="1" t="s">
        <v>75</v>
      </c>
      <c r="B1" s="2"/>
      <c r="C1" s="2"/>
      <c r="D1" s="2"/>
      <c r="E1" s="3"/>
      <c r="N1" t="s">
        <v>21</v>
      </c>
    </row>
    <row r="2" spans="1:14" x14ac:dyDescent="0.25">
      <c r="A2" s="4" t="s">
        <v>0</v>
      </c>
      <c r="B2" s="4" t="s">
        <v>1</v>
      </c>
      <c r="D2" s="4" t="s">
        <v>0</v>
      </c>
      <c r="E2" s="4" t="s">
        <v>2</v>
      </c>
    </row>
    <row r="3" spans="1:14" x14ac:dyDescent="0.25">
      <c r="A3" s="5" t="s">
        <v>3</v>
      </c>
      <c r="B3" s="5">
        <v>5</v>
      </c>
      <c r="D3" s="5" t="s">
        <v>4</v>
      </c>
      <c r="E3" s="6">
        <f>DMIN($A$2:$B$8,"Times (h)",D2:D3)</f>
        <v>6</v>
      </c>
      <c r="F3" t="s">
        <v>1511</v>
      </c>
    </row>
    <row r="4" spans="1:14" x14ac:dyDescent="0.25">
      <c r="A4" s="5" t="s">
        <v>5</v>
      </c>
      <c r="B4" s="5">
        <v>8</v>
      </c>
      <c r="D4" s="4" t="s">
        <v>0</v>
      </c>
      <c r="E4" s="4" t="s">
        <v>2</v>
      </c>
    </row>
    <row r="5" spans="1:14" x14ac:dyDescent="0.25">
      <c r="A5" s="5" t="s">
        <v>4</v>
      </c>
      <c r="B5" s="5">
        <v>9</v>
      </c>
      <c r="D5" s="5" t="s">
        <v>3</v>
      </c>
      <c r="E5" s="6">
        <f>DMIN($A$2:$B$8,"Times (h)",D4:D5)</f>
        <v>4</v>
      </c>
      <c r="F5" t="s">
        <v>1512</v>
      </c>
    </row>
    <row r="6" spans="1:14" x14ac:dyDescent="0.25">
      <c r="A6" s="5" t="s">
        <v>3</v>
      </c>
      <c r="B6" s="5">
        <v>4</v>
      </c>
      <c r="D6" s="4" t="s">
        <v>0</v>
      </c>
      <c r="E6" s="4" t="s">
        <v>2</v>
      </c>
    </row>
    <row r="7" spans="1:14" x14ac:dyDescent="0.25">
      <c r="A7" s="5" t="s">
        <v>5</v>
      </c>
      <c r="B7" s="5">
        <v>10</v>
      </c>
      <c r="D7" s="5" t="s">
        <v>5</v>
      </c>
      <c r="E7" s="6">
        <f>DMIN($A$2:$B$8,"Times (h)",D6:D7)</f>
        <v>8</v>
      </c>
      <c r="F7" t="s">
        <v>1513</v>
      </c>
    </row>
    <row r="8" spans="1:14" x14ac:dyDescent="0.25">
      <c r="A8" s="5" t="s">
        <v>4</v>
      </c>
      <c r="B8" s="5">
        <v>6</v>
      </c>
    </row>
  </sheetData>
  <conditionalFormatting sqref="A3:B8">
    <cfRule type="expression" dxfId="38" priority="1">
      <formula>$A3=$N$2</formula>
    </cfRule>
  </conditionalFormatting>
  <dataValidations disablePrompts="1" count="1">
    <dataValidation type="list" allowBlank="1" showInputMessage="1" showErrorMessage="1" sqref="N2">
      <formula1>$D$3:$D$5</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0000FF"/>
  </sheetPr>
  <dimension ref="A1:N18"/>
  <sheetViews>
    <sheetView zoomScale="115" zoomScaleNormal="115" workbookViewId="0">
      <selection activeCell="E3" sqref="E3"/>
    </sheetView>
  </sheetViews>
  <sheetFormatPr defaultRowHeight="15" x14ac:dyDescent="0.25"/>
  <cols>
    <col min="1" max="2" width="10" customWidth="1"/>
    <col min="3" max="3" width="7.28515625" customWidth="1"/>
    <col min="4" max="5" width="10" customWidth="1"/>
  </cols>
  <sheetData>
    <row r="1" spans="1:14" x14ac:dyDescent="0.25">
      <c r="A1" s="1" t="s">
        <v>75</v>
      </c>
      <c r="B1" s="2"/>
      <c r="C1" s="2"/>
      <c r="D1" s="2"/>
      <c r="E1" s="3"/>
      <c r="N1" t="s">
        <v>21</v>
      </c>
    </row>
    <row r="2" spans="1:14" x14ac:dyDescent="0.25">
      <c r="A2" s="4" t="s">
        <v>0</v>
      </c>
      <c r="B2" s="4" t="s">
        <v>1</v>
      </c>
      <c r="D2" s="4" t="s">
        <v>0</v>
      </c>
      <c r="E2" s="4" t="s">
        <v>2</v>
      </c>
    </row>
    <row r="3" spans="1:14" x14ac:dyDescent="0.25">
      <c r="A3" s="5" t="s">
        <v>3</v>
      </c>
      <c r="B3" s="5">
        <v>5</v>
      </c>
      <c r="D3" s="5" t="s">
        <v>4</v>
      </c>
      <c r="E3" s="6">
        <f>DMIN($A$2:$B$8,"Times (h)",D2:D3)</f>
        <v>6</v>
      </c>
      <c r="F3" t="s">
        <v>1511</v>
      </c>
    </row>
    <row r="4" spans="1:14" x14ac:dyDescent="0.25">
      <c r="A4" s="5" t="s">
        <v>5</v>
      </c>
      <c r="B4" s="5">
        <v>8</v>
      </c>
    </row>
    <row r="5" spans="1:14" x14ac:dyDescent="0.25">
      <c r="A5" s="5" t="s">
        <v>4</v>
      </c>
      <c r="B5" s="5">
        <v>9</v>
      </c>
      <c r="E5" s="6">
        <f>E3</f>
        <v>6</v>
      </c>
      <c r="F5" t="s">
        <v>1514</v>
      </c>
    </row>
    <row r="6" spans="1:14" x14ac:dyDescent="0.25">
      <c r="A6" s="5" t="s">
        <v>3</v>
      </c>
      <c r="B6" s="5">
        <v>4</v>
      </c>
      <c r="D6" s="5" t="s">
        <v>4</v>
      </c>
      <c r="E6" s="5">
        <f t="dataTable" ref="E6:E8" dt2D="0" dtr="0" r1="D3"/>
        <v>6</v>
      </c>
      <c r="F6" t="s">
        <v>1515</v>
      </c>
    </row>
    <row r="7" spans="1:14" x14ac:dyDescent="0.25">
      <c r="A7" s="5" t="s">
        <v>5</v>
      </c>
      <c r="B7" s="5">
        <v>10</v>
      </c>
      <c r="D7" s="5" t="s">
        <v>3</v>
      </c>
      <c r="E7" s="5">
        <v>4</v>
      </c>
      <c r="F7" t="s">
        <v>1515</v>
      </c>
    </row>
    <row r="8" spans="1:14" x14ac:dyDescent="0.25">
      <c r="A8" s="5" t="s">
        <v>4</v>
      </c>
      <c r="B8" s="5">
        <v>6</v>
      </c>
      <c r="D8" s="5" t="s">
        <v>5</v>
      </c>
      <c r="E8" s="5">
        <v>8</v>
      </c>
      <c r="F8" t="s">
        <v>1515</v>
      </c>
    </row>
    <row r="14" spans="1:14" x14ac:dyDescent="0.25">
      <c r="A14" s="32" t="s">
        <v>81</v>
      </c>
    </row>
    <row r="15" spans="1:14" x14ac:dyDescent="0.25">
      <c r="A15" s="32" t="s">
        <v>76</v>
      </c>
    </row>
    <row r="16" spans="1:14" x14ac:dyDescent="0.25">
      <c r="A16" s="32" t="s">
        <v>77</v>
      </c>
    </row>
    <row r="17" spans="1:1" x14ac:dyDescent="0.25">
      <c r="A17" s="32" t="s">
        <v>78</v>
      </c>
    </row>
    <row r="18" spans="1:1" x14ac:dyDescent="0.25">
      <c r="A18" s="32" t="s">
        <v>79</v>
      </c>
    </row>
  </sheetData>
  <sortState ref="D6:D8">
    <sortCondition ref="D6"/>
  </sortState>
  <conditionalFormatting sqref="A3:B8 A14:A18">
    <cfRule type="expression" dxfId="37" priority="2">
      <formula>$A3=$N$2</formula>
    </cfRule>
  </conditionalFormatting>
  <conditionalFormatting sqref="D6:D8">
    <cfRule type="expression" dxfId="36" priority="1">
      <formula>$A6=$N$2</formula>
    </cfRule>
  </conditionalFormatting>
  <dataValidations disablePrompts="1" count="1">
    <dataValidation type="list" allowBlank="1" showInputMessage="1" showErrorMessage="1" sqref="N2">
      <formula1>$D$3:$D$5</formula1>
    </dataValidation>
  </dataValidation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0000FF"/>
  </sheetPr>
  <dimension ref="A1:E16"/>
  <sheetViews>
    <sheetView zoomScale="115" zoomScaleNormal="115" workbookViewId="0">
      <selection activeCell="E3" sqref="E3"/>
    </sheetView>
  </sheetViews>
  <sheetFormatPr defaultRowHeight="15" x14ac:dyDescent="0.25"/>
  <cols>
    <col min="1" max="2" width="10" customWidth="1"/>
    <col min="3" max="3" width="7.28515625" customWidth="1"/>
    <col min="4" max="4" width="8.28515625" customWidth="1"/>
    <col min="5" max="5" width="15.7109375" customWidth="1"/>
    <col min="6" max="8" width="10.5703125" customWidth="1"/>
  </cols>
  <sheetData>
    <row r="1" spans="1:5" x14ac:dyDescent="0.25">
      <c r="A1" s="4" t="s">
        <v>0</v>
      </c>
      <c r="B1" s="4" t="s">
        <v>1</v>
      </c>
      <c r="D1" s="33" t="s">
        <v>0</v>
      </c>
      <c r="E1" t="s">
        <v>83</v>
      </c>
    </row>
    <row r="2" spans="1:5" x14ac:dyDescent="0.25">
      <c r="A2" s="5" t="s">
        <v>3</v>
      </c>
      <c r="B2" s="5">
        <v>5</v>
      </c>
      <c r="D2" t="s">
        <v>4</v>
      </c>
      <c r="E2" s="34">
        <v>6</v>
      </c>
    </row>
    <row r="3" spans="1:5" x14ac:dyDescent="0.25">
      <c r="A3" s="5" t="s">
        <v>5</v>
      </c>
      <c r="B3" s="5">
        <v>8</v>
      </c>
      <c r="D3" t="s">
        <v>3</v>
      </c>
      <c r="E3" s="34">
        <v>4</v>
      </c>
    </row>
    <row r="4" spans="1:5" x14ac:dyDescent="0.25">
      <c r="A4" s="5" t="s">
        <v>4</v>
      </c>
      <c r="B4" s="5">
        <v>9</v>
      </c>
      <c r="D4" t="s">
        <v>5</v>
      </c>
      <c r="E4" s="34">
        <v>8</v>
      </c>
    </row>
    <row r="5" spans="1:5" x14ac:dyDescent="0.25">
      <c r="A5" s="5" t="s">
        <v>3</v>
      </c>
      <c r="B5" s="5">
        <v>4</v>
      </c>
    </row>
    <row r="6" spans="1:5" x14ac:dyDescent="0.25">
      <c r="A6" s="5" t="s">
        <v>5</v>
      </c>
      <c r="B6" s="5">
        <v>10</v>
      </c>
    </row>
    <row r="7" spans="1:5" x14ac:dyDescent="0.25">
      <c r="A7" s="5" t="s">
        <v>4</v>
      </c>
      <c r="B7" s="5">
        <v>6</v>
      </c>
    </row>
    <row r="10" spans="1:5" x14ac:dyDescent="0.25">
      <c r="A10" t="s">
        <v>80</v>
      </c>
    </row>
    <row r="11" spans="1:5" x14ac:dyDescent="0.25">
      <c r="A11" t="s">
        <v>84</v>
      </c>
    </row>
    <row r="12" spans="1:5" x14ac:dyDescent="0.25">
      <c r="A12" t="s">
        <v>85</v>
      </c>
    </row>
    <row r="13" spans="1:5" x14ac:dyDescent="0.25">
      <c r="A13" t="s">
        <v>82</v>
      </c>
    </row>
    <row r="14" spans="1:5" x14ac:dyDescent="0.25">
      <c r="A14" t="s">
        <v>86</v>
      </c>
    </row>
    <row r="15" spans="1:5" x14ac:dyDescent="0.25">
      <c r="A15" t="s">
        <v>87</v>
      </c>
    </row>
    <row r="16" spans="1:5" x14ac:dyDescent="0.25">
      <c r="A16" t="s">
        <v>88</v>
      </c>
    </row>
  </sheetData>
  <conditionalFormatting sqref="A2:B7">
    <cfRule type="expression" dxfId="35" priority="2">
      <formula>$A2=$N$1</formula>
    </cfRule>
  </conditionalFormatting>
  <dataValidations disablePrompts="1" count="1">
    <dataValidation type="list" allowBlank="1" showInputMessage="1" showErrorMessage="1" sqref="N1">
      <formula1>$D$2:$D$4</formula1>
    </dataValidation>
  </dataValidations>
  <pageMargins left="0.7" right="0.7" top="0.75" bottom="0.75" header="0.3" footer="0.3"/>
  <pageSetup orientation="portrait"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0000FF"/>
  </sheetPr>
  <dimension ref="A1:N14"/>
  <sheetViews>
    <sheetView zoomScale="130" zoomScaleNormal="130" workbookViewId="0">
      <selection activeCell="E3" sqref="E3"/>
    </sheetView>
  </sheetViews>
  <sheetFormatPr defaultRowHeight="15" x14ac:dyDescent="0.25"/>
  <cols>
    <col min="1" max="1" width="9.28515625" customWidth="1"/>
    <col min="2" max="2" width="14" customWidth="1"/>
    <col min="3" max="3" width="9.28515625" customWidth="1"/>
    <col min="4" max="4" width="1.7109375" customWidth="1"/>
    <col min="5" max="5" width="12" customWidth="1"/>
    <col min="6" max="6" width="9.28515625" customWidth="1"/>
  </cols>
  <sheetData>
    <row r="1" spans="1:14" x14ac:dyDescent="0.25">
      <c r="A1" s="20" t="str">
        <f>"Calculate the MAX value for each Sales Rep in the "&amp;F2</f>
        <v>Calculate the MAX value for each Sales Rep in the West</v>
      </c>
      <c r="B1" s="17"/>
      <c r="C1" s="17"/>
      <c r="D1" s="17"/>
      <c r="E1" s="17"/>
      <c r="F1" s="18"/>
      <c r="N1" s="8" t="s">
        <v>22</v>
      </c>
    </row>
    <row r="2" spans="1:14" x14ac:dyDescent="0.25">
      <c r="A2" s="4" t="s">
        <v>22</v>
      </c>
      <c r="B2" s="4" t="s">
        <v>90</v>
      </c>
      <c r="C2" s="4" t="s">
        <v>91</v>
      </c>
      <c r="E2" s="4" t="s">
        <v>22</v>
      </c>
      <c r="F2" s="35" t="s">
        <v>27</v>
      </c>
      <c r="N2" s="5" t="s">
        <v>27</v>
      </c>
    </row>
    <row r="3" spans="1:14" x14ac:dyDescent="0.25">
      <c r="A3" s="5" t="s">
        <v>27</v>
      </c>
      <c r="B3" s="5" t="s">
        <v>92</v>
      </c>
      <c r="C3" s="5">
        <v>914</v>
      </c>
      <c r="N3" s="5" t="s">
        <v>31</v>
      </c>
    </row>
    <row r="4" spans="1:14" x14ac:dyDescent="0.25">
      <c r="A4" s="5" t="s">
        <v>31</v>
      </c>
      <c r="B4" s="5" t="s">
        <v>39</v>
      </c>
      <c r="C4" s="5">
        <v>355</v>
      </c>
      <c r="E4" s="8" t="s">
        <v>90</v>
      </c>
      <c r="F4" s="8" t="s">
        <v>91</v>
      </c>
    </row>
    <row r="5" spans="1:14" x14ac:dyDescent="0.25">
      <c r="A5" s="5" t="s">
        <v>27</v>
      </c>
      <c r="B5" s="5" t="s">
        <v>39</v>
      </c>
      <c r="C5" s="5">
        <v>590</v>
      </c>
      <c r="E5" s="5" t="s">
        <v>92</v>
      </c>
      <c r="F5" s="6">
        <f t="array" ref="F5">MAX(IF($A$3:$A$12=$F$2,IF($B$3:$B$12=E5,$C$3:$C$12)))</f>
        <v>914</v>
      </c>
    </row>
    <row r="6" spans="1:14" x14ac:dyDescent="0.25">
      <c r="A6" s="5" t="s">
        <v>27</v>
      </c>
      <c r="B6" s="5" t="s">
        <v>92</v>
      </c>
      <c r="C6" s="5">
        <v>610</v>
      </c>
      <c r="E6" s="5" t="s">
        <v>93</v>
      </c>
      <c r="F6" s="6">
        <f t="array" ref="F6">MAX(IF($A$3:$A$12=$F$2,IF($B$3:$B$12=E6,$C$3:$C$12)))</f>
        <v>825</v>
      </c>
    </row>
    <row r="7" spans="1:14" x14ac:dyDescent="0.25">
      <c r="A7" s="5" t="s">
        <v>31</v>
      </c>
      <c r="B7" s="5" t="s">
        <v>93</v>
      </c>
      <c r="C7" s="5">
        <v>506</v>
      </c>
      <c r="E7" s="5" t="s">
        <v>39</v>
      </c>
      <c r="F7" s="6">
        <f t="array" ref="F7">MAX(IF($A$3:$A$12=$F$2,IF($B$3:$B$12=E7,$C$3:$C$12)))</f>
        <v>685</v>
      </c>
    </row>
    <row r="8" spans="1:14" x14ac:dyDescent="0.25">
      <c r="A8" s="5" t="s">
        <v>27</v>
      </c>
      <c r="B8" s="5" t="s">
        <v>93</v>
      </c>
      <c r="C8" s="5">
        <v>825</v>
      </c>
    </row>
    <row r="9" spans="1:14" x14ac:dyDescent="0.25">
      <c r="A9" s="5" t="s">
        <v>31</v>
      </c>
      <c r="B9" s="5" t="s">
        <v>92</v>
      </c>
      <c r="C9" s="5">
        <v>710</v>
      </c>
    </row>
    <row r="10" spans="1:14" x14ac:dyDescent="0.25">
      <c r="A10" s="5" t="s">
        <v>31</v>
      </c>
      <c r="B10" s="5" t="s">
        <v>39</v>
      </c>
      <c r="C10" s="5">
        <v>280</v>
      </c>
    </row>
    <row r="11" spans="1:14" x14ac:dyDescent="0.25">
      <c r="A11" s="5" t="s">
        <v>31</v>
      </c>
      <c r="B11" s="5" t="s">
        <v>93</v>
      </c>
      <c r="C11" s="5">
        <v>363</v>
      </c>
    </row>
    <row r="12" spans="1:14" x14ac:dyDescent="0.25">
      <c r="A12" s="5" t="s">
        <v>27</v>
      </c>
      <c r="B12" s="5" t="s">
        <v>39</v>
      </c>
      <c r="C12" s="5">
        <v>685</v>
      </c>
    </row>
    <row r="14" spans="1:14" x14ac:dyDescent="0.25">
      <c r="A14" t="s">
        <v>95</v>
      </c>
    </row>
  </sheetData>
  <sortState ref="E5:E7">
    <sortCondition ref="E5"/>
  </sortState>
  <dataValidations count="2">
    <dataValidation type="list" allowBlank="1" showInputMessage="1" showErrorMessage="1" sqref="O2">
      <formula1>$E$5:$E$7</formula1>
    </dataValidation>
    <dataValidation type="list" allowBlank="1" showInputMessage="1" showErrorMessage="1" sqref="F2">
      <formula1>$N$2:$N$3</formula1>
    </dataValidation>
  </dataValidation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0000FF"/>
  </sheetPr>
  <dimension ref="A1:N12"/>
  <sheetViews>
    <sheetView zoomScale="130" zoomScaleNormal="130" workbookViewId="0">
      <selection activeCell="E3" sqref="E3"/>
    </sheetView>
  </sheetViews>
  <sheetFormatPr defaultRowHeight="15" x14ac:dyDescent="0.25"/>
  <cols>
    <col min="1" max="1" width="9.28515625" customWidth="1"/>
    <col min="2" max="2" width="14" customWidth="1"/>
    <col min="3" max="3" width="9.28515625" customWidth="1"/>
    <col min="4" max="4" width="1.7109375" customWidth="1"/>
    <col min="5" max="5" width="11.7109375" customWidth="1"/>
    <col min="6" max="6" width="12.140625" customWidth="1"/>
  </cols>
  <sheetData>
    <row r="1" spans="1:14" x14ac:dyDescent="0.25">
      <c r="A1" s="20" t="str">
        <f>"Calculate the MAX value for each Sales Rep in the "&amp;F2</f>
        <v xml:space="preserve">Calculate the MAX value for each Sales Rep in the </v>
      </c>
      <c r="B1" s="17"/>
      <c r="C1" s="17"/>
      <c r="D1" s="17"/>
      <c r="E1" s="17"/>
      <c r="F1" s="18"/>
      <c r="N1" s="8" t="s">
        <v>22</v>
      </c>
    </row>
    <row r="2" spans="1:14" x14ac:dyDescent="0.25">
      <c r="A2" s="4" t="s">
        <v>22</v>
      </c>
      <c r="B2" s="4" t="s">
        <v>90</v>
      </c>
      <c r="C2" s="4" t="s">
        <v>91</v>
      </c>
      <c r="N2" s="5" t="s">
        <v>27</v>
      </c>
    </row>
    <row r="3" spans="1:14" x14ac:dyDescent="0.25">
      <c r="A3" s="5" t="s">
        <v>27</v>
      </c>
      <c r="B3" s="5" t="s">
        <v>92</v>
      </c>
      <c r="C3" s="5">
        <v>914</v>
      </c>
      <c r="E3" s="33" t="s">
        <v>22</v>
      </c>
      <c r="F3" t="s">
        <v>27</v>
      </c>
      <c r="N3" s="5" t="s">
        <v>31</v>
      </c>
    </row>
    <row r="4" spans="1:14" x14ac:dyDescent="0.25">
      <c r="A4" s="5" t="s">
        <v>31</v>
      </c>
      <c r="B4" s="5" t="s">
        <v>39</v>
      </c>
      <c r="C4" s="5">
        <v>355</v>
      </c>
    </row>
    <row r="5" spans="1:14" x14ac:dyDescent="0.25">
      <c r="A5" s="5" t="s">
        <v>27</v>
      </c>
      <c r="B5" s="5" t="s">
        <v>39</v>
      </c>
      <c r="C5" s="5">
        <v>590</v>
      </c>
      <c r="E5" s="33" t="s">
        <v>90</v>
      </c>
      <c r="F5" t="s">
        <v>94</v>
      </c>
    </row>
    <row r="6" spans="1:14" x14ac:dyDescent="0.25">
      <c r="A6" s="5" t="s">
        <v>27</v>
      </c>
      <c r="B6" s="5" t="s">
        <v>92</v>
      </c>
      <c r="C6" s="5">
        <v>610</v>
      </c>
      <c r="E6" t="s">
        <v>92</v>
      </c>
      <c r="F6" s="34">
        <v>914</v>
      </c>
    </row>
    <row r="7" spans="1:14" x14ac:dyDescent="0.25">
      <c r="A7" s="5" t="s">
        <v>31</v>
      </c>
      <c r="B7" s="5" t="s">
        <v>93</v>
      </c>
      <c r="C7" s="5">
        <v>506</v>
      </c>
      <c r="E7" t="s">
        <v>93</v>
      </c>
      <c r="F7" s="34">
        <v>825</v>
      </c>
    </row>
    <row r="8" spans="1:14" x14ac:dyDescent="0.25">
      <c r="A8" s="5" t="s">
        <v>27</v>
      </c>
      <c r="B8" s="5" t="s">
        <v>93</v>
      </c>
      <c r="C8" s="5">
        <v>825</v>
      </c>
      <c r="E8" t="s">
        <v>39</v>
      </c>
      <c r="F8" s="34">
        <v>685</v>
      </c>
    </row>
    <row r="9" spans="1:14" x14ac:dyDescent="0.25">
      <c r="A9" s="5" t="s">
        <v>31</v>
      </c>
      <c r="B9" s="5" t="s">
        <v>92</v>
      </c>
      <c r="C9" s="5">
        <v>710</v>
      </c>
      <c r="E9" t="s">
        <v>89</v>
      </c>
      <c r="F9" s="34">
        <v>914</v>
      </c>
    </row>
    <row r="10" spans="1:14" x14ac:dyDescent="0.25">
      <c r="A10" s="5" t="s">
        <v>31</v>
      </c>
      <c r="B10" s="5" t="s">
        <v>39</v>
      </c>
      <c r="C10" s="5">
        <v>280</v>
      </c>
    </row>
    <row r="11" spans="1:14" x14ac:dyDescent="0.25">
      <c r="A11" s="5" t="s">
        <v>31</v>
      </c>
      <c r="B11" s="5" t="s">
        <v>93</v>
      </c>
      <c r="C11" s="5">
        <v>363</v>
      </c>
    </row>
    <row r="12" spans="1:14" x14ac:dyDescent="0.25">
      <c r="A12" s="5" t="s">
        <v>27</v>
      </c>
      <c r="B12" s="5" t="s">
        <v>39</v>
      </c>
      <c r="C12" s="5">
        <v>685</v>
      </c>
    </row>
  </sheetData>
  <dataValidations disablePrompts="1" count="1">
    <dataValidation type="list" allowBlank="1" showInputMessage="1" showErrorMessage="1" sqref="O2">
      <formula1>$E$6:$E$8</formula1>
    </dataValidation>
  </dataValidations>
  <pageMargins left="0.7" right="0.7" top="0.75" bottom="0.75" header="0.3" footer="0.3"/>
  <pageSetup orientation="portrait"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0000FF"/>
  </sheetPr>
  <dimension ref="A1:N12"/>
  <sheetViews>
    <sheetView zoomScale="130" zoomScaleNormal="130" workbookViewId="0">
      <selection activeCell="E3" sqref="E3"/>
    </sheetView>
  </sheetViews>
  <sheetFormatPr defaultRowHeight="15" x14ac:dyDescent="0.25"/>
  <cols>
    <col min="1" max="1" width="9.28515625" customWidth="1"/>
    <col min="2" max="2" width="14" customWidth="1"/>
    <col min="3" max="3" width="9.28515625" customWidth="1"/>
    <col min="4" max="4" width="1.7109375" customWidth="1"/>
    <col min="5" max="5" width="11.7109375" customWidth="1"/>
    <col min="6" max="6" width="12.140625" customWidth="1"/>
  </cols>
  <sheetData>
    <row r="1" spans="1:14" x14ac:dyDescent="0.25">
      <c r="A1" s="20" t="str">
        <f>"Calculate the MAX value for each Sales Rep in the "&amp;E3</f>
        <v>Calculate the MAX value for each Sales Rep in the West</v>
      </c>
      <c r="B1" s="17"/>
      <c r="C1" s="17"/>
      <c r="D1" s="17"/>
      <c r="E1" s="17"/>
      <c r="F1" s="18"/>
      <c r="N1" s="8" t="s">
        <v>22</v>
      </c>
    </row>
    <row r="2" spans="1:14" x14ac:dyDescent="0.25">
      <c r="A2" s="4" t="s">
        <v>22</v>
      </c>
      <c r="B2" s="4" t="s">
        <v>90</v>
      </c>
      <c r="C2" s="4" t="s">
        <v>91</v>
      </c>
      <c r="E2" s="4" t="s">
        <v>22</v>
      </c>
      <c r="F2" s="8" t="s">
        <v>90</v>
      </c>
      <c r="N2" s="5" t="s">
        <v>27</v>
      </c>
    </row>
    <row r="3" spans="1:14" x14ac:dyDescent="0.25">
      <c r="A3" s="5" t="s">
        <v>27</v>
      </c>
      <c r="B3" s="5" t="s">
        <v>92</v>
      </c>
      <c r="C3" s="5">
        <v>914</v>
      </c>
      <c r="E3" s="35" t="s">
        <v>27</v>
      </c>
      <c r="F3" s="5" t="s">
        <v>92</v>
      </c>
      <c r="N3" s="5" t="s">
        <v>31</v>
      </c>
    </row>
    <row r="4" spans="1:14" x14ac:dyDescent="0.25">
      <c r="A4" s="5" t="s">
        <v>31</v>
      </c>
      <c r="B4" s="5" t="s">
        <v>39</v>
      </c>
      <c r="C4" s="5">
        <v>355</v>
      </c>
    </row>
    <row r="5" spans="1:14" x14ac:dyDescent="0.25">
      <c r="A5" s="5" t="s">
        <v>27</v>
      </c>
      <c r="B5" s="5" t="s">
        <v>39</v>
      </c>
      <c r="C5" s="5">
        <v>590</v>
      </c>
      <c r="E5" s="8" t="s">
        <v>91</v>
      </c>
    </row>
    <row r="6" spans="1:14" x14ac:dyDescent="0.25">
      <c r="A6" s="5" t="s">
        <v>27</v>
      </c>
      <c r="B6" s="5" t="s">
        <v>92</v>
      </c>
      <c r="C6" s="5">
        <v>610</v>
      </c>
      <c r="E6" s="6">
        <f>DMAX(A2:C12,"Sales",E2:F3)</f>
        <v>914</v>
      </c>
    </row>
    <row r="7" spans="1:14" x14ac:dyDescent="0.25">
      <c r="A7" s="5" t="s">
        <v>31</v>
      </c>
      <c r="B7" s="5" t="s">
        <v>93</v>
      </c>
      <c r="C7" s="5">
        <v>506</v>
      </c>
    </row>
    <row r="8" spans="1:14" x14ac:dyDescent="0.25">
      <c r="A8" s="5" t="s">
        <v>27</v>
      </c>
      <c r="B8" s="5" t="s">
        <v>93</v>
      </c>
      <c r="C8" s="5">
        <v>825</v>
      </c>
    </row>
    <row r="9" spans="1:14" x14ac:dyDescent="0.25">
      <c r="A9" s="5" t="s">
        <v>31</v>
      </c>
      <c r="B9" s="5" t="s">
        <v>92</v>
      </c>
      <c r="C9" s="5">
        <v>710</v>
      </c>
    </row>
    <row r="10" spans="1:14" x14ac:dyDescent="0.25">
      <c r="A10" s="5" t="s">
        <v>31</v>
      </c>
      <c r="B10" s="5" t="s">
        <v>39</v>
      </c>
      <c r="C10" s="5">
        <v>280</v>
      </c>
    </row>
    <row r="11" spans="1:14" x14ac:dyDescent="0.25">
      <c r="A11" s="5" t="s">
        <v>31</v>
      </c>
      <c r="B11" s="5" t="s">
        <v>93</v>
      </c>
      <c r="C11" s="5">
        <v>363</v>
      </c>
    </row>
    <row r="12" spans="1:14" x14ac:dyDescent="0.25">
      <c r="A12" s="5" t="s">
        <v>27</v>
      </c>
      <c r="B12" s="5" t="s">
        <v>39</v>
      </c>
      <c r="C12" s="5">
        <v>685</v>
      </c>
    </row>
  </sheetData>
  <dataValidations count="2">
    <dataValidation type="list" allowBlank="1" showInputMessage="1" showErrorMessage="1" sqref="E3">
      <formula1>$N$2:$N$3</formula1>
    </dataValidation>
    <dataValidation type="list" allowBlank="1" showInputMessage="1" showErrorMessage="1" sqref="O2">
      <formula1>$E$7:$E$8</formula1>
    </dataValidation>
  </dataValidation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0000FF"/>
  </sheetPr>
  <dimension ref="A1:R13"/>
  <sheetViews>
    <sheetView zoomScale="130" zoomScaleNormal="130" workbookViewId="0">
      <selection activeCell="E3" sqref="E3"/>
    </sheetView>
  </sheetViews>
  <sheetFormatPr defaultRowHeight="15" x14ac:dyDescent="0.25"/>
  <cols>
    <col min="1" max="1" width="9.28515625" customWidth="1"/>
    <col min="2" max="2" width="14" customWidth="1"/>
    <col min="3" max="3" width="9.28515625" customWidth="1"/>
    <col min="4" max="4" width="1.7109375" customWidth="1"/>
    <col min="5" max="5" width="11.28515625" customWidth="1"/>
    <col min="6" max="6" width="17.85546875" customWidth="1"/>
    <col min="8" max="8" width="17.42578125" customWidth="1"/>
    <col min="9" max="9" width="20.28515625" bestFit="1" customWidth="1"/>
  </cols>
  <sheetData>
    <row r="1" spans="1:18" x14ac:dyDescent="0.25">
      <c r="A1" s="20" t="str">
        <f>"Calculate  fastest time for each Racer NOT at "&amp;F2&amp;" track."</f>
        <v>Calculate  fastest time for each Racer NOT at PI track.</v>
      </c>
      <c r="B1" s="17"/>
      <c r="C1" s="17"/>
      <c r="D1" s="17"/>
      <c r="E1" s="17"/>
      <c r="F1" s="18"/>
      <c r="N1" s="8" t="s">
        <v>96</v>
      </c>
      <c r="Q1" s="5" t="str">
        <f ca="1">INDEX($N$2:$N$4,RANDBETWEEN(1,3))</f>
        <v>SeaTac</v>
      </c>
      <c r="R1" s="5" t="str">
        <f ca="1">INDEX($E$5:$E$7,RANDBETWEEN(1,3))</f>
        <v>Zaine</v>
      </c>
    </row>
    <row r="2" spans="1:18" x14ac:dyDescent="0.25">
      <c r="A2" s="4" t="s">
        <v>96</v>
      </c>
      <c r="B2" s="4" t="s">
        <v>106</v>
      </c>
      <c r="C2" s="4" t="s">
        <v>98</v>
      </c>
      <c r="E2" s="4" t="str">
        <f>A2</f>
        <v>Track</v>
      </c>
      <c r="F2" s="35" t="s">
        <v>99</v>
      </c>
      <c r="N2" s="5" t="s">
        <v>97</v>
      </c>
    </row>
    <row r="3" spans="1:18" x14ac:dyDescent="0.25">
      <c r="A3" s="5" t="s">
        <v>99</v>
      </c>
      <c r="B3" s="5" t="s">
        <v>101</v>
      </c>
      <c r="C3" s="5">
        <v>34.5</v>
      </c>
      <c r="N3" s="5" t="s">
        <v>99</v>
      </c>
    </row>
    <row r="4" spans="1:18" x14ac:dyDescent="0.25">
      <c r="A4" s="5" t="s">
        <v>97</v>
      </c>
      <c r="B4" s="5" t="s">
        <v>102</v>
      </c>
      <c r="C4" s="5">
        <v>44.3</v>
      </c>
      <c r="E4" s="8" t="str">
        <f>B2</f>
        <v>BMX Racer</v>
      </c>
      <c r="F4" s="8" t="str">
        <f>C2</f>
        <v>Time (s)</v>
      </c>
      <c r="N4" s="5" t="s">
        <v>100</v>
      </c>
    </row>
    <row r="5" spans="1:18" x14ac:dyDescent="0.25">
      <c r="A5" s="5" t="s">
        <v>100</v>
      </c>
      <c r="B5" s="5" t="s">
        <v>101</v>
      </c>
      <c r="C5" s="5">
        <v>49</v>
      </c>
      <c r="E5" s="5" t="s">
        <v>103</v>
      </c>
      <c r="F5" s="6">
        <f t="array" ref="F5">MIN(IF($A$3:$A$13&lt;&gt;$F$2,IF($B$3:$B$13=E5,$C$3:$C$13)))</f>
        <v>47.5</v>
      </c>
    </row>
    <row r="6" spans="1:18" x14ac:dyDescent="0.25">
      <c r="A6" s="5" t="s">
        <v>99</v>
      </c>
      <c r="B6" s="5" t="s">
        <v>103</v>
      </c>
      <c r="C6" s="5">
        <v>37.799999999999997</v>
      </c>
      <c r="E6" s="5" t="s">
        <v>102</v>
      </c>
      <c r="F6" s="6">
        <f t="array" ref="F6">MIN(IF($A$3:$A$13&lt;&gt;$F$2,IF($B$3:$B$13=E6,$C$3:$C$13)))</f>
        <v>44.3</v>
      </c>
    </row>
    <row r="7" spans="1:18" x14ac:dyDescent="0.25">
      <c r="A7" s="5" t="s">
        <v>97</v>
      </c>
      <c r="B7" s="5" t="s">
        <v>103</v>
      </c>
      <c r="C7" s="5">
        <v>47.5</v>
      </c>
      <c r="E7" s="5" t="s">
        <v>101</v>
      </c>
      <c r="F7" s="6">
        <f t="array" ref="F7">MIN(IF($A$3:$A$13&lt;&gt;$F$2,IF($B$3:$B$13=E7,$C$3:$C$13)))</f>
        <v>43</v>
      </c>
    </row>
    <row r="8" spans="1:18" x14ac:dyDescent="0.25">
      <c r="A8" s="5" t="s">
        <v>97</v>
      </c>
      <c r="B8" s="5" t="s">
        <v>101</v>
      </c>
      <c r="C8" s="5">
        <v>43</v>
      </c>
    </row>
    <row r="9" spans="1:18" x14ac:dyDescent="0.25">
      <c r="A9" s="5" t="s">
        <v>99</v>
      </c>
      <c r="B9" s="5" t="s">
        <v>102</v>
      </c>
      <c r="C9" s="5">
        <v>35.9</v>
      </c>
    </row>
    <row r="10" spans="1:18" x14ac:dyDescent="0.25">
      <c r="A10" s="5" t="s">
        <v>100</v>
      </c>
      <c r="B10" s="5" t="s">
        <v>101</v>
      </c>
      <c r="C10" s="5">
        <v>51</v>
      </c>
    </row>
    <row r="11" spans="1:18" x14ac:dyDescent="0.25">
      <c r="A11" s="5" t="s">
        <v>100</v>
      </c>
      <c r="B11" s="5" t="s">
        <v>102</v>
      </c>
      <c r="C11" s="5">
        <v>53.4</v>
      </c>
    </row>
    <row r="12" spans="1:18" x14ac:dyDescent="0.25">
      <c r="A12" s="5" t="s">
        <v>100</v>
      </c>
      <c r="B12" s="5" t="s">
        <v>103</v>
      </c>
      <c r="C12" s="5">
        <v>55.6</v>
      </c>
    </row>
    <row r="13" spans="1:18" x14ac:dyDescent="0.25">
      <c r="A13" s="5" t="s">
        <v>99</v>
      </c>
      <c r="B13" s="5" t="s">
        <v>101</v>
      </c>
      <c r="C13" s="5">
        <v>39</v>
      </c>
    </row>
  </sheetData>
  <sortState ref="E5:E7">
    <sortCondition ref="E5"/>
  </sortState>
  <dataValidations count="2">
    <dataValidation type="list" allowBlank="1" showInputMessage="1" showErrorMessage="1" sqref="O2">
      <formula1>$E$7:$E$8</formula1>
    </dataValidation>
    <dataValidation type="list" allowBlank="1" showInputMessage="1" showErrorMessage="1" sqref="F2">
      <formula1>$N$2:$N$4</formula1>
    </dataValidation>
  </dataValidation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rgb="FF0000FF"/>
  </sheetPr>
  <dimension ref="A1:N13"/>
  <sheetViews>
    <sheetView zoomScale="130" zoomScaleNormal="130" workbookViewId="0">
      <selection activeCell="E3" sqref="E3"/>
    </sheetView>
  </sheetViews>
  <sheetFormatPr defaultRowHeight="15" x14ac:dyDescent="0.25"/>
  <cols>
    <col min="1" max="1" width="7.85546875" customWidth="1"/>
    <col min="2" max="2" width="10.140625" customWidth="1"/>
    <col min="3" max="3" width="7.5703125" customWidth="1"/>
    <col min="4" max="4" width="1.7109375" customWidth="1"/>
    <col min="5" max="5" width="10.42578125" customWidth="1"/>
    <col min="6" max="6" width="17.85546875" customWidth="1"/>
    <col min="8" max="8" width="17.42578125" customWidth="1"/>
    <col min="9" max="9" width="20.28515625" bestFit="1" customWidth="1"/>
  </cols>
  <sheetData>
    <row r="1" spans="1:14" x14ac:dyDescent="0.25">
      <c r="A1" s="20" t="str">
        <f>"Calculate  fastest time for each Racer NOT at "&amp;F2&amp;" track."</f>
        <v>Calculate  fastest time for each Racer NOT at PI track.</v>
      </c>
      <c r="B1" s="17"/>
      <c r="C1" s="17"/>
      <c r="D1" s="17"/>
      <c r="E1" s="17"/>
      <c r="F1" s="18"/>
      <c r="N1" s="8" t="s">
        <v>96</v>
      </c>
    </row>
    <row r="2" spans="1:14" x14ac:dyDescent="0.25">
      <c r="A2" s="4" t="s">
        <v>96</v>
      </c>
      <c r="B2" s="4" t="s">
        <v>106</v>
      </c>
      <c r="C2" s="4" t="s">
        <v>98</v>
      </c>
      <c r="E2" s="4" t="str">
        <f>A2</f>
        <v>Track</v>
      </c>
      <c r="F2" s="35" t="s">
        <v>99</v>
      </c>
      <c r="N2" s="5" t="s">
        <v>97</v>
      </c>
    </row>
    <row r="3" spans="1:14" x14ac:dyDescent="0.25">
      <c r="A3" s="5" t="s">
        <v>99</v>
      </c>
      <c r="B3" s="5" t="s">
        <v>101</v>
      </c>
      <c r="C3" s="5">
        <v>34.5</v>
      </c>
      <c r="N3" s="5" t="s">
        <v>99</v>
      </c>
    </row>
    <row r="4" spans="1:14" x14ac:dyDescent="0.25">
      <c r="A4" s="5" t="s">
        <v>97</v>
      </c>
      <c r="B4" s="5" t="s">
        <v>102</v>
      </c>
      <c r="C4" s="5">
        <v>44.3</v>
      </c>
      <c r="E4" s="8" t="str">
        <f>B2</f>
        <v>BMX Racer</v>
      </c>
      <c r="F4" s="8" t="str">
        <f>C2</f>
        <v>Time (s)</v>
      </c>
      <c r="I4" s="23" t="s">
        <v>107</v>
      </c>
      <c r="N4" s="5" t="s">
        <v>100</v>
      </c>
    </row>
    <row r="5" spans="1:14" x14ac:dyDescent="0.25">
      <c r="A5" s="5" t="s">
        <v>100</v>
      </c>
      <c r="B5" s="5" t="s">
        <v>101</v>
      </c>
      <c r="C5" s="5">
        <v>49</v>
      </c>
      <c r="E5" s="5" t="s">
        <v>103</v>
      </c>
      <c r="F5" s="6">
        <f>_xlfn.AGGREGATE(15,6,$C$3:$C$13/(($A$3:$A$13&lt;&gt;$F$2)*($B$3:$B$13=E5)),1)</f>
        <v>47.5</v>
      </c>
      <c r="I5" s="6" t="e">
        <f>_xlfn.AGGREGATE(15,6,IF($A$3:$A$13&lt;&gt;$F$2,IF($B$3:$B$13=E5,$C$3:$C$13)),1)</f>
        <v>#VALUE!</v>
      </c>
    </row>
    <row r="6" spans="1:14" x14ac:dyDescent="0.25">
      <c r="A6" s="5" t="s">
        <v>99</v>
      </c>
      <c r="B6" s="5" t="s">
        <v>103</v>
      </c>
      <c r="C6" s="5">
        <v>37.799999999999997</v>
      </c>
      <c r="E6" s="5" t="s">
        <v>102</v>
      </c>
      <c r="F6" s="6">
        <f>_xlfn.AGGREGATE(15,6,$C$3:$C$13/(($A$3:$A$13&lt;&gt;$F$2)*($B$3:$B$13=E6)),1)</f>
        <v>44.3</v>
      </c>
      <c r="I6" s="6" t="e">
        <f>_xlfn.AGGREGATE(15,6,IF($A$3:$A$13&lt;&gt;$F$2,IF($B$3:$B$13=E6,$C$3:$C$13)),1)</f>
        <v>#VALUE!</v>
      </c>
    </row>
    <row r="7" spans="1:14" x14ac:dyDescent="0.25">
      <c r="A7" s="5" t="s">
        <v>97</v>
      </c>
      <c r="B7" s="5" t="s">
        <v>103</v>
      </c>
      <c r="C7" s="5">
        <v>47.5</v>
      </c>
      <c r="E7" s="5" t="s">
        <v>101</v>
      </c>
      <c r="F7" s="6">
        <f>_xlfn.AGGREGATE(15,6,$C$3:$C$13/(($A$3:$A$13&lt;&gt;$F$2)*($B$3:$B$13=E7)),1)</f>
        <v>43</v>
      </c>
      <c r="I7" s="6" t="e">
        <f>_xlfn.AGGREGATE(15,6,IF($A$3:$A$13&lt;&gt;$F$2,IF($B$3:$B$13=E7,$C$3:$C$13)),1)</f>
        <v>#VALUE!</v>
      </c>
    </row>
    <row r="8" spans="1:14" x14ac:dyDescent="0.25">
      <c r="A8" s="5" t="s">
        <v>97</v>
      </c>
      <c r="B8" s="5" t="s">
        <v>101</v>
      </c>
      <c r="C8" s="5">
        <v>43</v>
      </c>
    </row>
    <row r="9" spans="1:14" x14ac:dyDescent="0.25">
      <c r="A9" s="5" t="s">
        <v>99</v>
      </c>
      <c r="B9" s="5" t="s">
        <v>102</v>
      </c>
      <c r="C9" s="5">
        <v>35.9</v>
      </c>
    </row>
    <row r="10" spans="1:14" x14ac:dyDescent="0.25">
      <c r="A10" s="5" t="s">
        <v>100</v>
      </c>
      <c r="B10" s="5" t="s">
        <v>101</v>
      </c>
      <c r="C10" s="5">
        <v>51</v>
      </c>
    </row>
    <row r="11" spans="1:14" x14ac:dyDescent="0.25">
      <c r="A11" s="5" t="s">
        <v>100</v>
      </c>
      <c r="B11" s="5" t="s">
        <v>102</v>
      </c>
      <c r="C11" s="5">
        <v>53.4</v>
      </c>
    </row>
    <row r="12" spans="1:14" x14ac:dyDescent="0.25">
      <c r="A12" s="5" t="s">
        <v>100</v>
      </c>
      <c r="B12" s="5" t="s">
        <v>103</v>
      </c>
      <c r="C12" s="5">
        <v>55.6</v>
      </c>
    </row>
    <row r="13" spans="1:14" x14ac:dyDescent="0.25">
      <c r="A13" s="5" t="s">
        <v>99</v>
      </c>
      <c r="B13" s="5" t="s">
        <v>101</v>
      </c>
      <c r="C13" s="5">
        <v>39</v>
      </c>
    </row>
  </sheetData>
  <dataValidations disablePrompts="1" count="2">
    <dataValidation type="list" allowBlank="1" showInputMessage="1" showErrorMessage="1" sqref="F2">
      <formula1>$N$2:$N$4</formula1>
    </dataValidation>
    <dataValidation type="list" allowBlank="1" showInputMessage="1" showErrorMessage="1" sqref="O2">
      <formula1>$E$7:$E$8</formula1>
    </dataValidation>
  </dataValidation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0000FF"/>
  </sheetPr>
  <dimension ref="A1:N13"/>
  <sheetViews>
    <sheetView zoomScale="130" zoomScaleNormal="130" workbookViewId="0">
      <selection activeCell="E3" sqref="E3"/>
    </sheetView>
  </sheetViews>
  <sheetFormatPr defaultRowHeight="15" x14ac:dyDescent="0.25"/>
  <cols>
    <col min="1" max="1" width="7.85546875" customWidth="1"/>
    <col min="2" max="2" width="10.140625" customWidth="1"/>
    <col min="3" max="3" width="7.5703125" customWidth="1"/>
    <col min="4" max="4" width="1.7109375" customWidth="1"/>
    <col min="5" max="5" width="10.42578125" customWidth="1"/>
    <col min="6" max="6" width="17.85546875" customWidth="1"/>
    <col min="7" max="7" width="38.7109375" customWidth="1"/>
    <col min="8" max="8" width="17.42578125" customWidth="1"/>
    <col min="9" max="9" width="20.28515625" bestFit="1" customWidth="1"/>
  </cols>
  <sheetData>
    <row r="1" spans="1:14" x14ac:dyDescent="0.25">
      <c r="A1" s="20" t="str">
        <f>"Calculate  fastest time for each Racer NOT at "&amp;E3&amp;" track."</f>
        <v>Calculate  fastest time for each Racer NOT at &lt;&gt;PI track.</v>
      </c>
      <c r="B1" s="17"/>
      <c r="C1" s="17"/>
      <c r="D1" s="17"/>
      <c r="E1" s="17"/>
      <c r="F1" s="18"/>
      <c r="N1" s="8" t="s">
        <v>96</v>
      </c>
    </row>
    <row r="2" spans="1:14" x14ac:dyDescent="0.25">
      <c r="A2" s="4" t="s">
        <v>96</v>
      </c>
      <c r="B2" s="4" t="s">
        <v>106</v>
      </c>
      <c r="C2" s="4" t="s">
        <v>98</v>
      </c>
      <c r="E2" s="4" t="str">
        <f>A2</f>
        <v>Track</v>
      </c>
      <c r="F2" s="8" t="str">
        <f>B2</f>
        <v>BMX Racer</v>
      </c>
      <c r="N2" s="5" t="s">
        <v>97</v>
      </c>
    </row>
    <row r="3" spans="1:14" x14ac:dyDescent="0.25">
      <c r="A3" s="5" t="s">
        <v>99</v>
      </c>
      <c r="B3" s="5" t="s">
        <v>101</v>
      </c>
      <c r="C3" s="5">
        <v>34.5</v>
      </c>
      <c r="E3" s="35" t="s">
        <v>109</v>
      </c>
      <c r="F3" s="5" t="s">
        <v>103</v>
      </c>
      <c r="N3" s="5" t="s">
        <v>99</v>
      </c>
    </row>
    <row r="4" spans="1:14" x14ac:dyDescent="0.25">
      <c r="A4" s="5" t="s">
        <v>97</v>
      </c>
      <c r="B4" s="5" t="s">
        <v>102</v>
      </c>
      <c r="C4" s="5">
        <v>44.3</v>
      </c>
      <c r="E4" s="8" t="s">
        <v>108</v>
      </c>
      <c r="F4" s="6">
        <f>DMIN(A2:C13,"Time (s)",E2:F3)</f>
        <v>47.5</v>
      </c>
      <c r="G4" t="s">
        <v>1516</v>
      </c>
      <c r="N4" s="5" t="s">
        <v>100</v>
      </c>
    </row>
    <row r="5" spans="1:14" x14ac:dyDescent="0.25">
      <c r="A5" s="5" t="s">
        <v>100</v>
      </c>
      <c r="B5" s="5" t="s">
        <v>101</v>
      </c>
      <c r="C5" s="5">
        <v>49</v>
      </c>
    </row>
    <row r="6" spans="1:14" x14ac:dyDescent="0.25">
      <c r="A6" s="5" t="s">
        <v>99</v>
      </c>
      <c r="B6" s="5" t="s">
        <v>103</v>
      </c>
      <c r="C6" s="5">
        <v>37.799999999999997</v>
      </c>
      <c r="E6" s="5"/>
      <c r="F6" s="6">
        <f>F4</f>
        <v>47.5</v>
      </c>
      <c r="G6" t="s">
        <v>1517</v>
      </c>
    </row>
    <row r="7" spans="1:14" x14ac:dyDescent="0.25">
      <c r="A7" s="5" t="s">
        <v>97</v>
      </c>
      <c r="B7" s="5" t="s">
        <v>103</v>
      </c>
      <c r="C7" s="5">
        <v>47.5</v>
      </c>
      <c r="E7" s="5" t="s">
        <v>103</v>
      </c>
      <c r="F7" s="5">
        <f t="dataTable" ref="F7:F9" dt2D="0" dtr="0" r1="F3"/>
        <v>47.5</v>
      </c>
      <c r="G7" t="s">
        <v>1518</v>
      </c>
    </row>
    <row r="8" spans="1:14" x14ac:dyDescent="0.25">
      <c r="A8" s="5" t="s">
        <v>97</v>
      </c>
      <c r="B8" s="5" t="s">
        <v>101</v>
      </c>
      <c r="C8" s="5">
        <v>43</v>
      </c>
      <c r="E8" s="5" t="s">
        <v>102</v>
      </c>
      <c r="F8" s="5">
        <v>44.3</v>
      </c>
      <c r="G8" t="s">
        <v>1518</v>
      </c>
    </row>
    <row r="9" spans="1:14" x14ac:dyDescent="0.25">
      <c r="A9" s="5" t="s">
        <v>99</v>
      </c>
      <c r="B9" s="5" t="s">
        <v>102</v>
      </c>
      <c r="C9" s="5">
        <v>35.9</v>
      </c>
      <c r="E9" s="5" t="s">
        <v>101</v>
      </c>
      <c r="F9" s="5">
        <v>43</v>
      </c>
      <c r="G9" t="s">
        <v>1518</v>
      </c>
    </row>
    <row r="10" spans="1:14" x14ac:dyDescent="0.25">
      <c r="A10" s="5" t="s">
        <v>100</v>
      </c>
      <c r="B10" s="5" t="s">
        <v>101</v>
      </c>
      <c r="C10" s="5">
        <v>51</v>
      </c>
    </row>
    <row r="11" spans="1:14" x14ac:dyDescent="0.25">
      <c r="A11" s="5" t="s">
        <v>100</v>
      </c>
      <c r="B11" s="5" t="s">
        <v>102</v>
      </c>
      <c r="C11" s="5">
        <v>53.4</v>
      </c>
    </row>
    <row r="12" spans="1:14" x14ac:dyDescent="0.25">
      <c r="A12" s="5" t="s">
        <v>100</v>
      </c>
      <c r="B12" s="5" t="s">
        <v>103</v>
      </c>
      <c r="C12" s="5">
        <v>55.6</v>
      </c>
    </row>
    <row r="13" spans="1:14" x14ac:dyDescent="0.25">
      <c r="A13" s="5" t="s">
        <v>99</v>
      </c>
      <c r="B13" s="5" t="s">
        <v>101</v>
      </c>
      <c r="C13" s="5">
        <v>39</v>
      </c>
    </row>
  </sheetData>
  <dataValidations disablePrompts="1" count="1">
    <dataValidation type="list" allowBlank="1" showInputMessage="1" showErrorMessage="1" sqref="O2">
      <formula1>$E$9:$E$9</formula1>
    </dataValidation>
  </dataValidation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0000FF"/>
  </sheetPr>
  <dimension ref="A1:N13"/>
  <sheetViews>
    <sheetView zoomScale="130" zoomScaleNormal="130" workbookViewId="0">
      <selection activeCell="E3" sqref="E3"/>
    </sheetView>
  </sheetViews>
  <sheetFormatPr defaultRowHeight="15" x14ac:dyDescent="0.25"/>
  <cols>
    <col min="1" max="1" width="7.85546875" customWidth="1"/>
    <col min="2" max="2" width="10.140625" customWidth="1"/>
    <col min="3" max="3" width="7.5703125" customWidth="1"/>
    <col min="4" max="4" width="1.7109375" customWidth="1"/>
    <col min="5" max="5" width="12.7109375" customWidth="1"/>
    <col min="6" max="6" width="17.85546875" customWidth="1"/>
    <col min="7" max="7" width="38.7109375" customWidth="1"/>
    <col min="8" max="8" width="17.42578125" customWidth="1"/>
    <col min="9" max="9" width="20.28515625" bestFit="1" customWidth="1"/>
  </cols>
  <sheetData>
    <row r="1" spans="1:14" x14ac:dyDescent="0.25">
      <c r="A1" s="20" t="str">
        <f>"Calculate  fastest time for each Racer NOT at "&amp;E3&amp;" track."</f>
        <v>Calculate  fastest time for each Racer NOT at  track.</v>
      </c>
      <c r="B1" s="17"/>
      <c r="C1" s="17"/>
      <c r="D1" s="17"/>
      <c r="E1" s="17"/>
      <c r="F1" s="18"/>
      <c r="N1" s="8" t="s">
        <v>96</v>
      </c>
    </row>
    <row r="2" spans="1:14" x14ac:dyDescent="0.25">
      <c r="A2" s="4" t="s">
        <v>96</v>
      </c>
      <c r="B2" s="4" t="s">
        <v>106</v>
      </c>
      <c r="C2" s="4" t="s">
        <v>98</v>
      </c>
      <c r="E2" s="33" t="s">
        <v>96</v>
      </c>
      <c r="F2" t="s">
        <v>104</v>
      </c>
      <c r="N2" s="5" t="s">
        <v>97</v>
      </c>
    </row>
    <row r="3" spans="1:14" x14ac:dyDescent="0.25">
      <c r="A3" s="5" t="s">
        <v>99</v>
      </c>
      <c r="B3" s="5" t="s">
        <v>101</v>
      </c>
      <c r="C3" s="5">
        <v>34.5</v>
      </c>
      <c r="N3" s="5" t="s">
        <v>99</v>
      </c>
    </row>
    <row r="4" spans="1:14" x14ac:dyDescent="0.25">
      <c r="A4" s="5" t="s">
        <v>97</v>
      </c>
      <c r="B4" s="5" t="s">
        <v>102</v>
      </c>
      <c r="C4" s="5">
        <v>44.3</v>
      </c>
      <c r="E4" s="33" t="s">
        <v>106</v>
      </c>
      <c r="F4" t="s">
        <v>105</v>
      </c>
      <c r="N4" s="5" t="s">
        <v>100</v>
      </c>
    </row>
    <row r="5" spans="1:14" x14ac:dyDescent="0.25">
      <c r="A5" s="5" t="s">
        <v>100</v>
      </c>
      <c r="B5" s="5" t="s">
        <v>101</v>
      </c>
      <c r="C5" s="5">
        <v>49</v>
      </c>
      <c r="E5" t="s">
        <v>103</v>
      </c>
      <c r="F5" s="34">
        <v>47.5</v>
      </c>
    </row>
    <row r="6" spans="1:14" x14ac:dyDescent="0.25">
      <c r="A6" s="5" t="s">
        <v>99</v>
      </c>
      <c r="B6" s="5" t="s">
        <v>103</v>
      </c>
      <c r="C6" s="5">
        <v>37.799999999999997</v>
      </c>
      <c r="E6" t="s">
        <v>102</v>
      </c>
      <c r="F6" s="34">
        <v>44.3</v>
      </c>
    </row>
    <row r="7" spans="1:14" x14ac:dyDescent="0.25">
      <c r="A7" s="5" t="s">
        <v>97</v>
      </c>
      <c r="B7" s="5" t="s">
        <v>103</v>
      </c>
      <c r="C7" s="5">
        <v>47.5</v>
      </c>
      <c r="E7" t="s">
        <v>101</v>
      </c>
      <c r="F7" s="34">
        <v>43</v>
      </c>
    </row>
    <row r="8" spans="1:14" x14ac:dyDescent="0.25">
      <c r="A8" s="5" t="s">
        <v>97</v>
      </c>
      <c r="B8" s="5" t="s">
        <v>101</v>
      </c>
      <c r="C8" s="5">
        <v>43</v>
      </c>
    </row>
    <row r="9" spans="1:14" x14ac:dyDescent="0.25">
      <c r="A9" s="5" t="s">
        <v>99</v>
      </c>
      <c r="B9" s="5" t="s">
        <v>102</v>
      </c>
      <c r="C9" s="5">
        <v>35.9</v>
      </c>
    </row>
    <row r="10" spans="1:14" x14ac:dyDescent="0.25">
      <c r="A10" s="5" t="s">
        <v>100</v>
      </c>
      <c r="B10" s="5" t="s">
        <v>101</v>
      </c>
      <c r="C10" s="5">
        <v>51</v>
      </c>
    </row>
    <row r="11" spans="1:14" x14ac:dyDescent="0.25">
      <c r="A11" s="5" t="s">
        <v>100</v>
      </c>
      <c r="B11" s="5" t="s">
        <v>102</v>
      </c>
      <c r="C11" s="5">
        <v>53.4</v>
      </c>
    </row>
    <row r="12" spans="1:14" x14ac:dyDescent="0.25">
      <c r="A12" s="5" t="s">
        <v>100</v>
      </c>
      <c r="B12" s="5" t="s">
        <v>103</v>
      </c>
      <c r="C12" s="5">
        <v>55.6</v>
      </c>
    </row>
    <row r="13" spans="1:14" x14ac:dyDescent="0.25">
      <c r="A13" s="5" t="s">
        <v>99</v>
      </c>
      <c r="B13" s="5" t="s">
        <v>101</v>
      </c>
      <c r="C13" s="5">
        <v>39</v>
      </c>
    </row>
  </sheetData>
  <dataValidations count="1">
    <dataValidation type="list" allowBlank="1" showInputMessage="1" showErrorMessage="1" sqref="O2">
      <formula1>$E$9:$E$9</formula1>
    </dataValidation>
  </dataValidations>
  <pageMargins left="0.7" right="0.7" top="0.75" bottom="0.75" header="0.3" footer="0.3"/>
  <pageSetup orientation="portrait"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rgb="FF0000FF"/>
  </sheetPr>
  <dimension ref="A1:G14"/>
  <sheetViews>
    <sheetView zoomScale="130" zoomScaleNormal="130" workbookViewId="0">
      <selection activeCell="E3" sqref="E3"/>
    </sheetView>
  </sheetViews>
  <sheetFormatPr defaultRowHeight="15" x14ac:dyDescent="0.25"/>
  <cols>
    <col min="1" max="1" width="11" customWidth="1"/>
    <col min="2" max="2" width="13.140625" customWidth="1"/>
    <col min="3" max="3" width="1.28515625" customWidth="1"/>
    <col min="4" max="4" width="10.28515625" customWidth="1"/>
    <col min="7" max="7" width="48.7109375" customWidth="1"/>
  </cols>
  <sheetData>
    <row r="1" spans="1:7" x14ac:dyDescent="0.25">
      <c r="A1" s="20" t="s">
        <v>115</v>
      </c>
      <c r="B1" s="17"/>
      <c r="C1" s="17"/>
      <c r="D1" s="17"/>
      <c r="E1" s="17"/>
      <c r="F1" s="18"/>
    </row>
    <row r="2" spans="1:7" x14ac:dyDescent="0.25">
      <c r="A2" s="4" t="s">
        <v>0</v>
      </c>
      <c r="B2" s="4" t="s">
        <v>112</v>
      </c>
    </row>
    <row r="3" spans="1:7" x14ac:dyDescent="0.25">
      <c r="A3" s="5" t="s">
        <v>4</v>
      </c>
      <c r="B3" s="5">
        <v>175</v>
      </c>
      <c r="E3" s="4" t="s">
        <v>113</v>
      </c>
      <c r="F3" s="4" t="s">
        <v>114</v>
      </c>
      <c r="G3" t="s">
        <v>116</v>
      </c>
    </row>
    <row r="4" spans="1:7" x14ac:dyDescent="0.25">
      <c r="A4" s="5" t="s">
        <v>110</v>
      </c>
      <c r="B4" s="5">
        <v>112</v>
      </c>
      <c r="D4" s="5" t="s">
        <v>4</v>
      </c>
      <c r="E4" s="14">
        <f>AVERAGEIF($A$3:$A$14,D4,$B$3:$B$14)</f>
        <v>155.75</v>
      </c>
      <c r="F4" s="6">
        <f t="array" ref="F4">_xlfn.STDEV.S(IF($A$3:$A$14=D4,$B$3:$B$14))</f>
        <v>42.515683380763541</v>
      </c>
      <c r="G4" t="s">
        <v>1519</v>
      </c>
    </row>
    <row r="5" spans="1:7" x14ac:dyDescent="0.25">
      <c r="A5" s="5" t="s">
        <v>111</v>
      </c>
      <c r="B5" s="5">
        <v>256</v>
      </c>
      <c r="D5" s="5" t="s">
        <v>110</v>
      </c>
      <c r="E5" s="14">
        <f>AVERAGEIF($A$3:$A$14,D5,$B$3:$B$14)</f>
        <v>119.5</v>
      </c>
      <c r="F5" s="6">
        <f t="array" ref="F5">_xlfn.STDEV.S(IF($A$3:$A$14=D5,$B$3:$B$14))</f>
        <v>12.556538801224908</v>
      </c>
      <c r="G5" t="s">
        <v>1520</v>
      </c>
    </row>
    <row r="6" spans="1:7" x14ac:dyDescent="0.25">
      <c r="A6" s="5" t="s">
        <v>4</v>
      </c>
      <c r="B6" s="5">
        <v>201</v>
      </c>
      <c r="D6" s="5" t="s">
        <v>111</v>
      </c>
      <c r="E6" s="14">
        <f>AVERAGEIF($A$3:$A$14,D6,$B$3:$B$14)</f>
        <v>208.5</v>
      </c>
      <c r="F6" s="6">
        <f t="array" ref="F6">_xlfn.STDEV.S(IF($A$3:$A$14=D6,$B$3:$B$14))</f>
        <v>64.490309349544916</v>
      </c>
      <c r="G6" t="s">
        <v>1521</v>
      </c>
    </row>
    <row r="7" spans="1:7" x14ac:dyDescent="0.25">
      <c r="A7" s="5" t="s">
        <v>110</v>
      </c>
      <c r="B7" s="5">
        <v>120</v>
      </c>
    </row>
    <row r="8" spans="1:7" x14ac:dyDescent="0.25">
      <c r="A8" s="5" t="s">
        <v>111</v>
      </c>
      <c r="B8" s="5">
        <v>165</v>
      </c>
      <c r="E8" s="4" t="s">
        <v>113</v>
      </c>
      <c r="F8" s="4" t="s">
        <v>114</v>
      </c>
      <c r="G8" t="s">
        <v>117</v>
      </c>
    </row>
    <row r="9" spans="1:7" x14ac:dyDescent="0.25">
      <c r="A9" s="5" t="s">
        <v>4</v>
      </c>
      <c r="B9" s="5">
        <v>102</v>
      </c>
      <c r="D9" s="5" t="s">
        <v>4</v>
      </c>
      <c r="E9" s="14">
        <f>AVERAGEIF($A$3:$A$14,D9,$B$3:$B$14)</f>
        <v>155.75</v>
      </c>
      <c r="F9" s="6">
        <f t="array" ref="F9">STDEV(IF($A$3:$A$14=D9,$B$3:$B$14))</f>
        <v>42.515683380763541</v>
      </c>
      <c r="G9" t="s">
        <v>1522</v>
      </c>
    </row>
    <row r="10" spans="1:7" x14ac:dyDescent="0.25">
      <c r="A10" s="5" t="s">
        <v>110</v>
      </c>
      <c r="B10" s="5">
        <v>109</v>
      </c>
      <c r="D10" s="5" t="s">
        <v>110</v>
      </c>
      <c r="E10" s="14">
        <f>AVERAGEIF($A$3:$A$14,D10,$B$3:$B$14)</f>
        <v>119.5</v>
      </c>
      <c r="F10" s="6">
        <f t="array" ref="F10">STDEV(IF($A$3:$A$14=D10,$B$3:$B$14))</f>
        <v>12.556538801224908</v>
      </c>
      <c r="G10" t="s">
        <v>1523</v>
      </c>
    </row>
    <row r="11" spans="1:7" x14ac:dyDescent="0.25">
      <c r="A11" s="5" t="s">
        <v>111</v>
      </c>
      <c r="B11" s="5">
        <v>142</v>
      </c>
      <c r="D11" s="5" t="s">
        <v>111</v>
      </c>
      <c r="E11" s="14">
        <f>AVERAGEIF($A$3:$A$14,D11,$B$3:$B$14)</f>
        <v>208.5</v>
      </c>
      <c r="F11" s="6">
        <f t="array" ref="F11">STDEV(IF($A$3:$A$14=D11,$B$3:$B$14))</f>
        <v>64.490309349544916</v>
      </c>
      <c r="G11" t="s">
        <v>1524</v>
      </c>
    </row>
    <row r="12" spans="1:7" x14ac:dyDescent="0.25">
      <c r="A12" s="5" t="s">
        <v>4</v>
      </c>
      <c r="B12" s="5">
        <v>145</v>
      </c>
    </row>
    <row r="13" spans="1:7" x14ac:dyDescent="0.25">
      <c r="A13" s="5" t="s">
        <v>110</v>
      </c>
      <c r="B13" s="5">
        <v>137</v>
      </c>
      <c r="E13" t="e">
        <f>_xlfn.AGGREGATE(7,6,$B$3:$B$14/($A$3:$A$14=D9))</f>
        <v>#VALUE!</v>
      </c>
      <c r="F13" t="s">
        <v>1525</v>
      </c>
    </row>
    <row r="14" spans="1:7" x14ac:dyDescent="0.25">
      <c r="A14" s="5" t="s">
        <v>111</v>
      </c>
      <c r="B14" s="5">
        <v>271</v>
      </c>
      <c r="F14" t="s">
        <v>118</v>
      </c>
    </row>
  </sheetData>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rgb="FF0000FF"/>
  </sheetPr>
  <dimension ref="A1:L16"/>
  <sheetViews>
    <sheetView zoomScale="130" zoomScaleNormal="130" workbookViewId="0">
      <selection activeCell="E3" sqref="E3"/>
    </sheetView>
  </sheetViews>
  <sheetFormatPr defaultRowHeight="15" x14ac:dyDescent="0.25"/>
  <cols>
    <col min="1" max="1" width="12.5703125" customWidth="1"/>
    <col min="2" max="3" width="9.140625" customWidth="1"/>
    <col min="4" max="4" width="8.42578125" customWidth="1"/>
    <col min="5" max="5" width="12.5703125" customWidth="1"/>
    <col min="6" max="7" width="9.140625" customWidth="1"/>
    <col min="10" max="10" width="12.5703125" customWidth="1"/>
    <col min="11" max="12" width="9.140625" customWidth="1"/>
  </cols>
  <sheetData>
    <row r="1" spans="1:12" x14ac:dyDescent="0.25">
      <c r="A1" s="1" t="s">
        <v>131</v>
      </c>
      <c r="B1" s="2"/>
      <c r="C1" s="2"/>
      <c r="D1" s="2"/>
      <c r="E1" s="2"/>
      <c r="F1" s="2"/>
      <c r="G1" s="3"/>
      <c r="J1" t="s">
        <v>138</v>
      </c>
    </row>
    <row r="2" spans="1:12" x14ac:dyDescent="0.25">
      <c r="A2" s="4" t="s">
        <v>133</v>
      </c>
      <c r="B2" s="4" t="s">
        <v>120</v>
      </c>
      <c r="C2" s="4" t="s">
        <v>121</v>
      </c>
      <c r="F2" s="36" t="s">
        <v>121</v>
      </c>
      <c r="G2" s="37"/>
      <c r="K2" s="36" t="s">
        <v>121</v>
      </c>
      <c r="L2" s="37"/>
    </row>
    <row r="3" spans="1:12" x14ac:dyDescent="0.25">
      <c r="A3" s="5" t="s">
        <v>125</v>
      </c>
      <c r="B3" s="5" t="s">
        <v>123</v>
      </c>
      <c r="C3" s="5">
        <v>18</v>
      </c>
      <c r="E3" s="4" t="s">
        <v>133</v>
      </c>
      <c r="F3" s="8" t="s">
        <v>124</v>
      </c>
      <c r="G3" s="8" t="s">
        <v>123</v>
      </c>
      <c r="J3" s="4" t="s">
        <v>133</v>
      </c>
      <c r="K3" s="8" t="s">
        <v>124</v>
      </c>
      <c r="L3" s="8" t="s">
        <v>123</v>
      </c>
    </row>
    <row r="4" spans="1:12" x14ac:dyDescent="0.25">
      <c r="A4" s="5" t="s">
        <v>127</v>
      </c>
      <c r="B4" s="5" t="s">
        <v>124</v>
      </c>
      <c r="C4" s="5">
        <v>36</v>
      </c>
      <c r="E4" s="5" t="s">
        <v>122</v>
      </c>
      <c r="F4" s="6">
        <f t="array" ref="F4">INDEX($C$3:$C$16,MATCH($E4&amp;F$3,$A$3:$A$16&amp;$B$3:$B$16,0))</f>
        <v>30</v>
      </c>
      <c r="G4" s="6">
        <f t="array" ref="G4">INDEX($C$3:$C$16,MATCH($E4&amp;G$3,$A$3:$A$16&amp;$B$3:$B$16,0))</f>
        <v>35</v>
      </c>
      <c r="J4" s="5" t="s">
        <v>122</v>
      </c>
      <c r="K4" s="6">
        <f t="array" ref="K4">INDEX($C$3:$C$16,MATCH($J4&amp;"|"&amp;K$3,$A$3:$A$16&amp;"|"&amp;$B$3:$B$16,0))</f>
        <v>30</v>
      </c>
      <c r="L4" s="6">
        <f t="array" ref="L4">INDEX($C$3:$C$16,MATCH($J4&amp;"|"&amp;L$3,$A$3:$A$16&amp;"|"&amp;$B$3:$B$16,0))</f>
        <v>35</v>
      </c>
    </row>
    <row r="5" spans="1:12" x14ac:dyDescent="0.25">
      <c r="A5" s="38" t="s">
        <v>122</v>
      </c>
      <c r="B5" s="38" t="s">
        <v>124</v>
      </c>
      <c r="C5" s="38">
        <v>30</v>
      </c>
      <c r="E5" s="5" t="s">
        <v>126</v>
      </c>
      <c r="F5" s="6">
        <f t="array" ref="F5">INDEX($C$3:$C$16,MATCH($E5&amp;F$3,$A$3:$A$16&amp;$B$3:$B$16,0))</f>
        <v>30</v>
      </c>
      <c r="G5" s="6">
        <f t="array" ref="G5">INDEX($C$3:$C$16,MATCH($E5&amp;G$3,$A$3:$A$16&amp;$B$3:$B$16,0))</f>
        <v>36</v>
      </c>
      <c r="J5" s="5" t="s">
        <v>126</v>
      </c>
      <c r="K5" s="6">
        <f t="array" ref="K5">INDEX($C$3:$C$16,MATCH($J5&amp;"|"&amp;K$3,$A$3:$A$16&amp;"|"&amp;$B$3:$B$16,0))</f>
        <v>30</v>
      </c>
      <c r="L5" s="6">
        <f t="array" ref="L5">INDEX($C$3:$C$16,MATCH($J5&amp;"|"&amp;L$3,$A$3:$A$16&amp;"|"&amp;$B$3:$B$16,0))</f>
        <v>36</v>
      </c>
    </row>
    <row r="6" spans="1:12" x14ac:dyDescent="0.25">
      <c r="A6" s="39" t="s">
        <v>126</v>
      </c>
      <c r="B6" s="39" t="s">
        <v>123</v>
      </c>
      <c r="C6" s="39">
        <v>36</v>
      </c>
      <c r="E6" s="5" t="s">
        <v>127</v>
      </c>
      <c r="F6" s="6">
        <f t="array" ref="F6">INDEX($C$3:$C$16,MATCH($E6&amp;F$3,$A$3:$A$16&amp;$B$3:$B$16,0))</f>
        <v>36</v>
      </c>
      <c r="G6" s="6">
        <f t="array" ref="G6">INDEX($C$3:$C$16,MATCH($E6&amp;G$3,$A$3:$A$16&amp;$B$3:$B$16,0))</f>
        <v>35</v>
      </c>
      <c r="J6" s="5" t="s">
        <v>127</v>
      </c>
      <c r="K6" s="6">
        <f t="array" ref="K6">INDEX($C$3:$C$16,MATCH($J6&amp;"|"&amp;K$3,$A$3:$A$16&amp;"|"&amp;$B$3:$B$16,0))</f>
        <v>36</v>
      </c>
      <c r="L6" s="6">
        <f t="array" ref="L6">INDEX($C$3:$C$16,MATCH($J6&amp;"|"&amp;L$3,$A$3:$A$16&amp;"|"&amp;$B$3:$B$16,0))</f>
        <v>35</v>
      </c>
    </row>
    <row r="7" spans="1:12" x14ac:dyDescent="0.25">
      <c r="A7" s="5" t="s">
        <v>129</v>
      </c>
      <c r="B7" s="5" t="s">
        <v>124</v>
      </c>
      <c r="C7" s="5">
        <v>18</v>
      </c>
      <c r="E7" s="5" t="s">
        <v>129</v>
      </c>
      <c r="F7" s="6">
        <f t="array" ref="F7">INDEX($C$3:$C$16,MATCH($E7&amp;F$3,$A$3:$A$16&amp;$B$3:$B$16,0))</f>
        <v>18</v>
      </c>
      <c r="G7" s="6">
        <f t="array" ref="G7">INDEX($C$3:$C$16,MATCH($E7&amp;G$3,$A$3:$A$16&amp;$B$3:$B$16,0))</f>
        <v>28</v>
      </c>
      <c r="J7" s="5" t="s">
        <v>129</v>
      </c>
      <c r="K7" s="6">
        <f t="array" ref="K7">INDEX($C$3:$C$16,MATCH($J7&amp;"|"&amp;K$3,$A$3:$A$16&amp;"|"&amp;$B$3:$B$16,0))</f>
        <v>18</v>
      </c>
      <c r="L7" s="6">
        <f t="array" ref="L7">INDEX($C$3:$C$16,MATCH($J7&amp;"|"&amp;L$3,$A$3:$A$16&amp;"|"&amp;$B$3:$B$16,0))</f>
        <v>28</v>
      </c>
    </row>
    <row r="8" spans="1:12" x14ac:dyDescent="0.25">
      <c r="A8" s="5" t="s">
        <v>130</v>
      </c>
      <c r="B8" s="5" t="s">
        <v>124</v>
      </c>
      <c r="C8" s="5">
        <v>20</v>
      </c>
      <c r="E8" s="5" t="s">
        <v>125</v>
      </c>
      <c r="F8" s="6">
        <f t="array" ref="F8">INDEX($C$3:$C$16,MATCH($E8&amp;F$3,$A$3:$A$16&amp;$B$3:$B$16,0))</f>
        <v>24</v>
      </c>
      <c r="G8" s="6">
        <f t="array" ref="G8">INDEX($C$3:$C$16,MATCH($E8&amp;G$3,$A$3:$A$16&amp;$B$3:$B$16,0))</f>
        <v>18</v>
      </c>
      <c r="J8" s="5" t="s">
        <v>125</v>
      </c>
      <c r="K8" s="6">
        <f t="array" ref="K8">INDEX($C$3:$C$16,MATCH($J8&amp;"|"&amp;K$3,$A$3:$A$16&amp;"|"&amp;$B$3:$B$16,0))</f>
        <v>24</v>
      </c>
      <c r="L8" s="6">
        <f t="array" ref="L8">INDEX($C$3:$C$16,MATCH($J8&amp;"|"&amp;L$3,$A$3:$A$16&amp;"|"&amp;$B$3:$B$16,0))</f>
        <v>18</v>
      </c>
    </row>
    <row r="9" spans="1:12" x14ac:dyDescent="0.25">
      <c r="A9" s="5" t="s">
        <v>125</v>
      </c>
      <c r="B9" s="5" t="s">
        <v>124</v>
      </c>
      <c r="C9" s="5">
        <v>24</v>
      </c>
      <c r="E9" s="5" t="s">
        <v>128</v>
      </c>
      <c r="F9" s="6">
        <f t="array" ref="F9">INDEX($C$3:$C$16,MATCH($E9&amp;F$3,$A$3:$A$16&amp;$B$3:$B$16,0))</f>
        <v>30</v>
      </c>
      <c r="G9" s="6">
        <f t="array" ref="G9">INDEX($C$3:$C$16,MATCH($E9&amp;G$3,$A$3:$A$16&amp;$B$3:$B$16,0))</f>
        <v>36</v>
      </c>
      <c r="J9" s="5" t="s">
        <v>128</v>
      </c>
      <c r="K9" s="6">
        <f t="array" ref="K9">INDEX($C$3:$C$16,MATCH($J9&amp;"|"&amp;K$3,$A$3:$A$16&amp;"|"&amp;$B$3:$B$16,0))</f>
        <v>30</v>
      </c>
      <c r="L9" s="6">
        <f t="array" ref="L9">INDEX($C$3:$C$16,MATCH($J9&amp;"|"&amp;L$3,$A$3:$A$16&amp;"|"&amp;$B$3:$B$16,0))</f>
        <v>36</v>
      </c>
    </row>
    <row r="10" spans="1:12" x14ac:dyDescent="0.25">
      <c r="A10" s="5" t="s">
        <v>130</v>
      </c>
      <c r="B10" s="5" t="s">
        <v>123</v>
      </c>
      <c r="C10" s="5">
        <v>24</v>
      </c>
      <c r="E10" s="5" t="s">
        <v>130</v>
      </c>
      <c r="F10" s="6">
        <f t="array" ref="F10">INDEX($C$3:$C$16,MATCH($E10&amp;F$3,$A$3:$A$16&amp;$B$3:$B$16,0))</f>
        <v>20</v>
      </c>
      <c r="G10" s="6">
        <f t="array" ref="G10">INDEX($C$3:$C$16,MATCH($E10&amp;G$3,$A$3:$A$16&amp;$B$3:$B$16,0))</f>
        <v>24</v>
      </c>
      <c r="J10" s="5" t="s">
        <v>130</v>
      </c>
      <c r="K10" s="6">
        <f t="array" ref="K10">INDEX($C$3:$C$16,MATCH($J10&amp;"|"&amp;K$3,$A$3:$A$16&amp;"|"&amp;$B$3:$B$16,0))</f>
        <v>20</v>
      </c>
      <c r="L10" s="6">
        <f t="array" ref="L10">INDEX($C$3:$C$16,MATCH($J10&amp;"|"&amp;L$3,$A$3:$A$16&amp;"|"&amp;$B$3:$B$16,0))</f>
        <v>24</v>
      </c>
    </row>
    <row r="11" spans="1:12" x14ac:dyDescent="0.25">
      <c r="A11" s="5" t="s">
        <v>129</v>
      </c>
      <c r="B11" s="5" t="s">
        <v>123</v>
      </c>
      <c r="C11" s="5">
        <v>28</v>
      </c>
    </row>
    <row r="12" spans="1:12" x14ac:dyDescent="0.25">
      <c r="A12" s="5" t="s">
        <v>128</v>
      </c>
      <c r="B12" s="5" t="s">
        <v>124</v>
      </c>
      <c r="C12" s="5">
        <v>30</v>
      </c>
    </row>
    <row r="13" spans="1:12" x14ac:dyDescent="0.25">
      <c r="A13" s="5" t="s">
        <v>126</v>
      </c>
      <c r="B13" s="5" t="s">
        <v>124</v>
      </c>
      <c r="C13" s="5">
        <v>30</v>
      </c>
    </row>
    <row r="14" spans="1:12" x14ac:dyDescent="0.25">
      <c r="A14" s="5" t="s">
        <v>122</v>
      </c>
      <c r="B14" s="5" t="s">
        <v>123</v>
      </c>
      <c r="C14" s="5">
        <v>35</v>
      </c>
    </row>
    <row r="15" spans="1:12" x14ac:dyDescent="0.25">
      <c r="A15" s="5" t="s">
        <v>127</v>
      </c>
      <c r="B15" s="5" t="s">
        <v>123</v>
      </c>
      <c r="C15" s="5">
        <v>35</v>
      </c>
    </row>
    <row r="16" spans="1:12" x14ac:dyDescent="0.25">
      <c r="A16" s="5" t="s">
        <v>128</v>
      </c>
      <c r="B16" s="5" t="s">
        <v>123</v>
      </c>
      <c r="C16" s="5">
        <v>36</v>
      </c>
    </row>
  </sheetData>
  <sortState ref="A3:C16">
    <sortCondition ref="C3"/>
  </sortState>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0000FF"/>
  </sheetPr>
  <dimension ref="A1:Q16"/>
  <sheetViews>
    <sheetView zoomScale="130" zoomScaleNormal="130" workbookViewId="0">
      <selection activeCell="E3" sqref="E3"/>
    </sheetView>
  </sheetViews>
  <sheetFormatPr defaultRowHeight="15" x14ac:dyDescent="0.25"/>
  <cols>
    <col min="1" max="1" width="12.5703125" customWidth="1"/>
    <col min="2" max="3" width="9.140625" customWidth="1"/>
    <col min="4" max="4" width="6.5703125" customWidth="1"/>
    <col min="5" max="5" width="12.5703125" customWidth="1"/>
    <col min="6" max="6" width="9.140625" customWidth="1"/>
    <col min="7" max="7" width="10.5703125" customWidth="1"/>
    <col min="17" max="17" width="10.7109375" bestFit="1" customWidth="1"/>
  </cols>
  <sheetData>
    <row r="1" spans="1:17" x14ac:dyDescent="0.25">
      <c r="A1" s="1" t="s">
        <v>131</v>
      </c>
      <c r="B1" s="2"/>
      <c r="C1" s="2"/>
      <c r="D1" s="2"/>
      <c r="E1" s="2"/>
      <c r="F1" s="2"/>
      <c r="G1" s="3"/>
      <c r="Q1" s="4" t="s">
        <v>119</v>
      </c>
    </row>
    <row r="2" spans="1:17" x14ac:dyDescent="0.25">
      <c r="A2" s="4" t="s">
        <v>133</v>
      </c>
      <c r="B2" s="4" t="s">
        <v>120</v>
      </c>
      <c r="C2" s="4" t="s">
        <v>121</v>
      </c>
      <c r="F2" s="36" t="s">
        <v>121</v>
      </c>
      <c r="G2" s="37"/>
      <c r="Q2" s="5" t="s">
        <v>122</v>
      </c>
    </row>
    <row r="3" spans="1:17" x14ac:dyDescent="0.25">
      <c r="A3" s="5" t="s">
        <v>125</v>
      </c>
      <c r="B3" s="5" t="s">
        <v>123</v>
      </c>
      <c r="C3" s="5">
        <v>18</v>
      </c>
      <c r="E3" s="8" t="str">
        <f>A2</f>
        <v>Product Code</v>
      </c>
      <c r="F3" s="8" t="str">
        <f>B2</f>
        <v>L/R?</v>
      </c>
      <c r="G3" s="8" t="str">
        <f>C2</f>
        <v>Qty</v>
      </c>
      <c r="Q3" s="5" t="s">
        <v>126</v>
      </c>
    </row>
    <row r="4" spans="1:17" x14ac:dyDescent="0.25">
      <c r="A4" s="5" t="s">
        <v>127</v>
      </c>
      <c r="B4" s="5" t="s">
        <v>124</v>
      </c>
      <c r="C4" s="5">
        <v>36</v>
      </c>
      <c r="E4" s="5" t="s">
        <v>126</v>
      </c>
      <c r="F4" s="5" t="s">
        <v>123</v>
      </c>
      <c r="G4" s="6">
        <f>DGET(A2:C16,G3,E3:F4)</f>
        <v>36</v>
      </c>
      <c r="Q4" s="5" t="s">
        <v>127</v>
      </c>
    </row>
    <row r="5" spans="1:17" x14ac:dyDescent="0.25">
      <c r="A5" s="5" t="s">
        <v>122</v>
      </c>
      <c r="B5" s="5" t="s">
        <v>124</v>
      </c>
      <c r="C5" s="5">
        <v>30</v>
      </c>
      <c r="Q5" s="5" t="s">
        <v>129</v>
      </c>
    </row>
    <row r="6" spans="1:17" x14ac:dyDescent="0.25">
      <c r="A6" s="5" t="s">
        <v>126</v>
      </c>
      <c r="B6" s="5" t="s">
        <v>123</v>
      </c>
      <c r="C6" s="5">
        <v>36</v>
      </c>
      <c r="Q6" s="5" t="s">
        <v>125</v>
      </c>
    </row>
    <row r="7" spans="1:17" x14ac:dyDescent="0.25">
      <c r="A7" s="5" t="s">
        <v>129</v>
      </c>
      <c r="B7" s="5" t="s">
        <v>124</v>
      </c>
      <c r="C7" s="5">
        <v>18</v>
      </c>
      <c r="Q7" s="5" t="s">
        <v>128</v>
      </c>
    </row>
    <row r="8" spans="1:17" x14ac:dyDescent="0.25">
      <c r="A8" s="5" t="s">
        <v>130</v>
      </c>
      <c r="B8" s="5" t="s">
        <v>124</v>
      </c>
      <c r="C8" s="5">
        <v>20</v>
      </c>
      <c r="Q8" s="5" t="s">
        <v>130</v>
      </c>
    </row>
    <row r="9" spans="1:17" x14ac:dyDescent="0.25">
      <c r="A9" s="5" t="s">
        <v>125</v>
      </c>
      <c r="B9" s="5" t="s">
        <v>124</v>
      </c>
      <c r="C9" s="5">
        <v>24</v>
      </c>
    </row>
    <row r="10" spans="1:17" x14ac:dyDescent="0.25">
      <c r="A10" s="5" t="s">
        <v>130</v>
      </c>
      <c r="B10" s="5" t="s">
        <v>123</v>
      </c>
      <c r="C10" s="5">
        <v>24</v>
      </c>
    </row>
    <row r="11" spans="1:17" x14ac:dyDescent="0.25">
      <c r="A11" s="5" t="s">
        <v>129</v>
      </c>
      <c r="B11" s="5" t="s">
        <v>123</v>
      </c>
      <c r="C11" s="5">
        <v>28</v>
      </c>
    </row>
    <row r="12" spans="1:17" x14ac:dyDescent="0.25">
      <c r="A12" s="5" t="s">
        <v>128</v>
      </c>
      <c r="B12" s="5" t="s">
        <v>124</v>
      </c>
      <c r="C12" s="5">
        <v>30</v>
      </c>
    </row>
    <row r="13" spans="1:17" x14ac:dyDescent="0.25">
      <c r="A13" s="5" t="s">
        <v>126</v>
      </c>
      <c r="B13" s="5" t="s">
        <v>124</v>
      </c>
      <c r="C13" s="5">
        <v>30</v>
      </c>
    </row>
    <row r="14" spans="1:17" x14ac:dyDescent="0.25">
      <c r="A14" s="5" t="s">
        <v>122</v>
      </c>
      <c r="B14" s="5" t="s">
        <v>123</v>
      </c>
      <c r="C14" s="5">
        <v>35</v>
      </c>
    </row>
    <row r="15" spans="1:17" x14ac:dyDescent="0.25">
      <c r="A15" s="5" t="s">
        <v>127</v>
      </c>
      <c r="B15" s="5" t="s">
        <v>123</v>
      </c>
      <c r="C15" s="5">
        <v>35</v>
      </c>
    </row>
    <row r="16" spans="1:17" x14ac:dyDescent="0.25">
      <c r="A16" s="5" t="s">
        <v>128</v>
      </c>
      <c r="B16" s="5" t="s">
        <v>123</v>
      </c>
      <c r="C16" s="5">
        <v>36</v>
      </c>
    </row>
  </sheetData>
  <sortState ref="Q2:Q8">
    <sortCondition ref="Q2"/>
  </sortState>
  <dataValidations count="2">
    <dataValidation type="list" allowBlank="1" showInputMessage="1" showErrorMessage="1" sqref="E4">
      <formula1>$Q$2:$Q$8</formula1>
    </dataValidation>
    <dataValidation type="list" allowBlank="1" showInputMessage="1" showErrorMessage="1" sqref="F4">
      <formula1>"L,R"</formula1>
    </dataValidation>
  </dataValidation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rgb="FF0000FF"/>
  </sheetPr>
  <dimension ref="A1:I16"/>
  <sheetViews>
    <sheetView zoomScale="130" zoomScaleNormal="130" workbookViewId="0">
      <selection activeCell="E3" sqref="E3"/>
    </sheetView>
  </sheetViews>
  <sheetFormatPr defaultRowHeight="15" x14ac:dyDescent="0.25"/>
  <cols>
    <col min="1" max="1" width="14.28515625" customWidth="1"/>
    <col min="2" max="2" width="12.5703125" customWidth="1"/>
    <col min="3" max="4" width="6.7109375" customWidth="1"/>
    <col min="5" max="5" width="1.85546875" customWidth="1"/>
    <col min="6" max="6" width="12.42578125" customWidth="1"/>
    <col min="7" max="8" width="6.7109375" customWidth="1"/>
    <col min="9" max="9" width="39.28515625" customWidth="1"/>
  </cols>
  <sheetData>
    <row r="1" spans="1:9" x14ac:dyDescent="0.25">
      <c r="A1" s="1" t="s">
        <v>131</v>
      </c>
      <c r="B1" s="2"/>
      <c r="C1" s="2"/>
      <c r="D1" s="2"/>
      <c r="E1" s="2"/>
      <c r="F1" s="2"/>
      <c r="G1" s="2"/>
      <c r="H1" s="17"/>
      <c r="I1" s="18"/>
    </row>
    <row r="2" spans="1:9" x14ac:dyDescent="0.25">
      <c r="A2" s="4" t="s">
        <v>132</v>
      </c>
      <c r="B2" s="4" t="s">
        <v>133</v>
      </c>
      <c r="C2" s="4" t="s">
        <v>120</v>
      </c>
      <c r="D2" s="4" t="s">
        <v>121</v>
      </c>
      <c r="G2" s="36" t="s">
        <v>121</v>
      </c>
      <c r="H2" s="37"/>
    </row>
    <row r="3" spans="1:9" x14ac:dyDescent="0.25">
      <c r="A3" s="6" t="str">
        <f>B3&amp;"|"&amp;C3</f>
        <v>2A45-2A46|R</v>
      </c>
      <c r="B3" s="5" t="s">
        <v>125</v>
      </c>
      <c r="C3" s="5" t="s">
        <v>123</v>
      </c>
      <c r="D3" s="5">
        <v>18</v>
      </c>
      <c r="F3" s="4" t="s">
        <v>133</v>
      </c>
      <c r="G3" s="8" t="s">
        <v>124</v>
      </c>
      <c r="H3" s="8" t="s">
        <v>123</v>
      </c>
    </row>
    <row r="4" spans="1:9" ht="30" x14ac:dyDescent="0.25">
      <c r="A4" s="6" t="str">
        <f t="shared" ref="A4:A16" si="0">B4&amp;"|"&amp;C4</f>
        <v>2A39-2A40|L</v>
      </c>
      <c r="B4" s="5" t="s">
        <v>127</v>
      </c>
      <c r="C4" s="5" t="s">
        <v>124</v>
      </c>
      <c r="D4" s="5">
        <v>36</v>
      </c>
      <c r="F4" s="5" t="s">
        <v>122</v>
      </c>
      <c r="G4" s="6">
        <f t="shared" ref="G4:H10" si="1">VLOOKUP($F4&amp;"|"&amp;G$3,$A$3:$D$16,4,0)</f>
        <v>30</v>
      </c>
      <c r="H4" s="6">
        <f t="shared" si="1"/>
        <v>35</v>
      </c>
      <c r="I4" s="40" t="s">
        <v>1526</v>
      </c>
    </row>
    <row r="5" spans="1:9" x14ac:dyDescent="0.25">
      <c r="A5" s="6" t="str">
        <f t="shared" si="0"/>
        <v>2A35-2A36|L</v>
      </c>
      <c r="B5" s="5" t="s">
        <v>122</v>
      </c>
      <c r="C5" s="5" t="s">
        <v>124</v>
      </c>
      <c r="D5" s="5">
        <v>30</v>
      </c>
      <c r="F5" s="5" t="s">
        <v>126</v>
      </c>
      <c r="G5" s="6">
        <f t="shared" si="1"/>
        <v>30</v>
      </c>
      <c r="H5" s="6">
        <f t="shared" si="1"/>
        <v>36</v>
      </c>
    </row>
    <row r="6" spans="1:9" x14ac:dyDescent="0.25">
      <c r="A6" s="6" t="str">
        <f t="shared" si="0"/>
        <v>2A38-2A39|R</v>
      </c>
      <c r="B6" s="5" t="s">
        <v>126</v>
      </c>
      <c r="C6" s="5" t="s">
        <v>123</v>
      </c>
      <c r="D6" s="5">
        <v>36</v>
      </c>
      <c r="F6" s="5" t="s">
        <v>127</v>
      </c>
      <c r="G6" s="6">
        <f t="shared" si="1"/>
        <v>36</v>
      </c>
      <c r="H6" s="6">
        <f t="shared" si="1"/>
        <v>35</v>
      </c>
    </row>
    <row r="7" spans="1:9" x14ac:dyDescent="0.25">
      <c r="A7" s="6" t="str">
        <f t="shared" si="0"/>
        <v>2A44-2A45|L</v>
      </c>
      <c r="B7" s="5" t="s">
        <v>129</v>
      </c>
      <c r="C7" s="5" t="s">
        <v>124</v>
      </c>
      <c r="D7" s="5">
        <v>18</v>
      </c>
      <c r="F7" s="5" t="s">
        <v>129</v>
      </c>
      <c r="G7" s="6">
        <f t="shared" si="1"/>
        <v>18</v>
      </c>
      <c r="H7" s="6">
        <f t="shared" si="1"/>
        <v>28</v>
      </c>
    </row>
    <row r="8" spans="1:9" x14ac:dyDescent="0.25">
      <c r="A8" s="6" t="str">
        <f t="shared" si="0"/>
        <v>2A48-2A49|L</v>
      </c>
      <c r="B8" s="5" t="s">
        <v>130</v>
      </c>
      <c r="C8" s="5" t="s">
        <v>124</v>
      </c>
      <c r="D8" s="5">
        <v>20</v>
      </c>
      <c r="F8" s="5" t="s">
        <v>125</v>
      </c>
      <c r="G8" s="6">
        <f t="shared" si="1"/>
        <v>24</v>
      </c>
      <c r="H8" s="6">
        <f t="shared" si="1"/>
        <v>18</v>
      </c>
    </row>
    <row r="9" spans="1:9" x14ac:dyDescent="0.25">
      <c r="A9" s="6" t="str">
        <f t="shared" si="0"/>
        <v>2A45-2A46|L</v>
      </c>
      <c r="B9" s="5" t="s">
        <v>125</v>
      </c>
      <c r="C9" s="5" t="s">
        <v>124</v>
      </c>
      <c r="D9" s="5">
        <v>24</v>
      </c>
      <c r="F9" s="5" t="s">
        <v>128</v>
      </c>
      <c r="G9" s="6">
        <f t="shared" si="1"/>
        <v>30</v>
      </c>
      <c r="H9" s="6">
        <f t="shared" si="1"/>
        <v>36</v>
      </c>
    </row>
    <row r="10" spans="1:9" x14ac:dyDescent="0.25">
      <c r="A10" s="6" t="str">
        <f t="shared" si="0"/>
        <v>2A48-2A49|R</v>
      </c>
      <c r="B10" s="5" t="s">
        <v>130</v>
      </c>
      <c r="C10" s="5" t="s">
        <v>123</v>
      </c>
      <c r="D10" s="5">
        <v>24</v>
      </c>
      <c r="F10" s="5" t="s">
        <v>130</v>
      </c>
      <c r="G10" s="6">
        <f t="shared" si="1"/>
        <v>20</v>
      </c>
      <c r="H10" s="6">
        <f t="shared" si="1"/>
        <v>24</v>
      </c>
    </row>
    <row r="11" spans="1:9" x14ac:dyDescent="0.25">
      <c r="A11" s="6" t="str">
        <f t="shared" si="0"/>
        <v>2A44-2A45|R</v>
      </c>
      <c r="B11" s="5" t="s">
        <v>129</v>
      </c>
      <c r="C11" s="5" t="s">
        <v>123</v>
      </c>
      <c r="D11" s="5">
        <v>28</v>
      </c>
    </row>
    <row r="12" spans="1:9" x14ac:dyDescent="0.25">
      <c r="A12" s="6" t="str">
        <f t="shared" si="0"/>
        <v>2A46-2A47|L</v>
      </c>
      <c r="B12" s="5" t="s">
        <v>128</v>
      </c>
      <c r="C12" s="5" t="s">
        <v>124</v>
      </c>
      <c r="D12" s="5">
        <v>30</v>
      </c>
    </row>
    <row r="13" spans="1:9" x14ac:dyDescent="0.25">
      <c r="A13" s="6" t="str">
        <f t="shared" si="0"/>
        <v>2A38-2A39|L</v>
      </c>
      <c r="B13" s="5" t="s">
        <v>126</v>
      </c>
      <c r="C13" s="5" t="s">
        <v>124</v>
      </c>
      <c r="D13" s="5">
        <v>30</v>
      </c>
    </row>
    <row r="14" spans="1:9" x14ac:dyDescent="0.25">
      <c r="A14" s="6" t="str">
        <f t="shared" si="0"/>
        <v>2A35-2A36|R</v>
      </c>
      <c r="B14" s="5" t="s">
        <v>122</v>
      </c>
      <c r="C14" s="5" t="s">
        <v>123</v>
      </c>
      <c r="D14" s="5">
        <v>35</v>
      </c>
    </row>
    <row r="15" spans="1:9" x14ac:dyDescent="0.25">
      <c r="A15" s="6" t="str">
        <f t="shared" si="0"/>
        <v>2A39-2A40|R</v>
      </c>
      <c r="B15" s="5" t="s">
        <v>127</v>
      </c>
      <c r="C15" s="5" t="s">
        <v>123</v>
      </c>
      <c r="D15" s="5">
        <v>35</v>
      </c>
    </row>
    <row r="16" spans="1:9" x14ac:dyDescent="0.25">
      <c r="A16" s="6" t="str">
        <f t="shared" si="0"/>
        <v>2A46-2A47|R</v>
      </c>
      <c r="B16" s="5" t="s">
        <v>128</v>
      </c>
      <c r="C16" s="5" t="s">
        <v>123</v>
      </c>
      <c r="D16" s="5">
        <v>36</v>
      </c>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0000FF"/>
  </sheetPr>
  <dimension ref="A1:I16"/>
  <sheetViews>
    <sheetView zoomScale="130" zoomScaleNormal="130" workbookViewId="0">
      <selection activeCell="E3" sqref="E3"/>
    </sheetView>
  </sheetViews>
  <sheetFormatPr defaultRowHeight="15" x14ac:dyDescent="0.25"/>
  <cols>
    <col min="1" max="1" width="12.5703125" customWidth="1"/>
    <col min="2" max="2" width="5.5703125" customWidth="1"/>
    <col min="3" max="3" width="5.42578125" customWidth="1"/>
    <col min="4" max="4" width="3.42578125" customWidth="1"/>
    <col min="5" max="5" width="15.140625" customWidth="1"/>
    <col min="6" max="6" width="7.140625" customWidth="1"/>
    <col min="7" max="7" width="3.28515625" customWidth="1"/>
    <col min="8" max="8" width="11.28515625" bestFit="1" customWidth="1"/>
  </cols>
  <sheetData>
    <row r="1" spans="1:9" x14ac:dyDescent="0.25">
      <c r="A1" s="1" t="s">
        <v>131</v>
      </c>
      <c r="B1" s="2"/>
      <c r="C1" s="2"/>
      <c r="D1" s="2"/>
      <c r="E1" s="2"/>
      <c r="F1" s="2"/>
      <c r="G1" s="2"/>
      <c r="H1" s="17"/>
      <c r="I1" s="18"/>
    </row>
    <row r="2" spans="1:9" x14ac:dyDescent="0.25">
      <c r="A2" s="4" t="s">
        <v>133</v>
      </c>
      <c r="B2" s="4" t="s">
        <v>120</v>
      </c>
      <c r="C2" s="4" t="s">
        <v>121</v>
      </c>
    </row>
    <row r="3" spans="1:9" x14ac:dyDescent="0.25">
      <c r="A3" s="5" t="s">
        <v>125</v>
      </c>
      <c r="B3" s="5" t="s">
        <v>123</v>
      </c>
      <c r="C3" s="5">
        <v>18</v>
      </c>
      <c r="E3" s="33" t="s">
        <v>134</v>
      </c>
      <c r="F3" s="33" t="s">
        <v>120</v>
      </c>
    </row>
    <row r="4" spans="1:9" x14ac:dyDescent="0.25">
      <c r="A4" s="5" t="s">
        <v>127</v>
      </c>
      <c r="B4" s="5" t="s">
        <v>124</v>
      </c>
      <c r="C4" s="5">
        <v>36</v>
      </c>
      <c r="E4" s="33" t="s">
        <v>133</v>
      </c>
      <c r="F4" t="s">
        <v>124</v>
      </c>
      <c r="G4" t="s">
        <v>123</v>
      </c>
    </row>
    <row r="5" spans="1:9" x14ac:dyDescent="0.25">
      <c r="A5" s="38" t="s">
        <v>126</v>
      </c>
      <c r="B5" s="38" t="s">
        <v>123</v>
      </c>
      <c r="C5" s="38">
        <v>36</v>
      </c>
      <c r="E5" t="s">
        <v>122</v>
      </c>
      <c r="F5" s="34">
        <v>30</v>
      </c>
      <c r="G5" s="34">
        <v>35</v>
      </c>
    </row>
    <row r="6" spans="1:9" x14ac:dyDescent="0.25">
      <c r="A6" s="5" t="s">
        <v>129</v>
      </c>
      <c r="B6" s="5" t="s">
        <v>124</v>
      </c>
      <c r="C6" s="5">
        <v>18</v>
      </c>
      <c r="E6" t="s">
        <v>126</v>
      </c>
      <c r="F6" s="34">
        <v>30</v>
      </c>
      <c r="G6" s="34">
        <v>36</v>
      </c>
    </row>
    <row r="7" spans="1:9" x14ac:dyDescent="0.25">
      <c r="A7" s="5" t="s">
        <v>130</v>
      </c>
      <c r="B7" s="5" t="s">
        <v>124</v>
      </c>
      <c r="C7" s="5">
        <v>20</v>
      </c>
      <c r="E7" t="s">
        <v>127</v>
      </c>
      <c r="F7" s="34">
        <v>36</v>
      </c>
      <c r="G7" s="34">
        <v>35</v>
      </c>
    </row>
    <row r="8" spans="1:9" x14ac:dyDescent="0.25">
      <c r="A8" s="5" t="s">
        <v>125</v>
      </c>
      <c r="B8" s="5" t="s">
        <v>124</v>
      </c>
      <c r="C8" s="5">
        <v>24</v>
      </c>
      <c r="E8" t="s">
        <v>129</v>
      </c>
      <c r="F8" s="34">
        <v>18</v>
      </c>
      <c r="G8" s="34">
        <v>28</v>
      </c>
    </row>
    <row r="9" spans="1:9" x14ac:dyDescent="0.25">
      <c r="A9" s="5" t="s">
        <v>130</v>
      </c>
      <c r="B9" s="5" t="s">
        <v>123</v>
      </c>
      <c r="C9" s="5">
        <v>24</v>
      </c>
      <c r="E9" t="s">
        <v>125</v>
      </c>
      <c r="F9" s="34">
        <v>24</v>
      </c>
      <c r="G9" s="34">
        <v>18</v>
      </c>
    </row>
    <row r="10" spans="1:9" x14ac:dyDescent="0.25">
      <c r="A10" s="5" t="s">
        <v>129</v>
      </c>
      <c r="B10" s="5" t="s">
        <v>123</v>
      </c>
      <c r="C10" s="5">
        <v>28</v>
      </c>
      <c r="E10" t="s">
        <v>128</v>
      </c>
      <c r="F10" s="34">
        <v>30</v>
      </c>
      <c r="G10" s="34">
        <v>36</v>
      </c>
    </row>
    <row r="11" spans="1:9" x14ac:dyDescent="0.25">
      <c r="A11" s="5" t="s">
        <v>122</v>
      </c>
      <c r="B11" s="5" t="s">
        <v>124</v>
      </c>
      <c r="C11" s="5">
        <v>30</v>
      </c>
      <c r="E11" t="s">
        <v>130</v>
      </c>
      <c r="F11" s="34">
        <v>20</v>
      </c>
      <c r="G11" s="34">
        <v>24</v>
      </c>
    </row>
    <row r="12" spans="1:9" x14ac:dyDescent="0.25">
      <c r="A12" s="5" t="s">
        <v>128</v>
      </c>
      <c r="B12" s="5" t="s">
        <v>124</v>
      </c>
      <c r="C12" s="5">
        <v>30</v>
      </c>
    </row>
    <row r="13" spans="1:9" x14ac:dyDescent="0.25">
      <c r="A13" s="5" t="s">
        <v>126</v>
      </c>
      <c r="B13" s="5" t="s">
        <v>124</v>
      </c>
      <c r="C13" s="5">
        <v>30</v>
      </c>
    </row>
    <row r="14" spans="1:9" x14ac:dyDescent="0.25">
      <c r="A14" s="5" t="s">
        <v>122</v>
      </c>
      <c r="B14" s="5" t="s">
        <v>123</v>
      </c>
      <c r="C14" s="5">
        <v>35</v>
      </c>
    </row>
    <row r="15" spans="1:9" x14ac:dyDescent="0.25">
      <c r="A15" s="5" t="s">
        <v>127</v>
      </c>
      <c r="B15" s="5" t="s">
        <v>123</v>
      </c>
      <c r="C15" s="5">
        <v>35</v>
      </c>
    </row>
    <row r="16" spans="1:9" x14ac:dyDescent="0.25">
      <c r="A16" s="5" t="s">
        <v>128</v>
      </c>
      <c r="B16" s="5" t="s">
        <v>123</v>
      </c>
      <c r="C16" s="5">
        <v>36</v>
      </c>
    </row>
  </sheetData>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tabColor rgb="FF0000FF"/>
  </sheetPr>
  <dimension ref="A1:G16"/>
  <sheetViews>
    <sheetView zoomScale="130" zoomScaleNormal="130" workbookViewId="0">
      <selection activeCell="E3" sqref="E3"/>
    </sheetView>
  </sheetViews>
  <sheetFormatPr defaultRowHeight="15" x14ac:dyDescent="0.25"/>
  <cols>
    <col min="1" max="1" width="12.5703125" customWidth="1"/>
    <col min="2" max="3" width="9.140625" customWidth="1"/>
    <col min="4" max="4" width="8.42578125" customWidth="1"/>
    <col min="5" max="5" width="12.5703125" customWidth="1"/>
    <col min="6" max="7" width="9.140625" customWidth="1"/>
  </cols>
  <sheetData>
    <row r="1" spans="1:7" x14ac:dyDescent="0.25">
      <c r="A1" s="1" t="s">
        <v>131</v>
      </c>
      <c r="B1" s="2"/>
      <c r="C1" s="2"/>
      <c r="D1" s="2"/>
      <c r="E1" s="2"/>
      <c r="F1" s="2"/>
      <c r="G1" s="3"/>
    </row>
    <row r="2" spans="1:7" x14ac:dyDescent="0.25">
      <c r="A2" s="4" t="s">
        <v>133</v>
      </c>
      <c r="B2" s="4" t="s">
        <v>120</v>
      </c>
      <c r="C2" s="4" t="s">
        <v>121</v>
      </c>
      <c r="F2" s="36" t="s">
        <v>121</v>
      </c>
      <c r="G2" s="37"/>
    </row>
    <row r="3" spans="1:7" x14ac:dyDescent="0.25">
      <c r="A3" s="38" t="s">
        <v>122</v>
      </c>
      <c r="B3" s="38" t="s">
        <v>124</v>
      </c>
      <c r="C3" s="38">
        <v>30</v>
      </c>
      <c r="E3" s="4" t="s">
        <v>133</v>
      </c>
      <c r="F3" s="8" t="s">
        <v>124</v>
      </c>
      <c r="G3" s="8" t="s">
        <v>123</v>
      </c>
    </row>
    <row r="4" spans="1:7" x14ac:dyDescent="0.25">
      <c r="A4" s="5" t="s">
        <v>122</v>
      </c>
      <c r="B4" s="5" t="s">
        <v>123</v>
      </c>
      <c r="C4" s="5">
        <v>35</v>
      </c>
      <c r="E4" s="5" t="s">
        <v>122</v>
      </c>
      <c r="F4" s="6">
        <f t="array" ref="F4">INDEX($C$3:$C$16,MATCH($E4&amp;F$3,$A$3:$A$16&amp;$B$3:$B$16))</f>
        <v>30</v>
      </c>
      <c r="G4" s="6">
        <f t="array" ref="G4">INDEX($C$3:$C$16,MATCH($E4&amp;G$3,$A$3:$A$16&amp;$B$3:$B$16))</f>
        <v>35</v>
      </c>
    </row>
    <row r="5" spans="1:7" x14ac:dyDescent="0.25">
      <c r="A5" s="5" t="s">
        <v>126</v>
      </c>
      <c r="B5" s="5" t="s">
        <v>124</v>
      </c>
      <c r="C5" s="5">
        <v>30</v>
      </c>
      <c r="E5" s="5" t="s">
        <v>126</v>
      </c>
      <c r="F5" s="6">
        <f t="array" ref="F5">INDEX($C$3:$C$16,MATCH($E5&amp;F$3,$A$3:$A$16&amp;$B$3:$B$16))</f>
        <v>30</v>
      </c>
      <c r="G5" s="6">
        <f t="array" ref="G5">INDEX($C$3:$C$16,MATCH($E5&amp;G$3,$A$3:$A$16&amp;$B$3:$B$16))</f>
        <v>36</v>
      </c>
    </row>
    <row r="6" spans="1:7" x14ac:dyDescent="0.25">
      <c r="A6" s="39" t="s">
        <v>126</v>
      </c>
      <c r="B6" s="39" t="s">
        <v>123</v>
      </c>
      <c r="C6" s="39">
        <v>36</v>
      </c>
      <c r="E6" s="5" t="s">
        <v>127</v>
      </c>
      <c r="F6" s="6">
        <f t="array" ref="F6">INDEX($C$3:$C$16,MATCH($E6&amp;F$3,$A$3:$A$16&amp;$B$3:$B$16))</f>
        <v>36</v>
      </c>
      <c r="G6" s="6">
        <f t="array" ref="G6">INDEX($C$3:$C$16,MATCH($E6&amp;G$3,$A$3:$A$16&amp;$B$3:$B$16))</f>
        <v>35</v>
      </c>
    </row>
    <row r="7" spans="1:7" x14ac:dyDescent="0.25">
      <c r="A7" s="5" t="s">
        <v>127</v>
      </c>
      <c r="B7" s="5" t="s">
        <v>124</v>
      </c>
      <c r="C7" s="5">
        <v>36</v>
      </c>
      <c r="E7" s="5" t="s">
        <v>129</v>
      </c>
      <c r="F7" s="6">
        <f t="array" ref="F7">INDEX($C$3:$C$16,MATCH($E7&amp;F$3,$A$3:$A$16&amp;$B$3:$B$16))</f>
        <v>18</v>
      </c>
      <c r="G7" s="6">
        <f t="array" ref="G7">INDEX($C$3:$C$16,MATCH($E7&amp;G$3,$A$3:$A$16&amp;$B$3:$B$16))</f>
        <v>28</v>
      </c>
    </row>
    <row r="8" spans="1:7" x14ac:dyDescent="0.25">
      <c r="A8" s="5" t="s">
        <v>127</v>
      </c>
      <c r="B8" s="5" t="s">
        <v>123</v>
      </c>
      <c r="C8" s="5">
        <v>35</v>
      </c>
      <c r="E8" s="5" t="s">
        <v>125</v>
      </c>
      <c r="F8" s="6">
        <f t="array" ref="F8">INDEX($C$3:$C$16,MATCH($E8&amp;F$3,$A$3:$A$16&amp;$B$3:$B$16))</f>
        <v>24</v>
      </c>
      <c r="G8" s="6">
        <f t="array" ref="G8">INDEX($C$3:$C$16,MATCH($E8&amp;G$3,$A$3:$A$16&amp;$B$3:$B$16))</f>
        <v>18</v>
      </c>
    </row>
    <row r="9" spans="1:7" x14ac:dyDescent="0.25">
      <c r="A9" s="5" t="s">
        <v>129</v>
      </c>
      <c r="B9" s="5" t="s">
        <v>124</v>
      </c>
      <c r="C9" s="5">
        <v>18</v>
      </c>
      <c r="E9" s="5" t="s">
        <v>128</v>
      </c>
      <c r="F9" s="6">
        <f t="array" ref="F9">INDEX($C$3:$C$16,MATCH($E9&amp;F$3,$A$3:$A$16&amp;$B$3:$B$16))</f>
        <v>30</v>
      </c>
      <c r="G9" s="6">
        <f t="array" ref="G9">INDEX($C$3:$C$16,MATCH($E9&amp;G$3,$A$3:$A$16&amp;$B$3:$B$16))</f>
        <v>36</v>
      </c>
    </row>
    <row r="10" spans="1:7" x14ac:dyDescent="0.25">
      <c r="A10" s="5" t="s">
        <v>129</v>
      </c>
      <c r="B10" s="5" t="s">
        <v>123</v>
      </c>
      <c r="C10" s="5">
        <v>28</v>
      </c>
      <c r="E10" s="5" t="s">
        <v>130</v>
      </c>
      <c r="F10" s="6">
        <f t="array" ref="F10">INDEX($C$3:$C$16,MATCH($E10&amp;F$3,$A$3:$A$16&amp;$B$3:$B$16))</f>
        <v>20</v>
      </c>
      <c r="G10" s="6">
        <f t="array" ref="G10">INDEX($C$3:$C$16,MATCH($E10&amp;G$3,$A$3:$A$16&amp;$B$3:$B$16))</f>
        <v>24</v>
      </c>
    </row>
    <row r="11" spans="1:7" x14ac:dyDescent="0.25">
      <c r="A11" s="5" t="s">
        <v>125</v>
      </c>
      <c r="B11" s="5" t="s">
        <v>124</v>
      </c>
      <c r="C11" s="5">
        <v>24</v>
      </c>
    </row>
    <row r="12" spans="1:7" x14ac:dyDescent="0.25">
      <c r="A12" s="5" t="s">
        <v>125</v>
      </c>
      <c r="B12" s="5" t="s">
        <v>123</v>
      </c>
      <c r="C12" s="5">
        <v>18</v>
      </c>
    </row>
    <row r="13" spans="1:7" ht="17.25" x14ac:dyDescent="0.3">
      <c r="A13" s="5" t="s">
        <v>128</v>
      </c>
      <c r="B13" s="5" t="s">
        <v>124</v>
      </c>
      <c r="C13" s="5">
        <v>30</v>
      </c>
      <c r="E13" s="41" t="s">
        <v>135</v>
      </c>
    </row>
    <row r="14" spans="1:7" ht="17.25" x14ac:dyDescent="0.3">
      <c r="A14" s="5" t="s">
        <v>128</v>
      </c>
      <c r="B14" s="5" t="s">
        <v>123</v>
      </c>
      <c r="C14" s="5">
        <v>36</v>
      </c>
      <c r="E14" s="41" t="s">
        <v>136</v>
      </c>
    </row>
    <row r="15" spans="1:7" ht="17.25" x14ac:dyDescent="0.3">
      <c r="A15" s="5" t="s">
        <v>130</v>
      </c>
      <c r="B15" s="5" t="s">
        <v>124</v>
      </c>
      <c r="C15" s="5">
        <v>20</v>
      </c>
      <c r="E15" s="41" t="s">
        <v>137</v>
      </c>
    </row>
    <row r="16" spans="1:7" x14ac:dyDescent="0.25">
      <c r="A16" s="5" t="s">
        <v>130</v>
      </c>
      <c r="B16" s="5" t="s">
        <v>123</v>
      </c>
      <c r="C16" s="5">
        <v>24</v>
      </c>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rgb="FF0000FF"/>
  </sheetPr>
  <dimension ref="A1:G16"/>
  <sheetViews>
    <sheetView zoomScale="130" zoomScaleNormal="130" workbookViewId="0">
      <selection activeCell="E3" sqref="E3"/>
    </sheetView>
  </sheetViews>
  <sheetFormatPr defaultRowHeight="15" x14ac:dyDescent="0.25"/>
  <cols>
    <col min="1" max="1" width="12.5703125" customWidth="1"/>
    <col min="2" max="3" width="9.140625" customWidth="1"/>
    <col min="4" max="4" width="8.42578125" customWidth="1"/>
    <col min="5" max="5" width="12.5703125" customWidth="1"/>
    <col min="6" max="7" width="9.140625" customWidth="1"/>
  </cols>
  <sheetData>
    <row r="1" spans="1:7" x14ac:dyDescent="0.25">
      <c r="A1" s="1" t="s">
        <v>131</v>
      </c>
      <c r="B1" s="2"/>
      <c r="C1" s="2"/>
      <c r="D1" s="2"/>
      <c r="E1" s="2"/>
      <c r="F1" s="2"/>
      <c r="G1" s="3"/>
    </row>
    <row r="2" spans="1:7" x14ac:dyDescent="0.25">
      <c r="A2" s="4" t="s">
        <v>133</v>
      </c>
      <c r="B2" s="4" t="s">
        <v>120</v>
      </c>
      <c r="C2" s="4" t="s">
        <v>121</v>
      </c>
      <c r="F2" s="36" t="s">
        <v>121</v>
      </c>
      <c r="G2" s="37"/>
    </row>
    <row r="3" spans="1:7" x14ac:dyDescent="0.25">
      <c r="A3" s="38" t="s">
        <v>122</v>
      </c>
      <c r="B3" s="38" t="s">
        <v>124</v>
      </c>
      <c r="C3" s="38">
        <v>30</v>
      </c>
      <c r="E3" s="4" t="s">
        <v>133</v>
      </c>
      <c r="F3" s="8" t="s">
        <v>124</v>
      </c>
      <c r="G3" s="8" t="s">
        <v>123</v>
      </c>
    </row>
    <row r="4" spans="1:7" x14ac:dyDescent="0.25">
      <c r="A4" s="5" t="s">
        <v>122</v>
      </c>
      <c r="B4" s="5" t="s">
        <v>123</v>
      </c>
      <c r="C4" s="5">
        <v>35</v>
      </c>
      <c r="E4" s="5" t="s">
        <v>122</v>
      </c>
      <c r="F4" s="6">
        <f>LOOKUP($E4&amp;F$3,$A$3:$A$16&amp;$B$3:$B$16,$C$3:$C$16)</f>
        <v>30</v>
      </c>
      <c r="G4" s="6">
        <f t="shared" ref="F4:G10" si="0">LOOKUP($E4&amp;G$3,$A$3:$A$16&amp;$B$3:$B$16,$C$3:$C$16)</f>
        <v>35</v>
      </c>
    </row>
    <row r="5" spans="1:7" x14ac:dyDescent="0.25">
      <c r="A5" s="5" t="s">
        <v>126</v>
      </c>
      <c r="B5" s="5" t="s">
        <v>124</v>
      </c>
      <c r="C5" s="5">
        <v>30</v>
      </c>
      <c r="E5" s="5" t="s">
        <v>126</v>
      </c>
      <c r="F5" s="6">
        <f t="shared" si="0"/>
        <v>30</v>
      </c>
      <c r="G5" s="6">
        <f t="shared" si="0"/>
        <v>36</v>
      </c>
    </row>
    <row r="6" spans="1:7" x14ac:dyDescent="0.25">
      <c r="A6" s="39" t="s">
        <v>126</v>
      </c>
      <c r="B6" s="39" t="s">
        <v>123</v>
      </c>
      <c r="C6" s="39">
        <v>36</v>
      </c>
      <c r="E6" s="5" t="s">
        <v>127</v>
      </c>
      <c r="F6" s="6">
        <f t="shared" si="0"/>
        <v>36</v>
      </c>
      <c r="G6" s="6">
        <f t="shared" si="0"/>
        <v>35</v>
      </c>
    </row>
    <row r="7" spans="1:7" x14ac:dyDescent="0.25">
      <c r="A7" s="5" t="s">
        <v>127</v>
      </c>
      <c r="B7" s="5" t="s">
        <v>124</v>
      </c>
      <c r="C7" s="5">
        <v>36</v>
      </c>
      <c r="E7" s="5" t="s">
        <v>129</v>
      </c>
      <c r="F7" s="6">
        <f t="shared" si="0"/>
        <v>18</v>
      </c>
      <c r="G7" s="6">
        <f t="shared" si="0"/>
        <v>28</v>
      </c>
    </row>
    <row r="8" spans="1:7" x14ac:dyDescent="0.25">
      <c r="A8" s="5" t="s">
        <v>127</v>
      </c>
      <c r="B8" s="5" t="s">
        <v>123</v>
      </c>
      <c r="C8" s="5">
        <v>35</v>
      </c>
      <c r="E8" s="5" t="s">
        <v>125</v>
      </c>
      <c r="F8" s="6">
        <f t="shared" si="0"/>
        <v>24</v>
      </c>
      <c r="G8" s="6">
        <f t="shared" si="0"/>
        <v>18</v>
      </c>
    </row>
    <row r="9" spans="1:7" x14ac:dyDescent="0.25">
      <c r="A9" s="5" t="s">
        <v>129</v>
      </c>
      <c r="B9" s="5" t="s">
        <v>124</v>
      </c>
      <c r="C9" s="5">
        <v>18</v>
      </c>
      <c r="E9" s="5" t="s">
        <v>128</v>
      </c>
      <c r="F9" s="6">
        <f t="shared" si="0"/>
        <v>30</v>
      </c>
      <c r="G9" s="6">
        <f t="shared" si="0"/>
        <v>36</v>
      </c>
    </row>
    <row r="10" spans="1:7" x14ac:dyDescent="0.25">
      <c r="A10" s="5" t="s">
        <v>129</v>
      </c>
      <c r="B10" s="5" t="s">
        <v>123</v>
      </c>
      <c r="C10" s="5">
        <v>28</v>
      </c>
      <c r="E10" s="5" t="s">
        <v>130</v>
      </c>
      <c r="F10" s="6">
        <f t="shared" si="0"/>
        <v>20</v>
      </c>
      <c r="G10" s="6">
        <f t="shared" si="0"/>
        <v>24</v>
      </c>
    </row>
    <row r="11" spans="1:7" x14ac:dyDescent="0.25">
      <c r="A11" s="5" t="s">
        <v>125</v>
      </c>
      <c r="B11" s="5" t="s">
        <v>124</v>
      </c>
      <c r="C11" s="5">
        <v>24</v>
      </c>
    </row>
    <row r="12" spans="1:7" x14ac:dyDescent="0.25">
      <c r="A12" s="5" t="s">
        <v>125</v>
      </c>
      <c r="B12" s="5" t="s">
        <v>123</v>
      </c>
      <c r="C12" s="5">
        <v>18</v>
      </c>
    </row>
    <row r="13" spans="1:7" x14ac:dyDescent="0.25">
      <c r="A13" s="5" t="s">
        <v>128</v>
      </c>
      <c r="B13" s="5" t="s">
        <v>124</v>
      </c>
      <c r="C13" s="5">
        <v>30</v>
      </c>
    </row>
    <row r="14" spans="1:7" x14ac:dyDescent="0.25">
      <c r="A14" s="5" t="s">
        <v>128</v>
      </c>
      <c r="B14" s="5" t="s">
        <v>123</v>
      </c>
      <c r="C14" s="5">
        <v>36</v>
      </c>
    </row>
    <row r="15" spans="1:7" x14ac:dyDescent="0.25">
      <c r="A15" s="5" t="s">
        <v>130</v>
      </c>
      <c r="B15" s="5" t="s">
        <v>124</v>
      </c>
      <c r="C15" s="5">
        <v>20</v>
      </c>
    </row>
    <row r="16" spans="1:7" x14ac:dyDescent="0.25">
      <c r="A16" s="5" t="s">
        <v>130</v>
      </c>
      <c r="B16" s="5" t="s">
        <v>123</v>
      </c>
      <c r="C16" s="5">
        <v>24</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0000FF"/>
  </sheetPr>
  <dimension ref="A1:I16"/>
  <sheetViews>
    <sheetView zoomScale="130" zoomScaleNormal="130" workbookViewId="0">
      <selection activeCell="E3" sqref="E3"/>
    </sheetView>
  </sheetViews>
  <sheetFormatPr defaultRowHeight="15" x14ac:dyDescent="0.25"/>
  <cols>
    <col min="1" max="1" width="13.28515625" customWidth="1"/>
    <col min="2" max="2" width="12.5703125" customWidth="1"/>
    <col min="3" max="3" width="4.7109375" customWidth="1"/>
    <col min="4" max="4" width="4" customWidth="1"/>
    <col min="5" max="5" width="1.85546875" customWidth="1"/>
    <col min="6" max="6" width="12.42578125" customWidth="1"/>
    <col min="7" max="8" width="5" customWidth="1"/>
    <col min="9" max="9" width="39.28515625" customWidth="1"/>
  </cols>
  <sheetData>
    <row r="1" spans="1:9" x14ac:dyDescent="0.25">
      <c r="A1" s="1" t="s">
        <v>131</v>
      </c>
      <c r="B1" s="2"/>
      <c r="C1" s="2"/>
      <c r="D1" s="2"/>
      <c r="E1" s="2"/>
      <c r="F1" s="2"/>
      <c r="G1" s="2"/>
      <c r="H1" s="17"/>
      <c r="I1" s="18"/>
    </row>
    <row r="2" spans="1:9" x14ac:dyDescent="0.25">
      <c r="A2" s="4" t="s">
        <v>132</v>
      </c>
      <c r="B2" s="4" t="s">
        <v>133</v>
      </c>
      <c r="C2" s="4" t="s">
        <v>120</v>
      </c>
      <c r="D2" s="4" t="s">
        <v>121</v>
      </c>
      <c r="G2" s="36" t="s">
        <v>121</v>
      </c>
      <c r="H2" s="37"/>
    </row>
    <row r="3" spans="1:9" x14ac:dyDescent="0.25">
      <c r="A3" s="6" t="str">
        <f t="shared" ref="A3:A16" si="0">B3&amp;"|"&amp;C3</f>
        <v>2A35-2A36|L</v>
      </c>
      <c r="B3" s="5" t="s">
        <v>122</v>
      </c>
      <c r="C3" s="5" t="s">
        <v>124</v>
      </c>
      <c r="D3" s="5">
        <v>30</v>
      </c>
      <c r="F3" s="4" t="s">
        <v>133</v>
      </c>
      <c r="G3" s="8" t="s">
        <v>124</v>
      </c>
      <c r="H3" s="8" t="s">
        <v>123</v>
      </c>
    </row>
    <row r="4" spans="1:9" ht="30" x14ac:dyDescent="0.25">
      <c r="A4" s="6" t="str">
        <f t="shared" si="0"/>
        <v>2A35-2A36|R</v>
      </c>
      <c r="B4" s="5" t="s">
        <v>122</v>
      </c>
      <c r="C4" s="5" t="s">
        <v>123</v>
      </c>
      <c r="D4" s="5">
        <v>35</v>
      </c>
      <c r="F4" s="5" t="s">
        <v>122</v>
      </c>
      <c r="G4" s="6">
        <f>VLOOKUP($F4&amp;"|"&amp;G$3,$A$3:$D$16,4)</f>
        <v>30</v>
      </c>
      <c r="H4" s="6">
        <f>VLOOKUP($F4&amp;"|"&amp;H$3,$A$3:$D$16,4)</f>
        <v>35</v>
      </c>
      <c r="I4" s="40" t="s">
        <v>1527</v>
      </c>
    </row>
    <row r="5" spans="1:9" x14ac:dyDescent="0.25">
      <c r="A5" s="6" t="str">
        <f t="shared" si="0"/>
        <v>2A38-2A39|L</v>
      </c>
      <c r="B5" s="5" t="s">
        <v>126</v>
      </c>
      <c r="C5" s="5" t="s">
        <v>124</v>
      </c>
      <c r="D5" s="5">
        <v>30</v>
      </c>
      <c r="F5" s="5" t="s">
        <v>126</v>
      </c>
      <c r="G5" s="6">
        <f t="shared" ref="G5:H10" si="1">VLOOKUP($F5&amp;"|"&amp;G$3,$A$3:$D$16,4)</f>
        <v>30</v>
      </c>
      <c r="H5" s="6">
        <f t="shared" si="1"/>
        <v>36</v>
      </c>
    </row>
    <row r="6" spans="1:9" x14ac:dyDescent="0.25">
      <c r="A6" s="6" t="str">
        <f t="shared" si="0"/>
        <v>2A38-2A39|R</v>
      </c>
      <c r="B6" s="5" t="s">
        <v>126</v>
      </c>
      <c r="C6" s="5" t="s">
        <v>123</v>
      </c>
      <c r="D6" s="5">
        <v>36</v>
      </c>
      <c r="F6" s="5" t="s">
        <v>127</v>
      </c>
      <c r="G6" s="6">
        <f t="shared" si="1"/>
        <v>36</v>
      </c>
      <c r="H6" s="6">
        <f t="shared" si="1"/>
        <v>35</v>
      </c>
    </row>
    <row r="7" spans="1:9" x14ac:dyDescent="0.25">
      <c r="A7" s="6" t="str">
        <f t="shared" si="0"/>
        <v>2A39-2A40|L</v>
      </c>
      <c r="B7" s="5" t="s">
        <v>127</v>
      </c>
      <c r="C7" s="5" t="s">
        <v>124</v>
      </c>
      <c r="D7" s="5">
        <v>36</v>
      </c>
      <c r="F7" s="5" t="s">
        <v>129</v>
      </c>
      <c r="G7" s="6">
        <f t="shared" si="1"/>
        <v>18</v>
      </c>
      <c r="H7" s="6">
        <f t="shared" si="1"/>
        <v>28</v>
      </c>
    </row>
    <row r="8" spans="1:9" x14ac:dyDescent="0.25">
      <c r="A8" s="6" t="str">
        <f t="shared" si="0"/>
        <v>2A39-2A40|R</v>
      </c>
      <c r="B8" s="5" t="s">
        <v>127</v>
      </c>
      <c r="C8" s="5" t="s">
        <v>123</v>
      </c>
      <c r="D8" s="5">
        <v>35</v>
      </c>
      <c r="F8" s="5" t="s">
        <v>125</v>
      </c>
      <c r="G8" s="6">
        <f t="shared" si="1"/>
        <v>24</v>
      </c>
      <c r="H8" s="6">
        <f t="shared" si="1"/>
        <v>18</v>
      </c>
    </row>
    <row r="9" spans="1:9" x14ac:dyDescent="0.25">
      <c r="A9" s="6" t="str">
        <f t="shared" si="0"/>
        <v>2A44-2A45|L</v>
      </c>
      <c r="B9" s="5" t="s">
        <v>129</v>
      </c>
      <c r="C9" s="5" t="s">
        <v>124</v>
      </c>
      <c r="D9" s="5">
        <v>18</v>
      </c>
      <c r="F9" s="5" t="s">
        <v>128</v>
      </c>
      <c r="G9" s="6">
        <f t="shared" si="1"/>
        <v>30</v>
      </c>
      <c r="H9" s="6">
        <f t="shared" si="1"/>
        <v>36</v>
      </c>
    </row>
    <row r="10" spans="1:9" x14ac:dyDescent="0.25">
      <c r="A10" s="6" t="str">
        <f t="shared" si="0"/>
        <v>2A44-2A45|R</v>
      </c>
      <c r="B10" s="5" t="s">
        <v>129</v>
      </c>
      <c r="C10" s="5" t="s">
        <v>123</v>
      </c>
      <c r="D10" s="5">
        <v>28</v>
      </c>
      <c r="F10" s="5" t="s">
        <v>130</v>
      </c>
      <c r="G10" s="6">
        <f t="shared" si="1"/>
        <v>20</v>
      </c>
      <c r="H10" s="6">
        <f t="shared" si="1"/>
        <v>24</v>
      </c>
    </row>
    <row r="11" spans="1:9" x14ac:dyDescent="0.25">
      <c r="A11" s="6" t="str">
        <f t="shared" si="0"/>
        <v>2A45-2A46|L</v>
      </c>
      <c r="B11" s="5" t="s">
        <v>125</v>
      </c>
      <c r="C11" s="5" t="s">
        <v>124</v>
      </c>
      <c r="D11" s="5">
        <v>24</v>
      </c>
    </row>
    <row r="12" spans="1:9" x14ac:dyDescent="0.25">
      <c r="A12" s="6" t="str">
        <f t="shared" si="0"/>
        <v>2A45-2A46|R</v>
      </c>
      <c r="B12" s="5" t="s">
        <v>125</v>
      </c>
      <c r="C12" s="5" t="s">
        <v>123</v>
      </c>
      <c r="D12" s="5">
        <v>18</v>
      </c>
    </row>
    <row r="13" spans="1:9" x14ac:dyDescent="0.25">
      <c r="A13" s="6" t="str">
        <f t="shared" si="0"/>
        <v>2A46-2A47|L</v>
      </c>
      <c r="B13" s="5" t="s">
        <v>128</v>
      </c>
      <c r="C13" s="5" t="s">
        <v>124</v>
      </c>
      <c r="D13" s="5">
        <v>30</v>
      </c>
    </row>
    <row r="14" spans="1:9" x14ac:dyDescent="0.25">
      <c r="A14" s="6" t="str">
        <f t="shared" si="0"/>
        <v>2A46-2A47|R</v>
      </c>
      <c r="B14" s="5" t="s">
        <v>128</v>
      </c>
      <c r="C14" s="5" t="s">
        <v>123</v>
      </c>
      <c r="D14" s="5">
        <v>36</v>
      </c>
    </row>
    <row r="15" spans="1:9" x14ac:dyDescent="0.25">
      <c r="A15" s="6" t="str">
        <f t="shared" si="0"/>
        <v>2A48-2A49|L</v>
      </c>
      <c r="B15" s="5" t="s">
        <v>130</v>
      </c>
      <c r="C15" s="5" t="s">
        <v>124</v>
      </c>
      <c r="D15" s="5">
        <v>20</v>
      </c>
    </row>
    <row r="16" spans="1:9" x14ac:dyDescent="0.25">
      <c r="A16" s="6" t="str">
        <f t="shared" si="0"/>
        <v>2A48-2A49|R</v>
      </c>
      <c r="B16" s="5" t="s">
        <v>130</v>
      </c>
      <c r="C16" s="5" t="s">
        <v>123</v>
      </c>
      <c r="D16" s="5">
        <v>24</v>
      </c>
    </row>
  </sheetData>
  <sortState ref="A3:D16">
    <sortCondition ref="B4"/>
  </sortState>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0000FF"/>
  </sheetPr>
  <dimension ref="A1:I16"/>
  <sheetViews>
    <sheetView zoomScale="130" zoomScaleNormal="130" workbookViewId="0">
      <selection activeCell="E3" sqref="E3"/>
    </sheetView>
  </sheetViews>
  <sheetFormatPr defaultRowHeight="15" x14ac:dyDescent="0.25"/>
  <cols>
    <col min="1" max="1" width="12.5703125" customWidth="1"/>
    <col min="2" max="3" width="5.5703125" customWidth="1"/>
    <col min="4" max="4" width="2.7109375" customWidth="1"/>
    <col min="5" max="5" width="12.5703125" customWidth="1"/>
    <col min="6" max="7" width="5.5703125" customWidth="1"/>
    <col min="9" max="9" width="10.28515625" customWidth="1"/>
  </cols>
  <sheetData>
    <row r="1" spans="1:9" x14ac:dyDescent="0.25">
      <c r="A1" s="1" t="s">
        <v>131</v>
      </c>
      <c r="B1" s="2"/>
      <c r="C1" s="2"/>
      <c r="D1" s="2"/>
      <c r="E1" s="2"/>
      <c r="F1" s="2"/>
      <c r="G1" s="2"/>
      <c r="H1" s="17"/>
      <c r="I1" s="18"/>
    </row>
    <row r="2" spans="1:9" x14ac:dyDescent="0.25">
      <c r="A2" s="4" t="s">
        <v>133</v>
      </c>
      <c r="B2" s="4" t="s">
        <v>120</v>
      </c>
      <c r="C2" s="4" t="s">
        <v>121</v>
      </c>
      <c r="F2" s="36" t="s">
        <v>121</v>
      </c>
      <c r="G2" s="37"/>
    </row>
    <row r="3" spans="1:9" x14ac:dyDescent="0.25">
      <c r="A3" s="5" t="s">
        <v>125</v>
      </c>
      <c r="B3" s="5" t="s">
        <v>123</v>
      </c>
      <c r="C3" s="5">
        <v>18</v>
      </c>
      <c r="E3" s="4" t="s">
        <v>133</v>
      </c>
      <c r="F3" s="8" t="s">
        <v>124</v>
      </c>
      <c r="G3" s="8" t="s">
        <v>123</v>
      </c>
    </row>
    <row r="4" spans="1:9" x14ac:dyDescent="0.25">
      <c r="A4" s="5" t="s">
        <v>127</v>
      </c>
      <c r="B4" s="5" t="s">
        <v>124</v>
      </c>
      <c r="C4" s="5">
        <v>36</v>
      </c>
      <c r="E4" s="5" t="s">
        <v>122</v>
      </c>
      <c r="F4" s="6">
        <f>INDEX($C$3:$C$16,MATCH($E4&amp;F$3,INDEX($A$3:$A$16&amp;$B$3:$B$16,),0))</f>
        <v>30</v>
      </c>
      <c r="G4" s="6">
        <f t="array" ref="G4">INDEX($C$3:$C$16,MATCH($E4&amp;G$3,$A$3:$A$16&amp;$B$3:$B$16,0))</f>
        <v>35</v>
      </c>
    </row>
    <row r="5" spans="1:9" x14ac:dyDescent="0.25">
      <c r="A5" s="5" t="s">
        <v>122</v>
      </c>
      <c r="B5" s="5" t="s">
        <v>124</v>
      </c>
      <c r="C5" s="5">
        <v>30</v>
      </c>
      <c r="E5" s="5" t="s">
        <v>126</v>
      </c>
      <c r="F5" s="6">
        <f t="array" ref="F5">INDEX($C$3:$C$16,MATCH($E5&amp;F$3,$A$3:$A$16&amp;$B$3:$B$16,0))</f>
        <v>30</v>
      </c>
      <c r="G5" s="6">
        <f t="array" ref="G5">INDEX($C$3:$C$16,MATCH($E5&amp;G$3,$A$3:$A$16&amp;$B$3:$B$16,0))</f>
        <v>36</v>
      </c>
    </row>
    <row r="6" spans="1:9" x14ac:dyDescent="0.25">
      <c r="A6" s="5" t="s">
        <v>126</v>
      </c>
      <c r="B6" s="5" t="s">
        <v>123</v>
      </c>
      <c r="C6" s="5">
        <v>36</v>
      </c>
      <c r="E6" s="5" t="s">
        <v>127</v>
      </c>
      <c r="F6" s="6">
        <f t="array" ref="F6">INDEX($C$3:$C$16,MATCH($E6&amp;F$3,$A$3:$A$16&amp;$B$3:$B$16,0))</f>
        <v>36</v>
      </c>
      <c r="G6" s="6">
        <f t="array" ref="G6">INDEX($C$3:$C$16,MATCH($E6&amp;G$3,$A$3:$A$16&amp;$B$3:$B$16,0))</f>
        <v>35</v>
      </c>
    </row>
    <row r="7" spans="1:9" x14ac:dyDescent="0.25">
      <c r="A7" s="5" t="s">
        <v>129</v>
      </c>
      <c r="B7" s="5" t="s">
        <v>124</v>
      </c>
      <c r="C7" s="5">
        <v>18</v>
      </c>
      <c r="E7" s="5" t="s">
        <v>129</v>
      </c>
      <c r="F7" s="6">
        <f t="array" ref="F7">INDEX($C$3:$C$16,MATCH($E7&amp;F$3,$A$3:$A$16&amp;$B$3:$B$16,0))</f>
        <v>18</v>
      </c>
      <c r="G7" s="6">
        <f t="array" ref="G7">INDEX($C$3:$C$16,MATCH($E7&amp;G$3,$A$3:$A$16&amp;$B$3:$B$16,0))</f>
        <v>28</v>
      </c>
    </row>
    <row r="8" spans="1:9" x14ac:dyDescent="0.25">
      <c r="A8" s="5" t="s">
        <v>130</v>
      </c>
      <c r="B8" s="5" t="s">
        <v>124</v>
      </c>
      <c r="C8" s="5">
        <v>20</v>
      </c>
      <c r="E8" s="5" t="s">
        <v>125</v>
      </c>
      <c r="F8" s="6">
        <f t="array" ref="F8">INDEX($C$3:$C$16,MATCH($E8&amp;F$3,$A$3:$A$16&amp;$B$3:$B$16,0))</f>
        <v>24</v>
      </c>
      <c r="G8" s="6">
        <f t="array" ref="G8">INDEX($C$3:$C$16,MATCH($E8&amp;G$3,$A$3:$A$16&amp;$B$3:$B$16,0))</f>
        <v>18</v>
      </c>
    </row>
    <row r="9" spans="1:9" x14ac:dyDescent="0.25">
      <c r="A9" s="5" t="s">
        <v>125</v>
      </c>
      <c r="B9" s="5" t="s">
        <v>124</v>
      </c>
      <c r="C9" s="5">
        <v>24</v>
      </c>
      <c r="E9" s="5" t="s">
        <v>128</v>
      </c>
      <c r="F9" s="6">
        <f t="array" ref="F9">INDEX($C$3:$C$16,MATCH($E9&amp;F$3,$A$3:$A$16&amp;$B$3:$B$16,0))</f>
        <v>30</v>
      </c>
      <c r="G9" s="6">
        <f t="array" ref="G9">INDEX($C$3:$C$16,MATCH($E9&amp;G$3,$A$3:$A$16&amp;$B$3:$B$16,0))</f>
        <v>36</v>
      </c>
    </row>
    <row r="10" spans="1:9" x14ac:dyDescent="0.25">
      <c r="A10" s="5" t="s">
        <v>130</v>
      </c>
      <c r="B10" s="5" t="s">
        <v>123</v>
      </c>
      <c r="C10" s="5">
        <v>24</v>
      </c>
      <c r="E10" s="5" t="s">
        <v>130</v>
      </c>
      <c r="F10" s="6">
        <f t="array" ref="F10">INDEX($C$3:$C$16,MATCH($E10&amp;F$3,$A$3:$A$16&amp;$B$3:$B$16,0))</f>
        <v>20</v>
      </c>
      <c r="G10" s="6">
        <f t="array" ref="G10">INDEX($C$3:$C$16,MATCH($E10&amp;G$3,$A$3:$A$16&amp;$B$3:$B$16,0))</f>
        <v>24</v>
      </c>
    </row>
    <row r="11" spans="1:9" x14ac:dyDescent="0.25">
      <c r="A11" s="5" t="s">
        <v>129</v>
      </c>
      <c r="B11" s="5" t="s">
        <v>123</v>
      </c>
      <c r="C11" s="5">
        <v>28</v>
      </c>
    </row>
    <row r="12" spans="1:9" x14ac:dyDescent="0.25">
      <c r="A12" s="5" t="s">
        <v>128</v>
      </c>
      <c r="B12" s="5" t="s">
        <v>124</v>
      </c>
      <c r="C12" s="5">
        <v>30</v>
      </c>
    </row>
    <row r="13" spans="1:9" x14ac:dyDescent="0.25">
      <c r="A13" s="5" t="s">
        <v>126</v>
      </c>
      <c r="B13" s="5" t="s">
        <v>124</v>
      </c>
      <c r="C13" s="5">
        <v>30</v>
      </c>
    </row>
    <row r="14" spans="1:9" x14ac:dyDescent="0.25">
      <c r="A14" s="5" t="s">
        <v>122</v>
      </c>
      <c r="B14" s="5" t="s">
        <v>123</v>
      </c>
      <c r="C14" s="5">
        <v>35</v>
      </c>
    </row>
    <row r="15" spans="1:9" x14ac:dyDescent="0.25">
      <c r="A15" s="5" t="s">
        <v>127</v>
      </c>
      <c r="B15" s="5" t="s">
        <v>123</v>
      </c>
      <c r="C15" s="5">
        <v>35</v>
      </c>
    </row>
    <row r="16" spans="1:9" x14ac:dyDescent="0.25">
      <c r="A16" s="5" t="s">
        <v>128</v>
      </c>
      <c r="B16" s="5" t="s">
        <v>123</v>
      </c>
      <c r="C16" s="5">
        <v>36</v>
      </c>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0000FF"/>
  </sheetPr>
  <dimension ref="A1:D3"/>
  <sheetViews>
    <sheetView zoomScale="130" zoomScaleNormal="130" workbookViewId="0">
      <selection activeCell="C3" sqref="C3"/>
    </sheetView>
  </sheetViews>
  <sheetFormatPr defaultRowHeight="15" x14ac:dyDescent="0.25"/>
  <cols>
    <col min="1" max="1" width="16.5703125" bestFit="1" customWidth="1"/>
    <col min="2" max="2" width="1.85546875" customWidth="1"/>
    <col min="3" max="3" width="19.42578125" customWidth="1"/>
    <col min="4" max="4" width="18.85546875" bestFit="1" customWidth="1"/>
    <col min="5" max="5" width="18.28515625" customWidth="1"/>
  </cols>
  <sheetData>
    <row r="1" spans="1:4" x14ac:dyDescent="0.25">
      <c r="A1" s="1" t="s">
        <v>1898</v>
      </c>
      <c r="B1" s="2"/>
      <c r="C1" s="18"/>
    </row>
    <row r="2" spans="1:4" ht="30" x14ac:dyDescent="0.25">
      <c r="A2" s="42" t="s">
        <v>139</v>
      </c>
      <c r="C2" s="44" t="str">
        <f>"Total # of characters in cell "&amp;ADDRESS(ROW(A3),COLUMN(A3),4)</f>
        <v>Total # of characters in cell A3</v>
      </c>
    </row>
    <row r="3" spans="1:4" x14ac:dyDescent="0.25">
      <c r="A3" s="43" t="s">
        <v>140</v>
      </c>
      <c r="C3" s="45">
        <f>LEN(A3)</f>
        <v>15</v>
      </c>
      <c r="D3" t="s">
        <v>1528</v>
      </c>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rgb="FF0000FF"/>
  </sheetPr>
  <dimension ref="A1:C6"/>
  <sheetViews>
    <sheetView zoomScale="130" zoomScaleNormal="130" workbookViewId="0">
      <selection activeCell="E3" sqref="E3"/>
    </sheetView>
  </sheetViews>
  <sheetFormatPr defaultRowHeight="15" x14ac:dyDescent="0.25"/>
  <cols>
    <col min="1" max="1" width="16.5703125" bestFit="1" customWidth="1"/>
    <col min="2" max="2" width="1.85546875" customWidth="1"/>
    <col min="3" max="3" width="19.42578125" customWidth="1"/>
    <col min="4" max="4" width="11.85546875" customWidth="1"/>
    <col min="5" max="5" width="18.28515625" customWidth="1"/>
  </cols>
  <sheetData>
    <row r="1" spans="1:3" ht="30" x14ac:dyDescent="0.25">
      <c r="A1" s="42" t="s">
        <v>139</v>
      </c>
      <c r="C1" s="44" t="str">
        <f>"Total # of characters in range "&amp;ADDRESS(ROW(A2),COLUMN(A2),4)&amp;":"&amp;ADDRESS(ROW(A69),COLUMN(A6),4)</f>
        <v>Total # of characters in range A2:A69</v>
      </c>
    </row>
    <row r="2" spans="1:3" x14ac:dyDescent="0.25">
      <c r="A2" s="43" t="s">
        <v>140</v>
      </c>
      <c r="C2" s="45">
        <f>SUMPRODUCT(LEN(A2:A6))</f>
        <v>69</v>
      </c>
    </row>
    <row r="3" spans="1:3" x14ac:dyDescent="0.25">
      <c r="A3" s="43" t="s">
        <v>141</v>
      </c>
    </row>
    <row r="4" spans="1:3" x14ac:dyDescent="0.25">
      <c r="A4" s="43" t="s">
        <v>142</v>
      </c>
    </row>
    <row r="5" spans="1:3" x14ac:dyDescent="0.25">
      <c r="A5" s="43" t="s">
        <v>143</v>
      </c>
    </row>
    <row r="6" spans="1:3" x14ac:dyDescent="0.25">
      <c r="A6" s="43" t="s">
        <v>144</v>
      </c>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0000FF"/>
  </sheetPr>
  <dimension ref="A1:I11"/>
  <sheetViews>
    <sheetView zoomScale="175" zoomScaleNormal="175" workbookViewId="0">
      <selection activeCell="E3" sqref="E3"/>
    </sheetView>
  </sheetViews>
  <sheetFormatPr defaultRowHeight="15" x14ac:dyDescent="0.25"/>
  <cols>
    <col min="1" max="1" width="13.5703125" customWidth="1"/>
    <col min="4" max="4" width="7" bestFit="1" customWidth="1"/>
    <col min="5" max="5" width="2.5703125" customWidth="1"/>
    <col min="8" max="9" width="13.5703125" customWidth="1"/>
    <col min="12" max="13" width="2.5703125" customWidth="1"/>
    <col min="16" max="17" width="13.5703125" customWidth="1"/>
    <col min="20" max="21" width="2.5703125" customWidth="1"/>
    <col min="24" max="25" width="13.5703125" customWidth="1"/>
    <col min="28" max="29" width="2.5703125" customWidth="1"/>
    <col min="32" max="33" width="13.5703125" customWidth="1"/>
    <col min="36" max="37" width="2.5703125" customWidth="1"/>
    <col min="40" max="41" width="13.5703125" customWidth="1"/>
    <col min="44" max="45" width="2.5703125" customWidth="1"/>
    <col min="48" max="49" width="13.5703125" customWidth="1"/>
    <col min="52" max="53" width="2.5703125" customWidth="1"/>
    <col min="56" max="57" width="13.5703125" customWidth="1"/>
    <col min="60" max="61" width="2.5703125" customWidth="1"/>
    <col min="64" max="65" width="13.5703125" customWidth="1"/>
    <col min="68" max="69" width="2.5703125" customWidth="1"/>
    <col min="72" max="73" width="13.5703125" customWidth="1"/>
    <col min="76" max="77" width="2.5703125" customWidth="1"/>
    <col min="80" max="81" width="13.5703125" customWidth="1"/>
    <col min="84" max="85" width="2.5703125" customWidth="1"/>
    <col min="88" max="89" width="13.5703125" customWidth="1"/>
    <col min="92" max="93" width="2.5703125" customWidth="1"/>
    <col min="96" max="97" width="13.5703125" customWidth="1"/>
    <col min="100" max="101" width="2.5703125" customWidth="1"/>
    <col min="104" max="105" width="13.5703125" customWidth="1"/>
    <col min="108" max="109" width="2.5703125" customWidth="1"/>
    <col min="112" max="113" width="13.5703125" customWidth="1"/>
    <col min="116" max="117" width="2.5703125" customWidth="1"/>
    <col min="120" max="121" width="13.5703125" customWidth="1"/>
    <col min="124" max="125" width="2.5703125" customWidth="1"/>
    <col min="128" max="129" width="13.5703125" customWidth="1"/>
    <col min="132" max="133" width="2.5703125" customWidth="1"/>
    <col min="136" max="137" width="13.5703125" customWidth="1"/>
    <col min="140" max="141" width="2.5703125" customWidth="1"/>
    <col min="144" max="145" width="13.5703125" customWidth="1"/>
    <col min="148" max="149" width="2.5703125" customWidth="1"/>
    <col min="152" max="153" width="13.5703125" customWidth="1"/>
    <col min="156" max="157" width="2.5703125" customWidth="1"/>
    <col min="160" max="161" width="13.5703125" customWidth="1"/>
    <col min="164" max="165" width="2.5703125" customWidth="1"/>
    <col min="168" max="169" width="13.5703125" customWidth="1"/>
    <col min="172" max="173" width="2.5703125" customWidth="1"/>
    <col min="176" max="177" width="13.5703125" customWidth="1"/>
    <col min="180" max="181" width="2.5703125" customWidth="1"/>
    <col min="184" max="185" width="13.5703125" customWidth="1"/>
    <col min="188" max="189" width="2.5703125" customWidth="1"/>
    <col min="192" max="193" width="13.5703125" customWidth="1"/>
    <col min="196" max="197" width="2.5703125" customWidth="1"/>
    <col min="200" max="201" width="13.5703125" customWidth="1"/>
    <col min="204" max="205" width="2.5703125" customWidth="1"/>
    <col min="208" max="209" width="13.5703125" customWidth="1"/>
    <col min="212" max="213" width="2.5703125" customWidth="1"/>
    <col min="216" max="217" width="13.5703125" customWidth="1"/>
    <col min="220" max="221" width="2.5703125" customWidth="1"/>
    <col min="224" max="225" width="13.5703125" customWidth="1"/>
    <col min="228" max="229" width="2.5703125" customWidth="1"/>
    <col min="232" max="233" width="13.5703125" customWidth="1"/>
    <col min="236" max="237" width="2.5703125" customWidth="1"/>
    <col min="240" max="241" width="13.5703125" customWidth="1"/>
    <col min="244" max="245" width="2.5703125" customWidth="1"/>
    <col min="248" max="249" width="13.5703125" customWidth="1"/>
    <col min="252" max="253" width="2.5703125" customWidth="1"/>
    <col min="256" max="257" width="13.5703125" customWidth="1"/>
    <col min="260" max="261" width="2.5703125" customWidth="1"/>
    <col min="264" max="265" width="13.5703125" customWidth="1"/>
    <col min="268" max="269" width="2.5703125" customWidth="1"/>
    <col min="272" max="273" width="13.5703125" customWidth="1"/>
    <col min="276" max="277" width="2.5703125" customWidth="1"/>
    <col min="280" max="281" width="13.5703125" customWidth="1"/>
    <col min="284" max="285" width="2.5703125" customWidth="1"/>
    <col min="288" max="289" width="13.5703125" customWidth="1"/>
    <col min="292" max="293" width="2.5703125" customWidth="1"/>
    <col min="296" max="297" width="13.5703125" customWidth="1"/>
    <col min="300" max="301" width="2.5703125" customWidth="1"/>
    <col min="304" max="305" width="13.5703125" customWidth="1"/>
    <col min="308" max="309" width="2.5703125" customWidth="1"/>
    <col min="312" max="313" width="13.5703125" customWidth="1"/>
    <col min="316" max="317" width="2.5703125" customWidth="1"/>
    <col min="320" max="321" width="13.5703125" customWidth="1"/>
    <col min="324" max="325" width="2.5703125" customWidth="1"/>
    <col min="328" max="329" width="13.5703125" customWidth="1"/>
    <col min="332" max="333" width="2.5703125" customWidth="1"/>
    <col min="336" max="337" width="13.5703125" customWidth="1"/>
    <col min="340" max="341" width="2.5703125" customWidth="1"/>
    <col min="344" max="345" width="13.5703125" customWidth="1"/>
    <col min="348" max="349" width="2.5703125" customWidth="1"/>
    <col min="352" max="353" width="13.5703125" customWidth="1"/>
    <col min="356" max="357" width="2.5703125" customWidth="1"/>
    <col min="360" max="361" width="13.5703125" customWidth="1"/>
    <col min="364" max="365" width="2.5703125" customWidth="1"/>
    <col min="368" max="369" width="13.5703125" customWidth="1"/>
    <col min="372" max="373" width="2.5703125" customWidth="1"/>
    <col min="376" max="377" width="13.5703125" customWidth="1"/>
    <col min="380" max="381" width="2.5703125" customWidth="1"/>
    <col min="384" max="385" width="13.5703125" customWidth="1"/>
    <col min="388" max="389" width="2.5703125" customWidth="1"/>
    <col min="392" max="393" width="13.5703125" customWidth="1"/>
    <col min="396" max="397" width="2.5703125" customWidth="1"/>
    <col min="400" max="401" width="13.5703125" customWidth="1"/>
    <col min="404" max="405" width="2.5703125" customWidth="1"/>
    <col min="408" max="409" width="13.5703125" customWidth="1"/>
    <col min="412" max="413" width="2.5703125" customWidth="1"/>
    <col min="416" max="417" width="13.5703125" customWidth="1"/>
    <col min="420" max="421" width="2.5703125" customWidth="1"/>
    <col min="424" max="425" width="13.5703125" customWidth="1"/>
    <col min="428" max="429" width="2.5703125" customWidth="1"/>
    <col min="432" max="433" width="13.5703125" customWidth="1"/>
    <col min="436" max="437" width="2.5703125" customWidth="1"/>
    <col min="440" max="441" width="13.5703125" customWidth="1"/>
    <col min="444" max="445" width="2.5703125" customWidth="1"/>
    <col min="448" max="449" width="13.5703125" customWidth="1"/>
    <col min="452" max="453" width="2.5703125" customWidth="1"/>
    <col min="456" max="457" width="13.5703125" customWidth="1"/>
    <col min="460" max="461" width="2.5703125" customWidth="1"/>
    <col min="464" max="465" width="13.5703125" customWidth="1"/>
    <col min="468" max="469" width="2.5703125" customWidth="1"/>
    <col min="472" max="473" width="13.5703125" customWidth="1"/>
    <col min="476" max="477" width="2.5703125" customWidth="1"/>
    <col min="480" max="481" width="13.5703125" customWidth="1"/>
    <col min="484" max="485" width="2.5703125" customWidth="1"/>
    <col min="488" max="489" width="13.5703125" customWidth="1"/>
    <col min="492" max="493" width="2.5703125" customWidth="1"/>
    <col min="496" max="497" width="13.5703125" customWidth="1"/>
    <col min="500" max="501" width="2.5703125" customWidth="1"/>
    <col min="504" max="505" width="13.5703125" customWidth="1"/>
    <col min="508" max="509" width="2.5703125" customWidth="1"/>
    <col min="512" max="513" width="13.5703125" customWidth="1"/>
    <col min="516" max="517" width="2.5703125" customWidth="1"/>
    <col min="520" max="521" width="13.5703125" customWidth="1"/>
    <col min="524" max="525" width="2.5703125" customWidth="1"/>
    <col min="528" max="529" width="13.5703125" customWidth="1"/>
    <col min="532" max="533" width="2.5703125" customWidth="1"/>
    <col min="536" max="537" width="13.5703125" customWidth="1"/>
    <col min="540" max="541" width="2.5703125" customWidth="1"/>
    <col min="544" max="545" width="13.5703125" customWidth="1"/>
    <col min="548" max="549" width="2.5703125" customWidth="1"/>
    <col min="552" max="553" width="13.5703125" customWidth="1"/>
    <col min="556" max="557" width="2.5703125" customWidth="1"/>
    <col min="560" max="561" width="13.5703125" customWidth="1"/>
    <col min="564" max="565" width="2.5703125" customWidth="1"/>
    <col min="568" max="569" width="13.5703125" customWidth="1"/>
    <col min="572" max="573" width="2.5703125" customWidth="1"/>
    <col min="576" max="577" width="13.5703125" customWidth="1"/>
    <col min="580" max="581" width="2.5703125" customWidth="1"/>
    <col min="584" max="585" width="13.5703125" customWidth="1"/>
    <col min="588" max="589" width="2.5703125" customWidth="1"/>
    <col min="592" max="593" width="13.5703125" customWidth="1"/>
    <col min="596" max="597" width="2.5703125" customWidth="1"/>
    <col min="600" max="601" width="13.5703125" customWidth="1"/>
    <col min="604" max="605" width="2.5703125" customWidth="1"/>
    <col min="608" max="609" width="13.5703125" customWidth="1"/>
    <col min="612" max="613" width="2.5703125" customWidth="1"/>
    <col min="616" max="617" width="13.5703125" customWidth="1"/>
    <col min="620" max="621" width="2.5703125" customWidth="1"/>
    <col min="624" max="625" width="13.5703125" customWidth="1"/>
    <col min="628" max="629" width="2.5703125" customWidth="1"/>
    <col min="632" max="633" width="13.5703125" customWidth="1"/>
    <col min="636" max="637" width="2.5703125" customWidth="1"/>
    <col min="640" max="641" width="13.5703125" customWidth="1"/>
    <col min="644" max="645" width="2.5703125" customWidth="1"/>
    <col min="648" max="649" width="13.5703125" customWidth="1"/>
    <col min="652" max="653" width="2.5703125" customWidth="1"/>
    <col min="656" max="657" width="13.5703125" customWidth="1"/>
    <col min="660" max="661" width="2.5703125" customWidth="1"/>
    <col min="664" max="665" width="13.5703125" customWidth="1"/>
    <col min="668" max="669" width="2.5703125" customWidth="1"/>
    <col min="672" max="673" width="13.5703125" customWidth="1"/>
    <col min="676" max="677" width="2.5703125" customWidth="1"/>
    <col min="680" max="681" width="13.5703125" customWidth="1"/>
    <col min="684" max="685" width="2.5703125" customWidth="1"/>
    <col min="688" max="689" width="13.5703125" customWidth="1"/>
    <col min="692" max="693" width="2.5703125" customWidth="1"/>
    <col min="696" max="697" width="13.5703125" customWidth="1"/>
    <col min="700" max="701" width="2.5703125" customWidth="1"/>
    <col min="704" max="705" width="13.5703125" customWidth="1"/>
    <col min="708" max="709" width="2.5703125" customWidth="1"/>
    <col min="712" max="713" width="13.5703125" customWidth="1"/>
    <col min="716" max="717" width="2.5703125" customWidth="1"/>
    <col min="720" max="721" width="13.5703125" customWidth="1"/>
    <col min="724" max="725" width="2.5703125" customWidth="1"/>
    <col min="728" max="729" width="13.5703125" customWidth="1"/>
    <col min="732" max="733" width="2.5703125" customWidth="1"/>
    <col min="736" max="737" width="13.5703125" customWidth="1"/>
    <col min="740" max="741" width="2.5703125" customWidth="1"/>
    <col min="744" max="745" width="13.5703125" customWidth="1"/>
    <col min="748" max="749" width="2.5703125" customWidth="1"/>
    <col min="752" max="753" width="13.5703125" customWidth="1"/>
    <col min="756" max="757" width="2.5703125" customWidth="1"/>
    <col min="760" max="761" width="13.5703125" customWidth="1"/>
    <col min="764" max="765" width="2.5703125" customWidth="1"/>
    <col min="768" max="769" width="13.5703125" customWidth="1"/>
    <col min="772" max="773" width="2.5703125" customWidth="1"/>
    <col min="776" max="777" width="13.5703125" customWidth="1"/>
    <col min="780" max="781" width="2.5703125" customWidth="1"/>
    <col min="784" max="785" width="13.5703125" customWidth="1"/>
    <col min="788" max="789" width="2.5703125" customWidth="1"/>
    <col min="792" max="793" width="13.5703125" customWidth="1"/>
    <col min="796" max="797" width="2.5703125" customWidth="1"/>
    <col min="800" max="801" width="13.5703125" customWidth="1"/>
    <col min="804" max="805" width="2.5703125" customWidth="1"/>
    <col min="808" max="809" width="13.5703125" customWidth="1"/>
    <col min="812" max="813" width="2.5703125" customWidth="1"/>
    <col min="816" max="817" width="13.5703125" customWidth="1"/>
    <col min="820" max="821" width="2.5703125" customWidth="1"/>
    <col min="824" max="825" width="13.5703125" customWidth="1"/>
    <col min="828" max="829" width="2.5703125" customWidth="1"/>
    <col min="832" max="833" width="13.5703125" customWidth="1"/>
    <col min="836" max="837" width="2.5703125" customWidth="1"/>
    <col min="840" max="841" width="13.5703125" customWidth="1"/>
    <col min="844" max="845" width="2.5703125" customWidth="1"/>
    <col min="848" max="849" width="13.5703125" customWidth="1"/>
    <col min="852" max="853" width="2.5703125" customWidth="1"/>
    <col min="856" max="857" width="13.5703125" customWidth="1"/>
    <col min="860" max="861" width="2.5703125" customWidth="1"/>
    <col min="864" max="865" width="13.5703125" customWidth="1"/>
    <col min="868" max="869" width="2.5703125" customWidth="1"/>
    <col min="872" max="873" width="13.5703125" customWidth="1"/>
    <col min="876" max="877" width="2.5703125" customWidth="1"/>
    <col min="880" max="881" width="13.5703125" customWidth="1"/>
    <col min="884" max="885" width="2.5703125" customWidth="1"/>
    <col min="888" max="889" width="13.5703125" customWidth="1"/>
    <col min="892" max="893" width="2.5703125" customWidth="1"/>
    <col min="896" max="897" width="13.5703125" customWidth="1"/>
    <col min="900" max="901" width="2.5703125" customWidth="1"/>
    <col min="904" max="905" width="13.5703125" customWidth="1"/>
    <col min="908" max="909" width="2.5703125" customWidth="1"/>
    <col min="912" max="913" width="13.5703125" customWidth="1"/>
    <col min="916" max="917" width="2.5703125" customWidth="1"/>
    <col min="920" max="921" width="13.5703125" customWidth="1"/>
    <col min="924" max="925" width="2.5703125" customWidth="1"/>
    <col min="928" max="929" width="13.5703125" customWidth="1"/>
    <col min="932" max="933" width="2.5703125" customWidth="1"/>
    <col min="936" max="937" width="13.5703125" customWidth="1"/>
    <col min="940" max="941" width="2.5703125" customWidth="1"/>
    <col min="944" max="945" width="13.5703125" customWidth="1"/>
    <col min="948" max="949" width="2.5703125" customWidth="1"/>
    <col min="952" max="953" width="13.5703125" customWidth="1"/>
    <col min="956" max="957" width="2.5703125" customWidth="1"/>
    <col min="960" max="961" width="13.5703125" customWidth="1"/>
    <col min="964" max="965" width="2.5703125" customWidth="1"/>
    <col min="968" max="969" width="13.5703125" customWidth="1"/>
    <col min="972" max="973" width="2.5703125" customWidth="1"/>
    <col min="976" max="977" width="13.5703125" customWidth="1"/>
    <col min="980" max="981" width="2.5703125" customWidth="1"/>
    <col min="984" max="985" width="13.5703125" customWidth="1"/>
    <col min="988" max="989" width="2.5703125" customWidth="1"/>
    <col min="992" max="993" width="13.5703125" customWidth="1"/>
    <col min="996" max="997" width="2.5703125" customWidth="1"/>
    <col min="1000" max="1001" width="13.5703125" customWidth="1"/>
    <col min="1004" max="1005" width="2.5703125" customWidth="1"/>
    <col min="1008" max="1009" width="13.5703125" customWidth="1"/>
    <col min="1012" max="1013" width="2.5703125" customWidth="1"/>
    <col min="1016" max="1017" width="13.5703125" customWidth="1"/>
    <col min="1020" max="1021" width="2.5703125" customWidth="1"/>
    <col min="1024" max="1025" width="13.5703125" customWidth="1"/>
    <col min="1028" max="1029" width="2.5703125" customWidth="1"/>
    <col min="1032" max="1033" width="13.5703125" customWidth="1"/>
    <col min="1036" max="1037" width="2.5703125" customWidth="1"/>
    <col min="1040" max="1041" width="13.5703125" customWidth="1"/>
    <col min="1044" max="1045" width="2.5703125" customWidth="1"/>
    <col min="1048" max="1049" width="13.5703125" customWidth="1"/>
    <col min="1052" max="1053" width="2.5703125" customWidth="1"/>
    <col min="1056" max="1057" width="13.5703125" customWidth="1"/>
    <col min="1060" max="1061" width="2.5703125" customWidth="1"/>
    <col min="1064" max="1065" width="13.5703125" customWidth="1"/>
    <col min="1068" max="1069" width="2.5703125" customWidth="1"/>
    <col min="1072" max="1073" width="13.5703125" customWidth="1"/>
    <col min="1076" max="1077" width="2.5703125" customWidth="1"/>
    <col min="1080" max="1081" width="13.5703125" customWidth="1"/>
    <col min="1084" max="1085" width="2.5703125" customWidth="1"/>
    <col min="1088" max="1089" width="13.5703125" customWidth="1"/>
    <col min="1092" max="1093" width="2.5703125" customWidth="1"/>
    <col min="1096" max="1097" width="13.5703125" customWidth="1"/>
    <col min="1100" max="1101" width="2.5703125" customWidth="1"/>
    <col min="1104" max="1105" width="13.5703125" customWidth="1"/>
    <col min="1108" max="1109" width="2.5703125" customWidth="1"/>
    <col min="1112" max="1113" width="13.5703125" customWidth="1"/>
    <col min="1116" max="1117" width="2.5703125" customWidth="1"/>
    <col min="1120" max="1121" width="13.5703125" customWidth="1"/>
    <col min="1124" max="1125" width="2.5703125" customWidth="1"/>
    <col min="1128" max="1129" width="13.5703125" customWidth="1"/>
    <col min="1132" max="1133" width="2.5703125" customWidth="1"/>
    <col min="1136" max="1137" width="13.5703125" customWidth="1"/>
    <col min="1140" max="1141" width="2.5703125" customWidth="1"/>
    <col min="1144" max="1145" width="13.5703125" customWidth="1"/>
    <col min="1148" max="1149" width="2.5703125" customWidth="1"/>
    <col min="1152" max="1153" width="13.5703125" customWidth="1"/>
    <col min="1156" max="1157" width="2.5703125" customWidth="1"/>
    <col min="1160" max="1161" width="13.5703125" customWidth="1"/>
    <col min="1164" max="1165" width="2.5703125" customWidth="1"/>
    <col min="1168" max="1169" width="13.5703125" customWidth="1"/>
    <col min="1172" max="1173" width="2.5703125" customWidth="1"/>
    <col min="1176" max="1177" width="13.5703125" customWidth="1"/>
    <col min="1180" max="1181" width="2.5703125" customWidth="1"/>
    <col min="1184" max="1185" width="13.5703125" customWidth="1"/>
    <col min="1188" max="1189" width="2.5703125" customWidth="1"/>
    <col min="1192" max="1193" width="13.5703125" customWidth="1"/>
    <col min="1196" max="1197" width="2.5703125" customWidth="1"/>
    <col min="1200" max="1201" width="13.5703125" customWidth="1"/>
    <col min="1204" max="1205" width="2.5703125" customWidth="1"/>
    <col min="1208" max="1209" width="13.5703125" customWidth="1"/>
    <col min="1212" max="1213" width="2.5703125" customWidth="1"/>
    <col min="1216" max="1217" width="13.5703125" customWidth="1"/>
    <col min="1220" max="1221" width="2.5703125" customWidth="1"/>
    <col min="1224" max="1225" width="13.5703125" customWidth="1"/>
    <col min="1228" max="1229" width="2.5703125" customWidth="1"/>
    <col min="1232" max="1233" width="13.5703125" customWidth="1"/>
    <col min="1236" max="1237" width="2.5703125" customWidth="1"/>
    <col min="1240" max="1241" width="13.5703125" customWidth="1"/>
    <col min="1244" max="1245" width="2.5703125" customWidth="1"/>
    <col min="1248" max="1249" width="13.5703125" customWidth="1"/>
    <col min="1252" max="1253" width="2.5703125" customWidth="1"/>
    <col min="1256" max="1257" width="13.5703125" customWidth="1"/>
    <col min="1260" max="1261" width="2.5703125" customWidth="1"/>
    <col min="1264" max="1265" width="13.5703125" customWidth="1"/>
    <col min="1268" max="1269" width="2.5703125" customWidth="1"/>
    <col min="1272" max="1273" width="13.5703125" customWidth="1"/>
    <col min="1276" max="1277" width="2.5703125" customWidth="1"/>
    <col min="1280" max="1281" width="13.5703125" customWidth="1"/>
    <col min="1284" max="1285" width="2.5703125" customWidth="1"/>
    <col min="1288" max="1289" width="13.5703125" customWidth="1"/>
    <col min="1292" max="1293" width="2.5703125" customWidth="1"/>
    <col min="1296" max="1297" width="13.5703125" customWidth="1"/>
    <col min="1300" max="1301" width="2.5703125" customWidth="1"/>
    <col min="1304" max="1305" width="13.5703125" customWidth="1"/>
    <col min="1308" max="1309" width="2.5703125" customWidth="1"/>
    <col min="1312" max="1313" width="13.5703125" customWidth="1"/>
    <col min="1316" max="1317" width="2.5703125" customWidth="1"/>
    <col min="1320" max="1321" width="13.5703125" customWidth="1"/>
    <col min="1324" max="1325" width="2.5703125" customWidth="1"/>
    <col min="1328" max="1329" width="13.5703125" customWidth="1"/>
    <col min="1332" max="1333" width="2.5703125" customWidth="1"/>
    <col min="1336" max="1337" width="13.5703125" customWidth="1"/>
    <col min="1340" max="1341" width="2.5703125" customWidth="1"/>
    <col min="1344" max="1345" width="13.5703125" customWidth="1"/>
    <col min="1348" max="1349" width="2.5703125" customWidth="1"/>
    <col min="1352" max="1353" width="13.5703125" customWidth="1"/>
    <col min="1356" max="1357" width="2.5703125" customWidth="1"/>
    <col min="1360" max="1361" width="13.5703125" customWidth="1"/>
    <col min="1364" max="1365" width="2.5703125" customWidth="1"/>
    <col min="1368" max="1369" width="13.5703125" customWidth="1"/>
    <col min="1372" max="1373" width="2.5703125" customWidth="1"/>
    <col min="1376" max="1377" width="13.5703125" customWidth="1"/>
    <col min="1380" max="1381" width="2.5703125" customWidth="1"/>
    <col min="1384" max="1385" width="13.5703125" customWidth="1"/>
    <col min="1388" max="1389" width="2.5703125" customWidth="1"/>
    <col min="1392" max="1393" width="13.5703125" customWidth="1"/>
    <col min="1396" max="1397" width="2.5703125" customWidth="1"/>
    <col min="1400" max="1401" width="13.5703125" customWidth="1"/>
    <col min="1404" max="1405" width="2.5703125" customWidth="1"/>
    <col min="1408" max="1409" width="13.5703125" customWidth="1"/>
    <col min="1412" max="1413" width="2.5703125" customWidth="1"/>
    <col min="1416" max="1417" width="13.5703125" customWidth="1"/>
    <col min="1420" max="1421" width="2.5703125" customWidth="1"/>
    <col min="1424" max="1425" width="13.5703125" customWidth="1"/>
    <col min="1428" max="1429" width="2.5703125" customWidth="1"/>
    <col min="1432" max="1433" width="13.5703125" customWidth="1"/>
    <col min="1436" max="1437" width="2.5703125" customWidth="1"/>
    <col min="1440" max="1441" width="13.5703125" customWidth="1"/>
    <col min="1444" max="1445" width="2.5703125" customWidth="1"/>
    <col min="1448" max="1449" width="13.5703125" customWidth="1"/>
    <col min="1452" max="1453" width="2.5703125" customWidth="1"/>
    <col min="1456" max="1457" width="13.5703125" customWidth="1"/>
    <col min="1460" max="1461" width="2.5703125" customWidth="1"/>
    <col min="1464" max="1465" width="13.5703125" customWidth="1"/>
    <col min="1468" max="1469" width="2.5703125" customWidth="1"/>
    <col min="1472" max="1473" width="13.5703125" customWidth="1"/>
    <col min="1476" max="1477" width="2.5703125" customWidth="1"/>
    <col min="1480" max="1481" width="13.5703125" customWidth="1"/>
    <col min="1484" max="1485" width="2.5703125" customWidth="1"/>
    <col min="1488" max="1489" width="13.5703125" customWidth="1"/>
    <col min="1492" max="1493" width="2.5703125" customWidth="1"/>
    <col min="1496" max="1497" width="13.5703125" customWidth="1"/>
    <col min="1500" max="1501" width="2.5703125" customWidth="1"/>
    <col min="1504" max="1505" width="13.5703125" customWidth="1"/>
    <col min="1508" max="1509" width="2.5703125" customWidth="1"/>
    <col min="1512" max="1513" width="13.5703125" customWidth="1"/>
    <col min="1516" max="1517" width="2.5703125" customWidth="1"/>
    <col min="1520" max="1521" width="13.5703125" customWidth="1"/>
    <col min="1524" max="1525" width="2.5703125" customWidth="1"/>
    <col min="1528" max="1529" width="13.5703125" customWidth="1"/>
    <col min="1532" max="1533" width="2.5703125" customWidth="1"/>
    <col min="1536" max="1537" width="13.5703125" customWidth="1"/>
    <col min="1540" max="1541" width="2.5703125" customWidth="1"/>
    <col min="1544" max="1545" width="13.5703125" customWidth="1"/>
    <col min="1548" max="1549" width="2.5703125" customWidth="1"/>
    <col min="1552" max="1553" width="13.5703125" customWidth="1"/>
    <col min="1556" max="1557" width="2.5703125" customWidth="1"/>
    <col min="1560" max="1561" width="13.5703125" customWidth="1"/>
    <col min="1564" max="1565" width="2.5703125" customWidth="1"/>
    <col min="1568" max="1569" width="13.5703125" customWidth="1"/>
    <col min="1572" max="1573" width="2.5703125" customWidth="1"/>
    <col min="1576" max="1577" width="13.5703125" customWidth="1"/>
    <col min="1580" max="1581" width="2.5703125" customWidth="1"/>
    <col min="1584" max="1585" width="13.5703125" customWidth="1"/>
    <col min="1588" max="1589" width="2.5703125" customWidth="1"/>
    <col min="1592" max="1593" width="13.5703125" customWidth="1"/>
    <col min="1596" max="1597" width="2.5703125" customWidth="1"/>
    <col min="1600" max="1601" width="13.5703125" customWidth="1"/>
    <col min="1604" max="1605" width="2.5703125" customWidth="1"/>
    <col min="1608" max="1609" width="13.5703125" customWidth="1"/>
    <col min="1612" max="1613" width="2.5703125" customWidth="1"/>
    <col min="1616" max="1617" width="13.5703125" customWidth="1"/>
    <col min="1620" max="1621" width="2.5703125" customWidth="1"/>
    <col min="1624" max="1625" width="13.5703125" customWidth="1"/>
    <col min="1628" max="1629" width="2.5703125" customWidth="1"/>
    <col min="1632" max="1633" width="13.5703125" customWidth="1"/>
    <col min="1636" max="1637" width="2.5703125" customWidth="1"/>
    <col min="1640" max="1641" width="13.5703125" customWidth="1"/>
    <col min="1644" max="1645" width="2.5703125" customWidth="1"/>
    <col min="1648" max="1649" width="13.5703125" customWidth="1"/>
    <col min="1652" max="1653" width="2.5703125" customWidth="1"/>
    <col min="1656" max="1657" width="13.5703125" customWidth="1"/>
    <col min="1660" max="1661" width="2.5703125" customWidth="1"/>
    <col min="1664" max="1665" width="13.5703125" customWidth="1"/>
    <col min="1668" max="1669" width="2.5703125" customWidth="1"/>
    <col min="1672" max="1673" width="13.5703125" customWidth="1"/>
    <col min="1676" max="1677" width="2.5703125" customWidth="1"/>
    <col min="1680" max="1681" width="13.5703125" customWidth="1"/>
    <col min="1684" max="1685" width="2.5703125" customWidth="1"/>
    <col min="1688" max="1689" width="13.5703125" customWidth="1"/>
    <col min="1692" max="1693" width="2.5703125" customWidth="1"/>
    <col min="1696" max="1697" width="13.5703125" customWidth="1"/>
    <col min="1700" max="1701" width="2.5703125" customWidth="1"/>
    <col min="1704" max="1705" width="13.5703125" customWidth="1"/>
    <col min="1708" max="1709" width="2.5703125" customWidth="1"/>
    <col min="1712" max="1713" width="13.5703125" customWidth="1"/>
    <col min="1716" max="1717" width="2.5703125" customWidth="1"/>
    <col min="1720" max="1721" width="13.5703125" customWidth="1"/>
    <col min="1724" max="1725" width="2.5703125" customWidth="1"/>
    <col min="1728" max="1729" width="13.5703125" customWidth="1"/>
    <col min="1732" max="1733" width="2.5703125" customWidth="1"/>
    <col min="1736" max="1737" width="13.5703125" customWidth="1"/>
    <col min="1740" max="1741" width="2.5703125" customWidth="1"/>
    <col min="1744" max="1745" width="13.5703125" customWidth="1"/>
    <col min="1748" max="1749" width="2.5703125" customWidth="1"/>
    <col min="1752" max="1753" width="13.5703125" customWidth="1"/>
    <col min="1756" max="1757" width="2.5703125" customWidth="1"/>
    <col min="1760" max="1761" width="13.5703125" customWidth="1"/>
    <col min="1764" max="1765" width="2.5703125" customWidth="1"/>
    <col min="1768" max="1769" width="13.5703125" customWidth="1"/>
    <col min="1772" max="1773" width="2.5703125" customWidth="1"/>
    <col min="1776" max="1777" width="13.5703125" customWidth="1"/>
    <col min="1780" max="1781" width="2.5703125" customWidth="1"/>
    <col min="1784" max="1785" width="13.5703125" customWidth="1"/>
    <col min="1788" max="1789" width="2.5703125" customWidth="1"/>
    <col min="1792" max="1793" width="13.5703125" customWidth="1"/>
    <col min="1796" max="1797" width="2.5703125" customWidth="1"/>
    <col min="1800" max="1801" width="13.5703125" customWidth="1"/>
    <col min="1804" max="1805" width="2.5703125" customWidth="1"/>
    <col min="1808" max="1809" width="13.5703125" customWidth="1"/>
    <col min="1812" max="1813" width="2.5703125" customWidth="1"/>
    <col min="1816" max="1817" width="13.5703125" customWidth="1"/>
    <col min="1820" max="1821" width="2.5703125" customWidth="1"/>
    <col min="1824" max="1825" width="13.5703125" customWidth="1"/>
    <col min="1828" max="1829" width="2.5703125" customWidth="1"/>
    <col min="1832" max="1833" width="13.5703125" customWidth="1"/>
    <col min="1836" max="1837" width="2.5703125" customWidth="1"/>
    <col min="1840" max="1841" width="13.5703125" customWidth="1"/>
    <col min="1844" max="1845" width="2.5703125" customWidth="1"/>
    <col min="1848" max="1849" width="13.5703125" customWidth="1"/>
    <col min="1852" max="1853" width="2.5703125" customWidth="1"/>
    <col min="1856" max="1857" width="13.5703125" customWidth="1"/>
    <col min="1860" max="1861" width="2.5703125" customWidth="1"/>
    <col min="1864" max="1865" width="13.5703125" customWidth="1"/>
    <col min="1868" max="1869" width="2.5703125" customWidth="1"/>
    <col min="1872" max="1873" width="13.5703125" customWidth="1"/>
    <col min="1876" max="1877" width="2.5703125" customWidth="1"/>
    <col min="1880" max="1881" width="13.5703125" customWidth="1"/>
    <col min="1884" max="1885" width="2.5703125" customWidth="1"/>
    <col min="1888" max="1889" width="13.5703125" customWidth="1"/>
    <col min="1892" max="1893" width="2.5703125" customWidth="1"/>
    <col min="1896" max="1897" width="13.5703125" customWidth="1"/>
    <col min="1900" max="1901" width="2.5703125" customWidth="1"/>
    <col min="1904" max="1905" width="13.5703125" customWidth="1"/>
    <col min="1908" max="1909" width="2.5703125" customWidth="1"/>
    <col min="1912" max="1913" width="13.5703125" customWidth="1"/>
    <col min="1916" max="1917" width="2.5703125" customWidth="1"/>
    <col min="1920" max="1921" width="13.5703125" customWidth="1"/>
    <col min="1924" max="1925" width="2.5703125" customWidth="1"/>
    <col min="1928" max="1929" width="13.5703125" customWidth="1"/>
    <col min="1932" max="1933" width="2.5703125" customWidth="1"/>
    <col min="1936" max="1937" width="13.5703125" customWidth="1"/>
    <col min="1940" max="1941" width="2.5703125" customWidth="1"/>
    <col min="1944" max="1945" width="13.5703125" customWidth="1"/>
    <col min="1948" max="1949" width="2.5703125" customWidth="1"/>
    <col min="1952" max="1953" width="13.5703125" customWidth="1"/>
    <col min="1956" max="1957" width="2.5703125" customWidth="1"/>
    <col min="1960" max="1961" width="13.5703125" customWidth="1"/>
    <col min="1964" max="1965" width="2.5703125" customWidth="1"/>
    <col min="1968" max="1969" width="13.5703125" customWidth="1"/>
    <col min="1972" max="1973" width="2.5703125" customWidth="1"/>
    <col min="1976" max="1977" width="13.5703125" customWidth="1"/>
    <col min="1980" max="1981" width="2.5703125" customWidth="1"/>
    <col min="1984" max="1985" width="13.5703125" customWidth="1"/>
    <col min="1988" max="1989" width="2.5703125" customWidth="1"/>
    <col min="1992" max="1993" width="13.5703125" customWidth="1"/>
    <col min="1996" max="1997" width="2.5703125" customWidth="1"/>
    <col min="2000" max="2001" width="13.5703125" customWidth="1"/>
    <col min="2004" max="2005" width="2.5703125" customWidth="1"/>
    <col min="2008" max="2009" width="13.5703125" customWidth="1"/>
    <col min="2012" max="2013" width="2.5703125" customWidth="1"/>
    <col min="2016" max="2017" width="13.5703125" customWidth="1"/>
    <col min="2020" max="2021" width="2.5703125" customWidth="1"/>
    <col min="2024" max="2025" width="13.5703125" customWidth="1"/>
    <col min="2028" max="2029" width="2.5703125" customWidth="1"/>
    <col min="2032" max="2033" width="13.5703125" customWidth="1"/>
    <col min="2036" max="2037" width="2.5703125" customWidth="1"/>
    <col min="2040" max="2041" width="13.5703125" customWidth="1"/>
    <col min="2044" max="2045" width="2.5703125" customWidth="1"/>
    <col min="2048" max="2049" width="13.5703125" customWidth="1"/>
    <col min="2052" max="2053" width="2.5703125" customWidth="1"/>
    <col min="2056" max="2057" width="13.5703125" customWidth="1"/>
    <col min="2060" max="2061" width="2.5703125" customWidth="1"/>
    <col min="2064" max="2065" width="13.5703125" customWidth="1"/>
    <col min="2068" max="2069" width="2.5703125" customWidth="1"/>
    <col min="2072" max="2073" width="13.5703125" customWidth="1"/>
    <col min="2076" max="2077" width="2.5703125" customWidth="1"/>
    <col min="2080" max="2081" width="13.5703125" customWidth="1"/>
    <col min="2084" max="2085" width="2.5703125" customWidth="1"/>
    <col min="2088" max="2089" width="13.5703125" customWidth="1"/>
    <col min="2092" max="2093" width="2.5703125" customWidth="1"/>
    <col min="2096" max="2097" width="13.5703125" customWidth="1"/>
    <col min="2100" max="2101" width="2.5703125" customWidth="1"/>
    <col min="2104" max="2105" width="13.5703125" customWidth="1"/>
    <col min="2108" max="2109" width="2.5703125" customWidth="1"/>
    <col min="2112" max="2113" width="13.5703125" customWidth="1"/>
    <col min="2116" max="2117" width="2.5703125" customWidth="1"/>
    <col min="2120" max="2121" width="13.5703125" customWidth="1"/>
    <col min="2124" max="2125" width="2.5703125" customWidth="1"/>
    <col min="2128" max="2129" width="13.5703125" customWidth="1"/>
    <col min="2132" max="2133" width="2.5703125" customWidth="1"/>
    <col min="2136" max="2137" width="13.5703125" customWidth="1"/>
    <col min="2140" max="2141" width="2.5703125" customWidth="1"/>
    <col min="2144" max="2145" width="13.5703125" customWidth="1"/>
    <col min="2148" max="2149" width="2.5703125" customWidth="1"/>
    <col min="2152" max="2153" width="13.5703125" customWidth="1"/>
    <col min="2156" max="2157" width="2.5703125" customWidth="1"/>
    <col min="2160" max="2161" width="13.5703125" customWidth="1"/>
    <col min="2164" max="2165" width="2.5703125" customWidth="1"/>
    <col min="2168" max="2169" width="13.5703125" customWidth="1"/>
    <col min="2172" max="2173" width="2.5703125" customWidth="1"/>
    <col min="2176" max="2177" width="13.5703125" customWidth="1"/>
    <col min="2180" max="2181" width="2.5703125" customWidth="1"/>
    <col min="2184" max="2185" width="13.5703125" customWidth="1"/>
    <col min="2188" max="2189" width="2.5703125" customWidth="1"/>
    <col min="2192" max="2193" width="13.5703125" customWidth="1"/>
    <col min="2196" max="2197" width="2.5703125" customWidth="1"/>
    <col min="2200" max="2201" width="13.5703125" customWidth="1"/>
    <col min="2204" max="2205" width="2.5703125" customWidth="1"/>
    <col min="2208" max="2209" width="13.5703125" customWidth="1"/>
    <col min="2212" max="2213" width="2.5703125" customWidth="1"/>
    <col min="2216" max="2217" width="13.5703125" customWidth="1"/>
    <col min="2220" max="2221" width="2.5703125" customWidth="1"/>
    <col min="2224" max="2225" width="13.5703125" customWidth="1"/>
    <col min="2228" max="2229" width="2.5703125" customWidth="1"/>
    <col min="2232" max="2233" width="13.5703125" customWidth="1"/>
    <col min="2236" max="2237" width="2.5703125" customWidth="1"/>
    <col min="2240" max="2241" width="13.5703125" customWidth="1"/>
    <col min="2244" max="2245" width="2.5703125" customWidth="1"/>
    <col min="2248" max="2249" width="13.5703125" customWidth="1"/>
    <col min="2252" max="2253" width="2.5703125" customWidth="1"/>
    <col min="2256" max="2257" width="13.5703125" customWidth="1"/>
    <col min="2260" max="2261" width="2.5703125" customWidth="1"/>
    <col min="2264" max="2265" width="13.5703125" customWidth="1"/>
    <col min="2268" max="2269" width="2.5703125" customWidth="1"/>
    <col min="2272" max="2273" width="13.5703125" customWidth="1"/>
    <col min="2276" max="2277" width="2.5703125" customWidth="1"/>
    <col min="2280" max="2281" width="13.5703125" customWidth="1"/>
    <col min="2284" max="2285" width="2.5703125" customWidth="1"/>
    <col min="2288" max="2289" width="13.5703125" customWidth="1"/>
    <col min="2292" max="2293" width="2.5703125" customWidth="1"/>
    <col min="2296" max="2297" width="13.5703125" customWidth="1"/>
    <col min="2300" max="2301" width="2.5703125" customWidth="1"/>
    <col min="2304" max="2305" width="13.5703125" customWidth="1"/>
    <col min="2308" max="2309" width="2.5703125" customWidth="1"/>
    <col min="2312" max="2313" width="13.5703125" customWidth="1"/>
    <col min="2316" max="2317" width="2.5703125" customWidth="1"/>
    <col min="2320" max="2321" width="13.5703125" customWidth="1"/>
    <col min="2324" max="2325" width="2.5703125" customWidth="1"/>
    <col min="2328" max="2329" width="13.5703125" customWidth="1"/>
    <col min="2332" max="2333" width="2.5703125" customWidth="1"/>
    <col min="2336" max="2337" width="13.5703125" customWidth="1"/>
    <col min="2340" max="2341" width="2.5703125" customWidth="1"/>
    <col min="2344" max="2345" width="13.5703125" customWidth="1"/>
    <col min="2348" max="2349" width="2.5703125" customWidth="1"/>
    <col min="2352" max="2353" width="13.5703125" customWidth="1"/>
    <col min="2356" max="2357" width="2.5703125" customWidth="1"/>
    <col min="2360" max="2361" width="13.5703125" customWidth="1"/>
    <col min="2364" max="2365" width="2.5703125" customWidth="1"/>
    <col min="2368" max="2369" width="13.5703125" customWidth="1"/>
    <col min="2372" max="2373" width="2.5703125" customWidth="1"/>
    <col min="2376" max="2377" width="13.5703125" customWidth="1"/>
    <col min="2380" max="2381" width="2.5703125" customWidth="1"/>
    <col min="2384" max="2385" width="13.5703125" customWidth="1"/>
    <col min="2388" max="2389" width="2.5703125" customWidth="1"/>
    <col min="2392" max="2393" width="13.5703125" customWidth="1"/>
    <col min="2396" max="2397" width="2.5703125" customWidth="1"/>
    <col min="2400" max="2401" width="13.5703125" customWidth="1"/>
    <col min="2404" max="2405" width="2.5703125" customWidth="1"/>
    <col min="2408" max="2409" width="13.5703125" customWidth="1"/>
    <col min="2412" max="2413" width="2.5703125" customWidth="1"/>
    <col min="2416" max="2417" width="13.5703125" customWidth="1"/>
    <col min="2420" max="2421" width="2.5703125" customWidth="1"/>
    <col min="2424" max="2425" width="13.5703125" customWidth="1"/>
    <col min="2428" max="2429" width="2.5703125" customWidth="1"/>
    <col min="2432" max="2433" width="13.5703125" customWidth="1"/>
    <col min="2436" max="2437" width="2.5703125" customWidth="1"/>
    <col min="2440" max="2441" width="13.5703125" customWidth="1"/>
    <col min="2444" max="2445" width="2.5703125" customWidth="1"/>
    <col min="2448" max="2449" width="13.5703125" customWidth="1"/>
    <col min="2452" max="2453" width="2.5703125" customWidth="1"/>
    <col min="2456" max="2457" width="13.5703125" customWidth="1"/>
    <col min="2460" max="2461" width="2.5703125" customWidth="1"/>
    <col min="2464" max="2465" width="13.5703125" customWidth="1"/>
    <col min="2468" max="2469" width="2.5703125" customWidth="1"/>
    <col min="2472" max="2473" width="13.5703125" customWidth="1"/>
    <col min="2476" max="2477" width="2.5703125" customWidth="1"/>
    <col min="2480" max="2481" width="13.5703125" customWidth="1"/>
    <col min="2484" max="2485" width="2.5703125" customWidth="1"/>
    <col min="2488" max="2489" width="13.5703125" customWidth="1"/>
    <col min="2492" max="2493" width="2.5703125" customWidth="1"/>
    <col min="2496" max="2497" width="13.5703125" customWidth="1"/>
    <col min="2500" max="2501" width="2.5703125" customWidth="1"/>
    <col min="2504" max="2505" width="13.5703125" customWidth="1"/>
    <col min="2508" max="2509" width="2.5703125" customWidth="1"/>
    <col min="2512" max="2513" width="13.5703125" customWidth="1"/>
    <col min="2516" max="2517" width="2.5703125" customWidth="1"/>
    <col min="2520" max="2521" width="13.5703125" customWidth="1"/>
    <col min="2524" max="2525" width="2.5703125" customWidth="1"/>
    <col min="2528" max="2529" width="13.5703125" customWidth="1"/>
    <col min="2532" max="2533" width="2.5703125" customWidth="1"/>
    <col min="2536" max="2537" width="13.5703125" customWidth="1"/>
    <col min="2540" max="2541" width="2.5703125" customWidth="1"/>
    <col min="2544" max="2545" width="13.5703125" customWidth="1"/>
    <col min="2548" max="2549" width="2.5703125" customWidth="1"/>
    <col min="2552" max="2553" width="13.5703125" customWidth="1"/>
    <col min="2556" max="2557" width="2.5703125" customWidth="1"/>
    <col min="2560" max="2561" width="13.5703125" customWidth="1"/>
    <col min="2564" max="2565" width="2.5703125" customWidth="1"/>
    <col min="2568" max="2569" width="13.5703125" customWidth="1"/>
    <col min="2572" max="2573" width="2.5703125" customWidth="1"/>
    <col min="2576" max="2577" width="13.5703125" customWidth="1"/>
    <col min="2580" max="2581" width="2.5703125" customWidth="1"/>
    <col min="2584" max="2585" width="13.5703125" customWidth="1"/>
    <col min="2588" max="2589" width="2.5703125" customWidth="1"/>
    <col min="2592" max="2593" width="13.5703125" customWidth="1"/>
    <col min="2596" max="2597" width="2.5703125" customWidth="1"/>
    <col min="2600" max="2601" width="13.5703125" customWidth="1"/>
    <col min="2604" max="2605" width="2.5703125" customWidth="1"/>
    <col min="2608" max="2609" width="13.5703125" customWidth="1"/>
    <col min="2612" max="2613" width="2.5703125" customWidth="1"/>
    <col min="2616" max="2617" width="13.5703125" customWidth="1"/>
    <col min="2620" max="2621" width="2.5703125" customWidth="1"/>
    <col min="2624" max="2625" width="13.5703125" customWidth="1"/>
    <col min="2628" max="2629" width="2.5703125" customWidth="1"/>
    <col min="2632" max="2633" width="13.5703125" customWidth="1"/>
    <col min="2636" max="2637" width="2.5703125" customWidth="1"/>
    <col min="2640" max="2641" width="13.5703125" customWidth="1"/>
    <col min="2644" max="2645" width="2.5703125" customWidth="1"/>
    <col min="2648" max="2649" width="13.5703125" customWidth="1"/>
    <col min="2652" max="2653" width="2.5703125" customWidth="1"/>
    <col min="2656" max="2657" width="13.5703125" customWidth="1"/>
    <col min="2660" max="2661" width="2.5703125" customWidth="1"/>
    <col min="2664" max="2665" width="13.5703125" customWidth="1"/>
    <col min="2668" max="2669" width="2.5703125" customWidth="1"/>
    <col min="2672" max="2673" width="13.5703125" customWidth="1"/>
    <col min="2676" max="2677" width="2.5703125" customWidth="1"/>
    <col min="2680" max="2681" width="13.5703125" customWidth="1"/>
    <col min="2684" max="2685" width="2.5703125" customWidth="1"/>
    <col min="2688" max="2689" width="13.5703125" customWidth="1"/>
    <col min="2692" max="2693" width="2.5703125" customWidth="1"/>
    <col min="2696" max="2697" width="13.5703125" customWidth="1"/>
    <col min="2700" max="2701" width="2.5703125" customWidth="1"/>
    <col min="2704" max="2705" width="13.5703125" customWidth="1"/>
    <col min="2708" max="2709" width="2.5703125" customWidth="1"/>
    <col min="2712" max="2713" width="13.5703125" customWidth="1"/>
    <col min="2716" max="2717" width="2.5703125" customWidth="1"/>
    <col min="2720" max="2721" width="13.5703125" customWidth="1"/>
    <col min="2724" max="2725" width="2.5703125" customWidth="1"/>
    <col min="2728" max="2729" width="13.5703125" customWidth="1"/>
    <col min="2732" max="2733" width="2.5703125" customWidth="1"/>
    <col min="2736" max="2737" width="13.5703125" customWidth="1"/>
    <col min="2740" max="2741" width="2.5703125" customWidth="1"/>
    <col min="2744" max="2745" width="13.5703125" customWidth="1"/>
    <col min="2748" max="2749" width="2.5703125" customWidth="1"/>
    <col min="2752" max="2753" width="13.5703125" customWidth="1"/>
    <col min="2756" max="2757" width="2.5703125" customWidth="1"/>
    <col min="2760" max="2761" width="13.5703125" customWidth="1"/>
    <col min="2764" max="2765" width="2.5703125" customWidth="1"/>
    <col min="2768" max="2769" width="13.5703125" customWidth="1"/>
    <col min="2772" max="2773" width="2.5703125" customWidth="1"/>
    <col min="2776" max="2777" width="13.5703125" customWidth="1"/>
    <col min="2780" max="2781" width="2.5703125" customWidth="1"/>
    <col min="2784" max="2785" width="13.5703125" customWidth="1"/>
    <col min="2788" max="2789" width="2.5703125" customWidth="1"/>
    <col min="2792" max="2793" width="13.5703125" customWidth="1"/>
    <col min="2796" max="2797" width="2.5703125" customWidth="1"/>
    <col min="2800" max="2801" width="13.5703125" customWidth="1"/>
    <col min="2804" max="2805" width="2.5703125" customWidth="1"/>
    <col min="2808" max="2809" width="13.5703125" customWidth="1"/>
    <col min="2812" max="2813" width="2.5703125" customWidth="1"/>
    <col min="2816" max="2817" width="13.5703125" customWidth="1"/>
    <col min="2820" max="2821" width="2.5703125" customWidth="1"/>
    <col min="2824" max="2825" width="13.5703125" customWidth="1"/>
    <col min="2828" max="2829" width="2.5703125" customWidth="1"/>
    <col min="2832" max="2833" width="13.5703125" customWidth="1"/>
    <col min="2836" max="2837" width="2.5703125" customWidth="1"/>
    <col min="2840" max="2841" width="13.5703125" customWidth="1"/>
    <col min="2844" max="2845" width="2.5703125" customWidth="1"/>
    <col min="2848" max="2849" width="13.5703125" customWidth="1"/>
    <col min="2852" max="2853" width="2.5703125" customWidth="1"/>
    <col min="2856" max="2857" width="13.5703125" customWidth="1"/>
    <col min="2860" max="2861" width="2.5703125" customWidth="1"/>
    <col min="2864" max="2865" width="13.5703125" customWidth="1"/>
    <col min="2868" max="2869" width="2.5703125" customWidth="1"/>
    <col min="2872" max="2873" width="13.5703125" customWidth="1"/>
    <col min="2876" max="2877" width="2.5703125" customWidth="1"/>
    <col min="2880" max="2881" width="13.5703125" customWidth="1"/>
    <col min="2884" max="2885" width="2.5703125" customWidth="1"/>
    <col min="2888" max="2889" width="13.5703125" customWidth="1"/>
    <col min="2892" max="2893" width="2.5703125" customWidth="1"/>
    <col min="2896" max="2897" width="13.5703125" customWidth="1"/>
    <col min="2900" max="2901" width="2.5703125" customWidth="1"/>
    <col min="2904" max="2905" width="13.5703125" customWidth="1"/>
    <col min="2908" max="2909" width="2.5703125" customWidth="1"/>
    <col min="2912" max="2913" width="13.5703125" customWidth="1"/>
    <col min="2916" max="2917" width="2.5703125" customWidth="1"/>
    <col min="2920" max="2921" width="13.5703125" customWidth="1"/>
    <col min="2924" max="2925" width="2.5703125" customWidth="1"/>
    <col min="2928" max="2929" width="13.5703125" customWidth="1"/>
    <col min="2932" max="2933" width="2.5703125" customWidth="1"/>
    <col min="2936" max="2937" width="13.5703125" customWidth="1"/>
    <col min="2940" max="2941" width="2.5703125" customWidth="1"/>
    <col min="2944" max="2945" width="13.5703125" customWidth="1"/>
    <col min="2948" max="2949" width="2.5703125" customWidth="1"/>
    <col min="2952" max="2953" width="13.5703125" customWidth="1"/>
    <col min="2956" max="2957" width="2.5703125" customWidth="1"/>
    <col min="2960" max="2961" width="13.5703125" customWidth="1"/>
    <col min="2964" max="2965" width="2.5703125" customWidth="1"/>
    <col min="2968" max="2969" width="13.5703125" customWidth="1"/>
    <col min="2972" max="2973" width="2.5703125" customWidth="1"/>
    <col min="2976" max="2977" width="13.5703125" customWidth="1"/>
    <col min="2980" max="2981" width="2.5703125" customWidth="1"/>
    <col min="2984" max="2985" width="13.5703125" customWidth="1"/>
    <col min="2988" max="2989" width="2.5703125" customWidth="1"/>
    <col min="2992" max="2993" width="13.5703125" customWidth="1"/>
    <col min="2996" max="2997" width="2.5703125" customWidth="1"/>
    <col min="3000" max="3001" width="13.5703125" customWidth="1"/>
    <col min="3004" max="3005" width="2.5703125" customWidth="1"/>
    <col min="3008" max="3009" width="13.5703125" customWidth="1"/>
    <col min="3012" max="3013" width="2.5703125" customWidth="1"/>
    <col min="3016" max="3017" width="13.5703125" customWidth="1"/>
    <col min="3020" max="3021" width="2.5703125" customWidth="1"/>
    <col min="3024" max="3025" width="13.5703125" customWidth="1"/>
    <col min="3028" max="3029" width="2.5703125" customWidth="1"/>
    <col min="3032" max="3033" width="13.5703125" customWidth="1"/>
    <col min="3036" max="3037" width="2.5703125" customWidth="1"/>
    <col min="3040" max="3041" width="13.5703125" customWidth="1"/>
    <col min="3044" max="3045" width="2.5703125" customWidth="1"/>
    <col min="3048" max="3049" width="13.5703125" customWidth="1"/>
    <col min="3052" max="3053" width="2.5703125" customWidth="1"/>
    <col min="3056" max="3057" width="13.5703125" customWidth="1"/>
    <col min="3060" max="3061" width="2.5703125" customWidth="1"/>
    <col min="3064" max="3065" width="13.5703125" customWidth="1"/>
    <col min="3068" max="3069" width="2.5703125" customWidth="1"/>
    <col min="3072" max="3073" width="13.5703125" customWidth="1"/>
    <col min="3076" max="3077" width="2.5703125" customWidth="1"/>
    <col min="3080" max="3081" width="13.5703125" customWidth="1"/>
    <col min="3084" max="3085" width="2.5703125" customWidth="1"/>
    <col min="3088" max="3089" width="13.5703125" customWidth="1"/>
    <col min="3092" max="3093" width="2.5703125" customWidth="1"/>
    <col min="3096" max="3097" width="13.5703125" customWidth="1"/>
    <col min="3100" max="3101" width="2.5703125" customWidth="1"/>
    <col min="3104" max="3105" width="13.5703125" customWidth="1"/>
    <col min="3108" max="3109" width="2.5703125" customWidth="1"/>
    <col min="3112" max="3113" width="13.5703125" customWidth="1"/>
    <col min="3116" max="3117" width="2.5703125" customWidth="1"/>
    <col min="3120" max="3121" width="13.5703125" customWidth="1"/>
    <col min="3124" max="3125" width="2.5703125" customWidth="1"/>
    <col min="3128" max="3129" width="13.5703125" customWidth="1"/>
    <col min="3132" max="3133" width="2.5703125" customWidth="1"/>
    <col min="3136" max="3137" width="13.5703125" customWidth="1"/>
    <col min="3140" max="3141" width="2.5703125" customWidth="1"/>
    <col min="3144" max="3145" width="13.5703125" customWidth="1"/>
    <col min="3148" max="3149" width="2.5703125" customWidth="1"/>
    <col min="3152" max="3153" width="13.5703125" customWidth="1"/>
    <col min="3156" max="3157" width="2.5703125" customWidth="1"/>
    <col min="3160" max="3161" width="13.5703125" customWidth="1"/>
    <col min="3164" max="3165" width="2.5703125" customWidth="1"/>
    <col min="3168" max="3169" width="13.5703125" customWidth="1"/>
    <col min="3172" max="3173" width="2.5703125" customWidth="1"/>
    <col min="3176" max="3177" width="13.5703125" customWidth="1"/>
    <col min="3180" max="3181" width="2.5703125" customWidth="1"/>
    <col min="3184" max="3185" width="13.5703125" customWidth="1"/>
    <col min="3188" max="3189" width="2.5703125" customWidth="1"/>
    <col min="3192" max="3193" width="13.5703125" customWidth="1"/>
    <col min="3196" max="3197" width="2.5703125" customWidth="1"/>
    <col min="3200" max="3201" width="13.5703125" customWidth="1"/>
    <col min="3204" max="3205" width="2.5703125" customWidth="1"/>
    <col min="3208" max="3209" width="13.5703125" customWidth="1"/>
    <col min="3212" max="3213" width="2.5703125" customWidth="1"/>
    <col min="3216" max="3217" width="13.5703125" customWidth="1"/>
    <col min="3220" max="3221" width="2.5703125" customWidth="1"/>
    <col min="3224" max="3225" width="13.5703125" customWidth="1"/>
    <col min="3228" max="3229" width="2.5703125" customWidth="1"/>
    <col min="3232" max="3233" width="13.5703125" customWidth="1"/>
    <col min="3236" max="3237" width="2.5703125" customWidth="1"/>
    <col min="3240" max="3241" width="13.5703125" customWidth="1"/>
    <col min="3244" max="3245" width="2.5703125" customWidth="1"/>
    <col min="3248" max="3249" width="13.5703125" customWidth="1"/>
    <col min="3252" max="3253" width="2.5703125" customWidth="1"/>
    <col min="3256" max="3257" width="13.5703125" customWidth="1"/>
    <col min="3260" max="3261" width="2.5703125" customWidth="1"/>
    <col min="3264" max="3265" width="13.5703125" customWidth="1"/>
    <col min="3268" max="3269" width="2.5703125" customWidth="1"/>
    <col min="3272" max="3273" width="13.5703125" customWidth="1"/>
    <col min="3276" max="3277" width="2.5703125" customWidth="1"/>
    <col min="3280" max="3281" width="13.5703125" customWidth="1"/>
    <col min="3284" max="3285" width="2.5703125" customWidth="1"/>
    <col min="3288" max="3289" width="13.5703125" customWidth="1"/>
    <col min="3292" max="3293" width="2.5703125" customWidth="1"/>
    <col min="3296" max="3297" width="13.5703125" customWidth="1"/>
    <col min="3300" max="3301" width="2.5703125" customWidth="1"/>
    <col min="3304" max="3305" width="13.5703125" customWidth="1"/>
    <col min="3308" max="3309" width="2.5703125" customWidth="1"/>
    <col min="3312" max="3313" width="13.5703125" customWidth="1"/>
    <col min="3316" max="3317" width="2.5703125" customWidth="1"/>
    <col min="3320" max="3321" width="13.5703125" customWidth="1"/>
    <col min="3324" max="3325" width="2.5703125" customWidth="1"/>
    <col min="3328" max="3329" width="13.5703125" customWidth="1"/>
    <col min="3332" max="3333" width="2.5703125" customWidth="1"/>
    <col min="3336" max="3337" width="13.5703125" customWidth="1"/>
    <col min="3340" max="3341" width="2.5703125" customWidth="1"/>
    <col min="3344" max="3345" width="13.5703125" customWidth="1"/>
    <col min="3348" max="3349" width="2.5703125" customWidth="1"/>
    <col min="3352" max="3353" width="13.5703125" customWidth="1"/>
    <col min="3356" max="3357" width="2.5703125" customWidth="1"/>
    <col min="3360" max="3361" width="13.5703125" customWidth="1"/>
    <col min="3364" max="3365" width="2.5703125" customWidth="1"/>
    <col min="3368" max="3369" width="13.5703125" customWidth="1"/>
    <col min="3372" max="3373" width="2.5703125" customWidth="1"/>
    <col min="3376" max="3377" width="13.5703125" customWidth="1"/>
    <col min="3380" max="3381" width="2.5703125" customWidth="1"/>
    <col min="3384" max="3385" width="13.5703125" customWidth="1"/>
    <col min="3388" max="3389" width="2.5703125" customWidth="1"/>
    <col min="3392" max="3393" width="13.5703125" customWidth="1"/>
    <col min="3396" max="3397" width="2.5703125" customWidth="1"/>
    <col min="3400" max="3401" width="13.5703125" customWidth="1"/>
    <col min="3404" max="3405" width="2.5703125" customWidth="1"/>
    <col min="3408" max="3409" width="13.5703125" customWidth="1"/>
    <col min="3412" max="3413" width="2.5703125" customWidth="1"/>
    <col min="3416" max="3417" width="13.5703125" customWidth="1"/>
    <col min="3420" max="3421" width="2.5703125" customWidth="1"/>
    <col min="3424" max="3425" width="13.5703125" customWidth="1"/>
    <col min="3428" max="3429" width="2.5703125" customWidth="1"/>
    <col min="3432" max="3433" width="13.5703125" customWidth="1"/>
    <col min="3436" max="3437" width="2.5703125" customWidth="1"/>
    <col min="3440" max="3441" width="13.5703125" customWidth="1"/>
    <col min="3444" max="3445" width="2.5703125" customWidth="1"/>
    <col min="3448" max="3449" width="13.5703125" customWidth="1"/>
    <col min="3452" max="3453" width="2.5703125" customWidth="1"/>
    <col min="3456" max="3457" width="13.5703125" customWidth="1"/>
    <col min="3460" max="3461" width="2.5703125" customWidth="1"/>
    <col min="3464" max="3465" width="13.5703125" customWidth="1"/>
    <col min="3468" max="3469" width="2.5703125" customWidth="1"/>
    <col min="3472" max="3473" width="13.5703125" customWidth="1"/>
    <col min="3476" max="3477" width="2.5703125" customWidth="1"/>
    <col min="3480" max="3481" width="13.5703125" customWidth="1"/>
    <col min="3484" max="3485" width="2.5703125" customWidth="1"/>
    <col min="3488" max="3489" width="13.5703125" customWidth="1"/>
    <col min="3492" max="3493" width="2.5703125" customWidth="1"/>
    <col min="3496" max="3497" width="13.5703125" customWidth="1"/>
    <col min="3500" max="3501" width="2.5703125" customWidth="1"/>
    <col min="3504" max="3505" width="13.5703125" customWidth="1"/>
    <col min="3508" max="3509" width="2.5703125" customWidth="1"/>
    <col min="3512" max="3513" width="13.5703125" customWidth="1"/>
    <col min="3516" max="3517" width="2.5703125" customWidth="1"/>
    <col min="3520" max="3521" width="13.5703125" customWidth="1"/>
    <col min="3524" max="3525" width="2.5703125" customWidth="1"/>
    <col min="3528" max="3529" width="13.5703125" customWidth="1"/>
    <col min="3532" max="3533" width="2.5703125" customWidth="1"/>
    <col min="3536" max="3537" width="13.5703125" customWidth="1"/>
    <col min="3540" max="3541" width="2.5703125" customWidth="1"/>
    <col min="3544" max="3545" width="13.5703125" customWidth="1"/>
    <col min="3548" max="3549" width="2.5703125" customWidth="1"/>
    <col min="3552" max="3553" width="13.5703125" customWidth="1"/>
    <col min="3556" max="3557" width="2.5703125" customWidth="1"/>
    <col min="3560" max="3561" width="13.5703125" customWidth="1"/>
    <col min="3564" max="3565" width="2.5703125" customWidth="1"/>
    <col min="3568" max="3569" width="13.5703125" customWidth="1"/>
    <col min="3572" max="3573" width="2.5703125" customWidth="1"/>
    <col min="3576" max="3577" width="13.5703125" customWidth="1"/>
    <col min="3580" max="3581" width="2.5703125" customWidth="1"/>
    <col min="3584" max="3585" width="13.5703125" customWidth="1"/>
    <col min="3588" max="3589" width="2.5703125" customWidth="1"/>
    <col min="3592" max="3593" width="13.5703125" customWidth="1"/>
    <col min="3596" max="3597" width="2.5703125" customWidth="1"/>
    <col min="3600" max="3601" width="13.5703125" customWidth="1"/>
    <col min="3604" max="3605" width="2.5703125" customWidth="1"/>
    <col min="3608" max="3609" width="13.5703125" customWidth="1"/>
    <col min="3612" max="3613" width="2.5703125" customWidth="1"/>
    <col min="3616" max="3617" width="13.5703125" customWidth="1"/>
    <col min="3620" max="3621" width="2.5703125" customWidth="1"/>
    <col min="3624" max="3625" width="13.5703125" customWidth="1"/>
    <col min="3628" max="3629" width="2.5703125" customWidth="1"/>
    <col min="3632" max="3633" width="13.5703125" customWidth="1"/>
    <col min="3636" max="3637" width="2.5703125" customWidth="1"/>
    <col min="3640" max="3641" width="13.5703125" customWidth="1"/>
    <col min="3644" max="3645" width="2.5703125" customWidth="1"/>
    <col min="3648" max="3649" width="13.5703125" customWidth="1"/>
    <col min="3652" max="3653" width="2.5703125" customWidth="1"/>
    <col min="3656" max="3657" width="13.5703125" customWidth="1"/>
    <col min="3660" max="3661" width="2.5703125" customWidth="1"/>
    <col min="3664" max="3665" width="13.5703125" customWidth="1"/>
    <col min="3668" max="3669" width="2.5703125" customWidth="1"/>
    <col min="3672" max="3673" width="13.5703125" customWidth="1"/>
    <col min="3676" max="3677" width="2.5703125" customWidth="1"/>
    <col min="3680" max="3681" width="13.5703125" customWidth="1"/>
    <col min="3684" max="3685" width="2.5703125" customWidth="1"/>
    <col min="3688" max="3689" width="13.5703125" customWidth="1"/>
    <col min="3692" max="3693" width="2.5703125" customWidth="1"/>
    <col min="3696" max="3697" width="13.5703125" customWidth="1"/>
    <col min="3700" max="3701" width="2.5703125" customWidth="1"/>
    <col min="3704" max="3705" width="13.5703125" customWidth="1"/>
    <col min="3708" max="3709" width="2.5703125" customWidth="1"/>
    <col min="3712" max="3713" width="13.5703125" customWidth="1"/>
    <col min="3716" max="3717" width="2.5703125" customWidth="1"/>
    <col min="3720" max="3721" width="13.5703125" customWidth="1"/>
    <col min="3724" max="3725" width="2.5703125" customWidth="1"/>
    <col min="3728" max="3729" width="13.5703125" customWidth="1"/>
    <col min="3732" max="3733" width="2.5703125" customWidth="1"/>
    <col min="3736" max="3737" width="13.5703125" customWidth="1"/>
    <col min="3740" max="3741" width="2.5703125" customWidth="1"/>
    <col min="3744" max="3745" width="13.5703125" customWidth="1"/>
    <col min="3748" max="3749" width="2.5703125" customWidth="1"/>
    <col min="3752" max="3753" width="13.5703125" customWidth="1"/>
    <col min="3756" max="3757" width="2.5703125" customWidth="1"/>
    <col min="3760" max="3761" width="13.5703125" customWidth="1"/>
    <col min="3764" max="3765" width="2.5703125" customWidth="1"/>
    <col min="3768" max="3769" width="13.5703125" customWidth="1"/>
    <col min="3772" max="3773" width="2.5703125" customWidth="1"/>
    <col min="3776" max="3777" width="13.5703125" customWidth="1"/>
    <col min="3780" max="3781" width="2.5703125" customWidth="1"/>
    <col min="3784" max="3785" width="13.5703125" customWidth="1"/>
    <col min="3788" max="3789" width="2.5703125" customWidth="1"/>
    <col min="3792" max="3793" width="13.5703125" customWidth="1"/>
    <col min="3796" max="3797" width="2.5703125" customWidth="1"/>
    <col min="3800" max="3801" width="13.5703125" customWidth="1"/>
    <col min="3804" max="3805" width="2.5703125" customWidth="1"/>
    <col min="3808" max="3809" width="13.5703125" customWidth="1"/>
    <col min="3812" max="3813" width="2.5703125" customWidth="1"/>
    <col min="3816" max="3817" width="13.5703125" customWidth="1"/>
    <col min="3820" max="3821" width="2.5703125" customWidth="1"/>
    <col min="3824" max="3825" width="13.5703125" customWidth="1"/>
    <col min="3828" max="3829" width="2.5703125" customWidth="1"/>
    <col min="3832" max="3833" width="13.5703125" customWidth="1"/>
    <col min="3836" max="3837" width="2.5703125" customWidth="1"/>
    <col min="3840" max="3841" width="13.5703125" customWidth="1"/>
    <col min="3844" max="3845" width="2.5703125" customWidth="1"/>
    <col min="3848" max="3849" width="13.5703125" customWidth="1"/>
    <col min="3852" max="3853" width="2.5703125" customWidth="1"/>
    <col min="3856" max="3857" width="13.5703125" customWidth="1"/>
    <col min="3860" max="3861" width="2.5703125" customWidth="1"/>
    <col min="3864" max="3865" width="13.5703125" customWidth="1"/>
    <col min="3868" max="3869" width="2.5703125" customWidth="1"/>
    <col min="3872" max="3873" width="13.5703125" customWidth="1"/>
    <col min="3876" max="3877" width="2.5703125" customWidth="1"/>
    <col min="3880" max="3881" width="13.5703125" customWidth="1"/>
    <col min="3884" max="3885" width="2.5703125" customWidth="1"/>
    <col min="3888" max="3889" width="13.5703125" customWidth="1"/>
    <col min="3892" max="3893" width="2.5703125" customWidth="1"/>
    <col min="3896" max="3897" width="13.5703125" customWidth="1"/>
    <col min="3900" max="3901" width="2.5703125" customWidth="1"/>
    <col min="3904" max="3905" width="13.5703125" customWidth="1"/>
    <col min="3908" max="3909" width="2.5703125" customWidth="1"/>
    <col min="3912" max="3913" width="13.5703125" customWidth="1"/>
    <col min="3916" max="3917" width="2.5703125" customWidth="1"/>
    <col min="3920" max="3921" width="13.5703125" customWidth="1"/>
    <col min="3924" max="3925" width="2.5703125" customWidth="1"/>
    <col min="3928" max="3929" width="13.5703125" customWidth="1"/>
    <col min="3932" max="3933" width="2.5703125" customWidth="1"/>
    <col min="3936" max="3937" width="13.5703125" customWidth="1"/>
    <col min="3940" max="3941" width="2.5703125" customWidth="1"/>
    <col min="3944" max="3945" width="13.5703125" customWidth="1"/>
    <col min="3948" max="3949" width="2.5703125" customWidth="1"/>
    <col min="3952" max="3953" width="13.5703125" customWidth="1"/>
    <col min="3956" max="3957" width="2.5703125" customWidth="1"/>
    <col min="3960" max="3961" width="13.5703125" customWidth="1"/>
    <col min="3964" max="3965" width="2.5703125" customWidth="1"/>
    <col min="3968" max="3969" width="13.5703125" customWidth="1"/>
    <col min="3972" max="3973" width="2.5703125" customWidth="1"/>
    <col min="3976" max="3977" width="13.5703125" customWidth="1"/>
    <col min="3980" max="3981" width="2.5703125" customWidth="1"/>
    <col min="3984" max="3985" width="13.5703125" customWidth="1"/>
    <col min="3988" max="3989" width="2.5703125" customWidth="1"/>
    <col min="3992" max="3993" width="13.5703125" customWidth="1"/>
    <col min="3996" max="3997" width="2.5703125" customWidth="1"/>
    <col min="4000" max="4001" width="13.5703125" customWidth="1"/>
    <col min="4004" max="4005" width="2.5703125" customWidth="1"/>
    <col min="4008" max="4009" width="13.5703125" customWidth="1"/>
    <col min="4012" max="4013" width="2.5703125" customWidth="1"/>
    <col min="4016" max="4017" width="13.5703125" customWidth="1"/>
    <col min="4020" max="4021" width="2.5703125" customWidth="1"/>
    <col min="4024" max="4025" width="13.5703125" customWidth="1"/>
    <col min="4028" max="4029" width="2.5703125" customWidth="1"/>
    <col min="4032" max="4033" width="13.5703125" customWidth="1"/>
    <col min="4036" max="4037" width="2.5703125" customWidth="1"/>
    <col min="4040" max="4041" width="13.5703125" customWidth="1"/>
    <col min="4044" max="4045" width="2.5703125" customWidth="1"/>
    <col min="4048" max="4049" width="13.5703125" customWidth="1"/>
    <col min="4052" max="4053" width="2.5703125" customWidth="1"/>
    <col min="4056" max="4057" width="13.5703125" customWidth="1"/>
    <col min="4060" max="4061" width="2.5703125" customWidth="1"/>
    <col min="4064" max="4065" width="13.5703125" customWidth="1"/>
    <col min="4068" max="4069" width="2.5703125" customWidth="1"/>
    <col min="4072" max="4073" width="13.5703125" customWidth="1"/>
    <col min="4076" max="4077" width="2.5703125" customWidth="1"/>
    <col min="4080" max="4081" width="13.5703125" customWidth="1"/>
    <col min="4084" max="4085" width="2.5703125" customWidth="1"/>
    <col min="4088" max="4089" width="13.5703125" customWidth="1"/>
    <col min="4092" max="4093" width="2.5703125" customWidth="1"/>
    <col min="4096" max="4097" width="13.5703125" customWidth="1"/>
    <col min="4100" max="4101" width="2.5703125" customWidth="1"/>
    <col min="4104" max="4105" width="13.5703125" customWidth="1"/>
    <col min="4108" max="4109" width="2.5703125" customWidth="1"/>
    <col min="4112" max="4113" width="13.5703125" customWidth="1"/>
    <col min="4116" max="4117" width="2.5703125" customWidth="1"/>
    <col min="4120" max="4121" width="13.5703125" customWidth="1"/>
    <col min="4124" max="4125" width="2.5703125" customWidth="1"/>
    <col min="4128" max="4129" width="13.5703125" customWidth="1"/>
    <col min="4132" max="4133" width="2.5703125" customWidth="1"/>
    <col min="4136" max="4137" width="13.5703125" customWidth="1"/>
    <col min="4140" max="4141" width="2.5703125" customWidth="1"/>
    <col min="4144" max="4145" width="13.5703125" customWidth="1"/>
    <col min="4148" max="4149" width="2.5703125" customWidth="1"/>
    <col min="4152" max="4153" width="13.5703125" customWidth="1"/>
    <col min="4156" max="4157" width="2.5703125" customWidth="1"/>
    <col min="4160" max="4161" width="13.5703125" customWidth="1"/>
    <col min="4164" max="4165" width="2.5703125" customWidth="1"/>
    <col min="4168" max="4169" width="13.5703125" customWidth="1"/>
    <col min="4172" max="4173" width="2.5703125" customWidth="1"/>
    <col min="4176" max="4177" width="13.5703125" customWidth="1"/>
    <col min="4180" max="4181" width="2.5703125" customWidth="1"/>
    <col min="4184" max="4185" width="13.5703125" customWidth="1"/>
    <col min="4188" max="4189" width="2.5703125" customWidth="1"/>
    <col min="4192" max="4193" width="13.5703125" customWidth="1"/>
    <col min="4196" max="4197" width="2.5703125" customWidth="1"/>
    <col min="4200" max="4201" width="13.5703125" customWidth="1"/>
    <col min="4204" max="4205" width="2.5703125" customWidth="1"/>
    <col min="4208" max="4209" width="13.5703125" customWidth="1"/>
    <col min="4212" max="4213" width="2.5703125" customWidth="1"/>
    <col min="4216" max="4217" width="13.5703125" customWidth="1"/>
    <col min="4220" max="4221" width="2.5703125" customWidth="1"/>
    <col min="4224" max="4225" width="13.5703125" customWidth="1"/>
    <col min="4228" max="4229" width="2.5703125" customWidth="1"/>
    <col min="4232" max="4233" width="13.5703125" customWidth="1"/>
    <col min="4236" max="4237" width="2.5703125" customWidth="1"/>
    <col min="4240" max="4241" width="13.5703125" customWidth="1"/>
    <col min="4244" max="4245" width="2.5703125" customWidth="1"/>
    <col min="4248" max="4249" width="13.5703125" customWidth="1"/>
    <col min="4252" max="4253" width="2.5703125" customWidth="1"/>
    <col min="4256" max="4257" width="13.5703125" customWidth="1"/>
    <col min="4260" max="4261" width="2.5703125" customWidth="1"/>
    <col min="4264" max="4265" width="13.5703125" customWidth="1"/>
    <col min="4268" max="4269" width="2.5703125" customWidth="1"/>
    <col min="4272" max="4273" width="13.5703125" customWidth="1"/>
    <col min="4276" max="4277" width="2.5703125" customWidth="1"/>
    <col min="4280" max="4281" width="13.5703125" customWidth="1"/>
    <col min="4284" max="4285" width="2.5703125" customWidth="1"/>
    <col min="4288" max="4289" width="13.5703125" customWidth="1"/>
    <col min="4292" max="4293" width="2.5703125" customWidth="1"/>
    <col min="4296" max="4297" width="13.5703125" customWidth="1"/>
    <col min="4300" max="4301" width="2.5703125" customWidth="1"/>
    <col min="4304" max="4305" width="13.5703125" customWidth="1"/>
    <col min="4308" max="4309" width="2.5703125" customWidth="1"/>
    <col min="4312" max="4313" width="13.5703125" customWidth="1"/>
    <col min="4316" max="4317" width="2.5703125" customWidth="1"/>
    <col min="4320" max="4321" width="13.5703125" customWidth="1"/>
    <col min="4324" max="4325" width="2.5703125" customWidth="1"/>
    <col min="4328" max="4329" width="13.5703125" customWidth="1"/>
    <col min="4332" max="4333" width="2.5703125" customWidth="1"/>
    <col min="4336" max="4337" width="13.5703125" customWidth="1"/>
    <col min="4340" max="4341" width="2.5703125" customWidth="1"/>
    <col min="4344" max="4345" width="13.5703125" customWidth="1"/>
    <col min="4348" max="4349" width="2.5703125" customWidth="1"/>
    <col min="4352" max="4353" width="13.5703125" customWidth="1"/>
    <col min="4356" max="4357" width="2.5703125" customWidth="1"/>
    <col min="4360" max="4361" width="13.5703125" customWidth="1"/>
    <col min="4364" max="4365" width="2.5703125" customWidth="1"/>
    <col min="4368" max="4369" width="13.5703125" customWidth="1"/>
    <col min="4372" max="4373" width="2.5703125" customWidth="1"/>
    <col min="4376" max="4377" width="13.5703125" customWidth="1"/>
    <col min="4380" max="4381" width="2.5703125" customWidth="1"/>
    <col min="4384" max="4385" width="13.5703125" customWidth="1"/>
    <col min="4388" max="4389" width="2.5703125" customWidth="1"/>
    <col min="4392" max="4393" width="13.5703125" customWidth="1"/>
    <col min="4396" max="4397" width="2.5703125" customWidth="1"/>
    <col min="4400" max="4401" width="13.5703125" customWidth="1"/>
    <col min="4404" max="4405" width="2.5703125" customWidth="1"/>
    <col min="4408" max="4409" width="13.5703125" customWidth="1"/>
    <col min="4412" max="4413" width="2.5703125" customWidth="1"/>
    <col min="4416" max="4417" width="13.5703125" customWidth="1"/>
    <col min="4420" max="4421" width="2.5703125" customWidth="1"/>
    <col min="4424" max="4425" width="13.5703125" customWidth="1"/>
    <col min="4428" max="4429" width="2.5703125" customWidth="1"/>
    <col min="4432" max="4433" width="13.5703125" customWidth="1"/>
    <col min="4436" max="4437" width="2.5703125" customWidth="1"/>
    <col min="4440" max="4441" width="13.5703125" customWidth="1"/>
    <col min="4444" max="4445" width="2.5703125" customWidth="1"/>
    <col min="4448" max="4449" width="13.5703125" customWidth="1"/>
    <col min="4452" max="4453" width="2.5703125" customWidth="1"/>
    <col min="4456" max="4457" width="13.5703125" customWidth="1"/>
    <col min="4460" max="4461" width="2.5703125" customWidth="1"/>
    <col min="4464" max="4465" width="13.5703125" customWidth="1"/>
    <col min="4468" max="4469" width="2.5703125" customWidth="1"/>
    <col min="4472" max="4473" width="13.5703125" customWidth="1"/>
    <col min="4476" max="4477" width="2.5703125" customWidth="1"/>
    <col min="4480" max="4481" width="13.5703125" customWidth="1"/>
    <col min="4484" max="4485" width="2.5703125" customWidth="1"/>
    <col min="4488" max="4489" width="13.5703125" customWidth="1"/>
    <col min="4492" max="4493" width="2.5703125" customWidth="1"/>
    <col min="4496" max="4497" width="13.5703125" customWidth="1"/>
    <col min="4500" max="4501" width="2.5703125" customWidth="1"/>
    <col min="4504" max="4505" width="13.5703125" customWidth="1"/>
    <col min="4508" max="4509" width="2.5703125" customWidth="1"/>
    <col min="4512" max="4513" width="13.5703125" customWidth="1"/>
    <col min="4516" max="4517" width="2.5703125" customWidth="1"/>
    <col min="4520" max="4521" width="13.5703125" customWidth="1"/>
    <col min="4524" max="4525" width="2.5703125" customWidth="1"/>
    <col min="4528" max="4529" width="13.5703125" customWidth="1"/>
    <col min="4532" max="4533" width="2.5703125" customWidth="1"/>
    <col min="4536" max="4537" width="13.5703125" customWidth="1"/>
    <col min="4540" max="4541" width="2.5703125" customWidth="1"/>
    <col min="4544" max="4545" width="13.5703125" customWidth="1"/>
    <col min="4548" max="4549" width="2.5703125" customWidth="1"/>
    <col min="4552" max="4553" width="13.5703125" customWidth="1"/>
    <col min="4556" max="4557" width="2.5703125" customWidth="1"/>
    <col min="4560" max="4561" width="13.5703125" customWidth="1"/>
    <col min="4564" max="4565" width="2.5703125" customWidth="1"/>
    <col min="4568" max="4569" width="13.5703125" customWidth="1"/>
    <col min="4572" max="4573" width="2.5703125" customWidth="1"/>
    <col min="4576" max="4577" width="13.5703125" customWidth="1"/>
    <col min="4580" max="4581" width="2.5703125" customWidth="1"/>
    <col min="4584" max="4585" width="13.5703125" customWidth="1"/>
    <col min="4588" max="4589" width="2.5703125" customWidth="1"/>
    <col min="4592" max="4593" width="13.5703125" customWidth="1"/>
    <col min="4596" max="4597" width="2.5703125" customWidth="1"/>
    <col min="4600" max="4601" width="13.5703125" customWidth="1"/>
    <col min="4604" max="4605" width="2.5703125" customWidth="1"/>
    <col min="4608" max="4609" width="13.5703125" customWidth="1"/>
    <col min="4612" max="4613" width="2.5703125" customWidth="1"/>
    <col min="4616" max="4617" width="13.5703125" customWidth="1"/>
    <col min="4620" max="4621" width="2.5703125" customWidth="1"/>
    <col min="4624" max="4625" width="13.5703125" customWidth="1"/>
    <col min="4628" max="4629" width="2.5703125" customWidth="1"/>
    <col min="4632" max="4633" width="13.5703125" customWidth="1"/>
    <col min="4636" max="4637" width="2.5703125" customWidth="1"/>
    <col min="4640" max="4641" width="13.5703125" customWidth="1"/>
    <col min="4644" max="4645" width="2.5703125" customWidth="1"/>
    <col min="4648" max="4649" width="13.5703125" customWidth="1"/>
    <col min="4652" max="4653" width="2.5703125" customWidth="1"/>
    <col min="4656" max="4657" width="13.5703125" customWidth="1"/>
    <col min="4660" max="4661" width="2.5703125" customWidth="1"/>
    <col min="4664" max="4665" width="13.5703125" customWidth="1"/>
    <col min="4668" max="4669" width="2.5703125" customWidth="1"/>
    <col min="4672" max="4673" width="13.5703125" customWidth="1"/>
    <col min="4676" max="4677" width="2.5703125" customWidth="1"/>
    <col min="4680" max="4681" width="13.5703125" customWidth="1"/>
    <col min="4684" max="4685" width="2.5703125" customWidth="1"/>
    <col min="4688" max="4689" width="13.5703125" customWidth="1"/>
    <col min="4692" max="4693" width="2.5703125" customWidth="1"/>
    <col min="4696" max="4697" width="13.5703125" customWidth="1"/>
    <col min="4700" max="4701" width="2.5703125" customWidth="1"/>
    <col min="4704" max="4705" width="13.5703125" customWidth="1"/>
    <col min="4708" max="4709" width="2.5703125" customWidth="1"/>
    <col min="4712" max="4713" width="13.5703125" customWidth="1"/>
    <col min="4716" max="4717" width="2.5703125" customWidth="1"/>
    <col min="4720" max="4721" width="13.5703125" customWidth="1"/>
    <col min="4724" max="4725" width="2.5703125" customWidth="1"/>
    <col min="4728" max="4729" width="13.5703125" customWidth="1"/>
    <col min="4732" max="4733" width="2.5703125" customWidth="1"/>
    <col min="4736" max="4737" width="13.5703125" customWidth="1"/>
    <col min="4740" max="4741" width="2.5703125" customWidth="1"/>
    <col min="4744" max="4745" width="13.5703125" customWidth="1"/>
    <col min="4748" max="4749" width="2.5703125" customWidth="1"/>
    <col min="4752" max="4753" width="13.5703125" customWidth="1"/>
    <col min="4756" max="4757" width="2.5703125" customWidth="1"/>
    <col min="4760" max="4761" width="13.5703125" customWidth="1"/>
    <col min="4764" max="4765" width="2.5703125" customWidth="1"/>
    <col min="4768" max="4769" width="13.5703125" customWidth="1"/>
    <col min="4772" max="4773" width="2.5703125" customWidth="1"/>
    <col min="4776" max="4777" width="13.5703125" customWidth="1"/>
    <col min="4780" max="4781" width="2.5703125" customWidth="1"/>
    <col min="4784" max="4785" width="13.5703125" customWidth="1"/>
    <col min="4788" max="4789" width="2.5703125" customWidth="1"/>
    <col min="4792" max="4793" width="13.5703125" customWidth="1"/>
    <col min="4796" max="4797" width="2.5703125" customWidth="1"/>
    <col min="4800" max="4801" width="13.5703125" customWidth="1"/>
    <col min="4804" max="4805" width="2.5703125" customWidth="1"/>
    <col min="4808" max="4809" width="13.5703125" customWidth="1"/>
    <col min="4812" max="4813" width="2.5703125" customWidth="1"/>
    <col min="4816" max="4817" width="13.5703125" customWidth="1"/>
    <col min="4820" max="4821" width="2.5703125" customWidth="1"/>
    <col min="4824" max="4825" width="13.5703125" customWidth="1"/>
    <col min="4828" max="4829" width="2.5703125" customWidth="1"/>
    <col min="4832" max="4833" width="13.5703125" customWidth="1"/>
    <col min="4836" max="4837" width="2.5703125" customWidth="1"/>
    <col min="4840" max="4841" width="13.5703125" customWidth="1"/>
    <col min="4844" max="4845" width="2.5703125" customWidth="1"/>
    <col min="4848" max="4849" width="13.5703125" customWidth="1"/>
    <col min="4852" max="4853" width="2.5703125" customWidth="1"/>
    <col min="4856" max="4857" width="13.5703125" customWidth="1"/>
    <col min="4860" max="4861" width="2.5703125" customWidth="1"/>
    <col min="4864" max="4865" width="13.5703125" customWidth="1"/>
    <col min="4868" max="4869" width="2.5703125" customWidth="1"/>
    <col min="4872" max="4873" width="13.5703125" customWidth="1"/>
    <col min="4876" max="4877" width="2.5703125" customWidth="1"/>
    <col min="4880" max="4881" width="13.5703125" customWidth="1"/>
    <col min="4884" max="4885" width="2.5703125" customWidth="1"/>
    <col min="4888" max="4889" width="13.5703125" customWidth="1"/>
    <col min="4892" max="4893" width="2.5703125" customWidth="1"/>
    <col min="4896" max="4897" width="13.5703125" customWidth="1"/>
    <col min="4900" max="4901" width="2.5703125" customWidth="1"/>
    <col min="4904" max="4905" width="13.5703125" customWidth="1"/>
    <col min="4908" max="4909" width="2.5703125" customWidth="1"/>
    <col min="4912" max="4913" width="13.5703125" customWidth="1"/>
    <col min="4916" max="4917" width="2.5703125" customWidth="1"/>
    <col min="4920" max="4921" width="13.5703125" customWidth="1"/>
    <col min="4924" max="4925" width="2.5703125" customWidth="1"/>
    <col min="4928" max="4929" width="13.5703125" customWidth="1"/>
    <col min="4932" max="4933" width="2.5703125" customWidth="1"/>
    <col min="4936" max="4937" width="13.5703125" customWidth="1"/>
    <col min="4940" max="4941" width="2.5703125" customWidth="1"/>
    <col min="4944" max="4945" width="13.5703125" customWidth="1"/>
    <col min="4948" max="4949" width="2.5703125" customWidth="1"/>
    <col min="4952" max="4953" width="13.5703125" customWidth="1"/>
    <col min="4956" max="4957" width="2.5703125" customWidth="1"/>
    <col min="4960" max="4961" width="13.5703125" customWidth="1"/>
    <col min="4964" max="4965" width="2.5703125" customWidth="1"/>
    <col min="4968" max="4969" width="13.5703125" customWidth="1"/>
    <col min="4972" max="4973" width="2.5703125" customWidth="1"/>
    <col min="4976" max="4977" width="13.5703125" customWidth="1"/>
    <col min="4980" max="4981" width="2.5703125" customWidth="1"/>
    <col min="4984" max="4985" width="13.5703125" customWidth="1"/>
    <col min="4988" max="4989" width="2.5703125" customWidth="1"/>
    <col min="4992" max="4993" width="13.5703125" customWidth="1"/>
    <col min="4996" max="4997" width="2.5703125" customWidth="1"/>
    <col min="5000" max="5001" width="13.5703125" customWidth="1"/>
    <col min="5004" max="5005" width="2.5703125" customWidth="1"/>
    <col min="5008" max="5009" width="13.5703125" customWidth="1"/>
    <col min="5012" max="5013" width="2.5703125" customWidth="1"/>
    <col min="5016" max="5017" width="13.5703125" customWidth="1"/>
    <col min="5020" max="5021" width="2.5703125" customWidth="1"/>
    <col min="5024" max="5025" width="13.5703125" customWidth="1"/>
    <col min="5028" max="5029" width="2.5703125" customWidth="1"/>
    <col min="5032" max="5033" width="13.5703125" customWidth="1"/>
    <col min="5036" max="5037" width="2.5703125" customWidth="1"/>
    <col min="5040" max="5041" width="13.5703125" customWidth="1"/>
    <col min="5044" max="5045" width="2.5703125" customWidth="1"/>
    <col min="5048" max="5049" width="13.5703125" customWidth="1"/>
    <col min="5052" max="5053" width="2.5703125" customWidth="1"/>
    <col min="5056" max="5057" width="13.5703125" customWidth="1"/>
    <col min="5060" max="5061" width="2.5703125" customWidth="1"/>
    <col min="5064" max="5065" width="13.5703125" customWidth="1"/>
    <col min="5068" max="5069" width="2.5703125" customWidth="1"/>
    <col min="5072" max="5073" width="13.5703125" customWidth="1"/>
    <col min="5076" max="5077" width="2.5703125" customWidth="1"/>
    <col min="5080" max="5081" width="13.5703125" customWidth="1"/>
    <col min="5084" max="5085" width="2.5703125" customWidth="1"/>
    <col min="5088" max="5089" width="13.5703125" customWidth="1"/>
    <col min="5092" max="5093" width="2.5703125" customWidth="1"/>
    <col min="5096" max="5097" width="13.5703125" customWidth="1"/>
    <col min="5100" max="5101" width="2.5703125" customWidth="1"/>
    <col min="5104" max="5105" width="13.5703125" customWidth="1"/>
    <col min="5108" max="5109" width="2.5703125" customWidth="1"/>
    <col min="5112" max="5113" width="13.5703125" customWidth="1"/>
    <col min="5116" max="5117" width="2.5703125" customWidth="1"/>
    <col min="5120" max="5121" width="13.5703125" customWidth="1"/>
    <col min="5124" max="5125" width="2.5703125" customWidth="1"/>
    <col min="5128" max="5129" width="13.5703125" customWidth="1"/>
    <col min="5132" max="5133" width="2.5703125" customWidth="1"/>
    <col min="5136" max="5137" width="13.5703125" customWidth="1"/>
    <col min="5140" max="5141" width="2.5703125" customWidth="1"/>
    <col min="5144" max="5145" width="13.5703125" customWidth="1"/>
    <col min="5148" max="5149" width="2.5703125" customWidth="1"/>
    <col min="5152" max="5153" width="13.5703125" customWidth="1"/>
    <col min="5156" max="5157" width="2.5703125" customWidth="1"/>
    <col min="5160" max="5161" width="13.5703125" customWidth="1"/>
    <col min="5164" max="5165" width="2.5703125" customWidth="1"/>
    <col min="5168" max="5169" width="13.5703125" customWidth="1"/>
    <col min="5172" max="5173" width="2.5703125" customWidth="1"/>
    <col min="5176" max="5177" width="13.5703125" customWidth="1"/>
    <col min="5180" max="5181" width="2.5703125" customWidth="1"/>
    <col min="5184" max="5185" width="13.5703125" customWidth="1"/>
    <col min="5188" max="5189" width="2.5703125" customWidth="1"/>
    <col min="5192" max="5193" width="13.5703125" customWidth="1"/>
    <col min="5196" max="5197" width="2.5703125" customWidth="1"/>
    <col min="5200" max="5201" width="13.5703125" customWidth="1"/>
    <col min="5204" max="5205" width="2.5703125" customWidth="1"/>
    <col min="5208" max="5209" width="13.5703125" customWidth="1"/>
    <col min="5212" max="5213" width="2.5703125" customWidth="1"/>
    <col min="5216" max="5217" width="13.5703125" customWidth="1"/>
    <col min="5220" max="5221" width="2.5703125" customWidth="1"/>
    <col min="5224" max="5225" width="13.5703125" customWidth="1"/>
    <col min="5228" max="5229" width="2.5703125" customWidth="1"/>
    <col min="5232" max="5233" width="13.5703125" customWidth="1"/>
    <col min="5236" max="5237" width="2.5703125" customWidth="1"/>
    <col min="5240" max="5241" width="13.5703125" customWidth="1"/>
    <col min="5244" max="5245" width="2.5703125" customWidth="1"/>
    <col min="5248" max="5249" width="13.5703125" customWidth="1"/>
    <col min="5252" max="5253" width="2.5703125" customWidth="1"/>
    <col min="5256" max="5257" width="13.5703125" customWidth="1"/>
    <col min="5260" max="5261" width="2.5703125" customWidth="1"/>
    <col min="5264" max="5265" width="13.5703125" customWidth="1"/>
    <col min="5268" max="5269" width="2.5703125" customWidth="1"/>
    <col min="5272" max="5273" width="13.5703125" customWidth="1"/>
    <col min="5276" max="5277" width="2.5703125" customWidth="1"/>
    <col min="5280" max="5281" width="13.5703125" customWidth="1"/>
    <col min="5284" max="5285" width="2.5703125" customWidth="1"/>
    <col min="5288" max="5289" width="13.5703125" customWidth="1"/>
    <col min="5292" max="5293" width="2.5703125" customWidth="1"/>
    <col min="5296" max="5297" width="13.5703125" customWidth="1"/>
    <col min="5300" max="5301" width="2.5703125" customWidth="1"/>
    <col min="5304" max="5305" width="13.5703125" customWidth="1"/>
    <col min="5308" max="5309" width="2.5703125" customWidth="1"/>
    <col min="5312" max="5313" width="13.5703125" customWidth="1"/>
    <col min="5316" max="5317" width="2.5703125" customWidth="1"/>
    <col min="5320" max="5321" width="13.5703125" customWidth="1"/>
    <col min="5324" max="5325" width="2.5703125" customWidth="1"/>
    <col min="5328" max="5329" width="13.5703125" customWidth="1"/>
    <col min="5332" max="5333" width="2.5703125" customWidth="1"/>
    <col min="5336" max="5337" width="13.5703125" customWidth="1"/>
    <col min="5340" max="5341" width="2.5703125" customWidth="1"/>
    <col min="5344" max="5345" width="13.5703125" customWidth="1"/>
    <col min="5348" max="5349" width="2.5703125" customWidth="1"/>
    <col min="5352" max="5353" width="13.5703125" customWidth="1"/>
    <col min="5356" max="5357" width="2.5703125" customWidth="1"/>
    <col min="5360" max="5361" width="13.5703125" customWidth="1"/>
    <col min="5364" max="5365" width="2.5703125" customWidth="1"/>
    <col min="5368" max="5369" width="13.5703125" customWidth="1"/>
    <col min="5372" max="5373" width="2.5703125" customWidth="1"/>
    <col min="5376" max="5377" width="13.5703125" customWidth="1"/>
    <col min="5380" max="5381" width="2.5703125" customWidth="1"/>
    <col min="5384" max="5385" width="13.5703125" customWidth="1"/>
    <col min="5388" max="5389" width="2.5703125" customWidth="1"/>
    <col min="5392" max="5393" width="13.5703125" customWidth="1"/>
    <col min="5396" max="5397" width="2.5703125" customWidth="1"/>
    <col min="5400" max="5401" width="13.5703125" customWidth="1"/>
    <col min="5404" max="5405" width="2.5703125" customWidth="1"/>
    <col min="5408" max="5409" width="13.5703125" customWidth="1"/>
    <col min="5412" max="5413" width="2.5703125" customWidth="1"/>
    <col min="5416" max="5417" width="13.5703125" customWidth="1"/>
    <col min="5420" max="5421" width="2.5703125" customWidth="1"/>
    <col min="5424" max="5425" width="13.5703125" customWidth="1"/>
    <col min="5428" max="5429" width="2.5703125" customWidth="1"/>
    <col min="5432" max="5433" width="13.5703125" customWidth="1"/>
    <col min="5436" max="5437" width="2.5703125" customWidth="1"/>
    <col min="5440" max="5441" width="13.5703125" customWidth="1"/>
    <col min="5444" max="5445" width="2.5703125" customWidth="1"/>
    <col min="5448" max="5449" width="13.5703125" customWidth="1"/>
    <col min="5452" max="5453" width="2.5703125" customWidth="1"/>
    <col min="5456" max="5457" width="13.5703125" customWidth="1"/>
    <col min="5460" max="5461" width="2.5703125" customWidth="1"/>
    <col min="5464" max="5465" width="13.5703125" customWidth="1"/>
    <col min="5468" max="5469" width="2.5703125" customWidth="1"/>
    <col min="5472" max="5473" width="13.5703125" customWidth="1"/>
    <col min="5476" max="5477" width="2.5703125" customWidth="1"/>
    <col min="5480" max="5481" width="13.5703125" customWidth="1"/>
    <col min="5484" max="5485" width="2.5703125" customWidth="1"/>
    <col min="5488" max="5489" width="13.5703125" customWidth="1"/>
    <col min="5492" max="5493" width="2.5703125" customWidth="1"/>
    <col min="5496" max="5497" width="13.5703125" customWidth="1"/>
    <col min="5500" max="5501" width="2.5703125" customWidth="1"/>
    <col min="5504" max="5505" width="13.5703125" customWidth="1"/>
    <col min="5508" max="5509" width="2.5703125" customWidth="1"/>
    <col min="5512" max="5513" width="13.5703125" customWidth="1"/>
    <col min="5516" max="5517" width="2.5703125" customWidth="1"/>
    <col min="5520" max="5521" width="13.5703125" customWidth="1"/>
    <col min="5524" max="5525" width="2.5703125" customWidth="1"/>
    <col min="5528" max="5529" width="13.5703125" customWidth="1"/>
    <col min="5532" max="5533" width="2.5703125" customWidth="1"/>
    <col min="5536" max="5537" width="13.5703125" customWidth="1"/>
    <col min="5540" max="5541" width="2.5703125" customWidth="1"/>
    <col min="5544" max="5545" width="13.5703125" customWidth="1"/>
    <col min="5548" max="5549" width="2.5703125" customWidth="1"/>
    <col min="5552" max="5553" width="13.5703125" customWidth="1"/>
    <col min="5556" max="5557" width="2.5703125" customWidth="1"/>
    <col min="5560" max="5561" width="13.5703125" customWidth="1"/>
    <col min="5564" max="5565" width="2.5703125" customWidth="1"/>
    <col min="5568" max="5569" width="13.5703125" customWidth="1"/>
    <col min="5572" max="5573" width="2.5703125" customWidth="1"/>
    <col min="5576" max="5577" width="13.5703125" customWidth="1"/>
    <col min="5580" max="5581" width="2.5703125" customWidth="1"/>
    <col min="5584" max="5585" width="13.5703125" customWidth="1"/>
    <col min="5588" max="5589" width="2.5703125" customWidth="1"/>
    <col min="5592" max="5593" width="13.5703125" customWidth="1"/>
    <col min="5596" max="5597" width="2.5703125" customWidth="1"/>
    <col min="5600" max="5601" width="13.5703125" customWidth="1"/>
    <col min="5604" max="5605" width="2.5703125" customWidth="1"/>
    <col min="5608" max="5609" width="13.5703125" customWidth="1"/>
    <col min="5612" max="5613" width="2.5703125" customWidth="1"/>
    <col min="5616" max="5617" width="13.5703125" customWidth="1"/>
    <col min="5620" max="5621" width="2.5703125" customWidth="1"/>
    <col min="5624" max="5625" width="13.5703125" customWidth="1"/>
    <col min="5628" max="5629" width="2.5703125" customWidth="1"/>
    <col min="5632" max="5633" width="13.5703125" customWidth="1"/>
    <col min="5636" max="5637" width="2.5703125" customWidth="1"/>
    <col min="5640" max="5641" width="13.5703125" customWidth="1"/>
    <col min="5644" max="5645" width="2.5703125" customWidth="1"/>
    <col min="5648" max="5649" width="13.5703125" customWidth="1"/>
    <col min="5652" max="5653" width="2.5703125" customWidth="1"/>
    <col min="5656" max="5657" width="13.5703125" customWidth="1"/>
    <col min="5660" max="5661" width="2.5703125" customWidth="1"/>
    <col min="5664" max="5665" width="13.5703125" customWidth="1"/>
    <col min="5668" max="5669" width="2.5703125" customWidth="1"/>
    <col min="5672" max="5673" width="13.5703125" customWidth="1"/>
    <col min="5676" max="5677" width="2.5703125" customWidth="1"/>
    <col min="5680" max="5681" width="13.5703125" customWidth="1"/>
    <col min="5684" max="5685" width="2.5703125" customWidth="1"/>
    <col min="5688" max="5689" width="13.5703125" customWidth="1"/>
    <col min="5692" max="5693" width="2.5703125" customWidth="1"/>
    <col min="5696" max="5697" width="13.5703125" customWidth="1"/>
    <col min="5700" max="5701" width="2.5703125" customWidth="1"/>
    <col min="5704" max="5705" width="13.5703125" customWidth="1"/>
    <col min="5708" max="5709" width="2.5703125" customWidth="1"/>
    <col min="5712" max="5713" width="13.5703125" customWidth="1"/>
    <col min="5716" max="5717" width="2.5703125" customWidth="1"/>
    <col min="5720" max="5721" width="13.5703125" customWidth="1"/>
    <col min="5724" max="5725" width="2.5703125" customWidth="1"/>
    <col min="5728" max="5729" width="13.5703125" customWidth="1"/>
    <col min="5732" max="5733" width="2.5703125" customWidth="1"/>
    <col min="5736" max="5737" width="13.5703125" customWidth="1"/>
    <col min="5740" max="5741" width="2.5703125" customWidth="1"/>
    <col min="5744" max="5745" width="13.5703125" customWidth="1"/>
    <col min="5748" max="5749" width="2.5703125" customWidth="1"/>
    <col min="5752" max="5753" width="13.5703125" customWidth="1"/>
    <col min="5756" max="5757" width="2.5703125" customWidth="1"/>
    <col min="5760" max="5761" width="13.5703125" customWidth="1"/>
    <col min="5764" max="5765" width="2.5703125" customWidth="1"/>
    <col min="5768" max="5769" width="13.5703125" customWidth="1"/>
    <col min="5772" max="5773" width="2.5703125" customWidth="1"/>
    <col min="5776" max="5777" width="13.5703125" customWidth="1"/>
    <col min="5780" max="5781" width="2.5703125" customWidth="1"/>
    <col min="5784" max="5785" width="13.5703125" customWidth="1"/>
    <col min="5788" max="5789" width="2.5703125" customWidth="1"/>
    <col min="5792" max="5793" width="13.5703125" customWidth="1"/>
    <col min="5796" max="5797" width="2.5703125" customWidth="1"/>
    <col min="5800" max="5801" width="13.5703125" customWidth="1"/>
    <col min="5804" max="5805" width="2.5703125" customWidth="1"/>
    <col min="5808" max="5809" width="13.5703125" customWidth="1"/>
    <col min="5812" max="5813" width="2.5703125" customWidth="1"/>
    <col min="5816" max="5817" width="13.5703125" customWidth="1"/>
    <col min="5820" max="5821" width="2.5703125" customWidth="1"/>
    <col min="5824" max="5825" width="13.5703125" customWidth="1"/>
    <col min="5828" max="5829" width="2.5703125" customWidth="1"/>
    <col min="5832" max="5833" width="13.5703125" customWidth="1"/>
    <col min="5836" max="5837" width="2.5703125" customWidth="1"/>
    <col min="5840" max="5841" width="13.5703125" customWidth="1"/>
    <col min="5844" max="5845" width="2.5703125" customWidth="1"/>
    <col min="5848" max="5849" width="13.5703125" customWidth="1"/>
    <col min="5852" max="5853" width="2.5703125" customWidth="1"/>
    <col min="5856" max="5857" width="13.5703125" customWidth="1"/>
    <col min="5860" max="5861" width="2.5703125" customWidth="1"/>
    <col min="5864" max="5865" width="13.5703125" customWidth="1"/>
    <col min="5868" max="5869" width="2.5703125" customWidth="1"/>
    <col min="5872" max="5873" width="13.5703125" customWidth="1"/>
    <col min="5876" max="5877" width="2.5703125" customWidth="1"/>
    <col min="5880" max="5881" width="13.5703125" customWidth="1"/>
    <col min="5884" max="5885" width="2.5703125" customWidth="1"/>
    <col min="5888" max="5889" width="13.5703125" customWidth="1"/>
    <col min="5892" max="5893" width="2.5703125" customWidth="1"/>
    <col min="5896" max="5897" width="13.5703125" customWidth="1"/>
    <col min="5900" max="5901" width="2.5703125" customWidth="1"/>
    <col min="5904" max="5905" width="13.5703125" customWidth="1"/>
    <col min="5908" max="5909" width="2.5703125" customWidth="1"/>
    <col min="5912" max="5913" width="13.5703125" customWidth="1"/>
    <col min="5916" max="5917" width="2.5703125" customWidth="1"/>
    <col min="5920" max="5921" width="13.5703125" customWidth="1"/>
    <col min="5924" max="5925" width="2.5703125" customWidth="1"/>
    <col min="5928" max="5929" width="13.5703125" customWidth="1"/>
    <col min="5932" max="5933" width="2.5703125" customWidth="1"/>
    <col min="5936" max="5937" width="13.5703125" customWidth="1"/>
    <col min="5940" max="5941" width="2.5703125" customWidth="1"/>
    <col min="5944" max="5945" width="13.5703125" customWidth="1"/>
    <col min="5948" max="5949" width="2.5703125" customWidth="1"/>
    <col min="5952" max="5953" width="13.5703125" customWidth="1"/>
    <col min="5956" max="5957" width="2.5703125" customWidth="1"/>
    <col min="5960" max="5961" width="13.5703125" customWidth="1"/>
    <col min="5964" max="5965" width="2.5703125" customWidth="1"/>
    <col min="5968" max="5969" width="13.5703125" customWidth="1"/>
    <col min="5972" max="5973" width="2.5703125" customWidth="1"/>
    <col min="5976" max="5977" width="13.5703125" customWidth="1"/>
    <col min="5980" max="5981" width="2.5703125" customWidth="1"/>
    <col min="5984" max="5985" width="13.5703125" customWidth="1"/>
    <col min="5988" max="5989" width="2.5703125" customWidth="1"/>
    <col min="5992" max="5993" width="13.5703125" customWidth="1"/>
    <col min="5996" max="5997" width="2.5703125" customWidth="1"/>
    <col min="6000" max="6001" width="13.5703125" customWidth="1"/>
    <col min="6004" max="6005" width="2.5703125" customWidth="1"/>
    <col min="6008" max="6009" width="13.5703125" customWidth="1"/>
    <col min="6012" max="6013" width="2.5703125" customWidth="1"/>
    <col min="6016" max="6017" width="13.5703125" customWidth="1"/>
    <col min="6020" max="6021" width="2.5703125" customWidth="1"/>
    <col min="6024" max="6025" width="13.5703125" customWidth="1"/>
    <col min="6028" max="6029" width="2.5703125" customWidth="1"/>
    <col min="6032" max="6033" width="13.5703125" customWidth="1"/>
    <col min="6036" max="6037" width="2.5703125" customWidth="1"/>
    <col min="6040" max="6041" width="13.5703125" customWidth="1"/>
    <col min="6044" max="6045" width="2.5703125" customWidth="1"/>
    <col min="6048" max="6049" width="13.5703125" customWidth="1"/>
    <col min="6052" max="6053" width="2.5703125" customWidth="1"/>
    <col min="6056" max="6057" width="13.5703125" customWidth="1"/>
    <col min="6060" max="6061" width="2.5703125" customWidth="1"/>
    <col min="6064" max="6065" width="13.5703125" customWidth="1"/>
    <col min="6068" max="6069" width="2.5703125" customWidth="1"/>
    <col min="6072" max="6073" width="13.5703125" customWidth="1"/>
    <col min="6076" max="6077" width="2.5703125" customWidth="1"/>
    <col min="6080" max="6081" width="13.5703125" customWidth="1"/>
    <col min="6084" max="6085" width="2.5703125" customWidth="1"/>
    <col min="6088" max="6089" width="13.5703125" customWidth="1"/>
    <col min="6092" max="6093" width="2.5703125" customWidth="1"/>
    <col min="6096" max="6097" width="13.5703125" customWidth="1"/>
    <col min="6100" max="6101" width="2.5703125" customWidth="1"/>
    <col min="6104" max="6105" width="13.5703125" customWidth="1"/>
    <col min="6108" max="6109" width="2.5703125" customWidth="1"/>
    <col min="6112" max="6113" width="13.5703125" customWidth="1"/>
    <col min="6116" max="6117" width="2.5703125" customWidth="1"/>
    <col min="6120" max="6121" width="13.5703125" customWidth="1"/>
    <col min="6124" max="6125" width="2.5703125" customWidth="1"/>
    <col min="6128" max="6129" width="13.5703125" customWidth="1"/>
    <col min="6132" max="6133" width="2.5703125" customWidth="1"/>
    <col min="6136" max="6137" width="13.5703125" customWidth="1"/>
    <col min="6140" max="6141" width="2.5703125" customWidth="1"/>
    <col min="6144" max="6145" width="13.5703125" customWidth="1"/>
    <col min="6148" max="6149" width="2.5703125" customWidth="1"/>
    <col min="6152" max="6153" width="13.5703125" customWidth="1"/>
    <col min="6156" max="6157" width="2.5703125" customWidth="1"/>
    <col min="6160" max="6161" width="13.5703125" customWidth="1"/>
    <col min="6164" max="6165" width="2.5703125" customWidth="1"/>
    <col min="6168" max="6169" width="13.5703125" customWidth="1"/>
    <col min="6172" max="6173" width="2.5703125" customWidth="1"/>
    <col min="6176" max="6177" width="13.5703125" customWidth="1"/>
    <col min="6180" max="6181" width="2.5703125" customWidth="1"/>
    <col min="6184" max="6185" width="13.5703125" customWidth="1"/>
    <col min="6188" max="6189" width="2.5703125" customWidth="1"/>
    <col min="6192" max="6193" width="13.5703125" customWidth="1"/>
    <col min="6196" max="6197" width="2.5703125" customWidth="1"/>
    <col min="6200" max="6201" width="13.5703125" customWidth="1"/>
    <col min="6204" max="6205" width="2.5703125" customWidth="1"/>
    <col min="6208" max="6209" width="13.5703125" customWidth="1"/>
    <col min="6212" max="6213" width="2.5703125" customWidth="1"/>
    <col min="6216" max="6217" width="13.5703125" customWidth="1"/>
    <col min="6220" max="6221" width="2.5703125" customWidth="1"/>
    <col min="6224" max="6225" width="13.5703125" customWidth="1"/>
    <col min="6228" max="6229" width="2.5703125" customWidth="1"/>
    <col min="6232" max="6233" width="13.5703125" customWidth="1"/>
    <col min="6236" max="6237" width="2.5703125" customWidth="1"/>
    <col min="6240" max="6241" width="13.5703125" customWidth="1"/>
    <col min="6244" max="6245" width="2.5703125" customWidth="1"/>
    <col min="6248" max="6249" width="13.5703125" customWidth="1"/>
    <col min="6252" max="6253" width="2.5703125" customWidth="1"/>
    <col min="6256" max="6257" width="13.5703125" customWidth="1"/>
    <col min="6260" max="6261" width="2.5703125" customWidth="1"/>
    <col min="6264" max="6265" width="13.5703125" customWidth="1"/>
    <col min="6268" max="6269" width="2.5703125" customWidth="1"/>
    <col min="6272" max="6273" width="13.5703125" customWidth="1"/>
    <col min="6276" max="6277" width="2.5703125" customWidth="1"/>
    <col min="6280" max="6281" width="13.5703125" customWidth="1"/>
    <col min="6284" max="6285" width="2.5703125" customWidth="1"/>
    <col min="6288" max="6289" width="13.5703125" customWidth="1"/>
    <col min="6292" max="6293" width="2.5703125" customWidth="1"/>
    <col min="6296" max="6297" width="13.5703125" customWidth="1"/>
    <col min="6300" max="6301" width="2.5703125" customWidth="1"/>
    <col min="6304" max="6305" width="13.5703125" customWidth="1"/>
    <col min="6308" max="6309" width="2.5703125" customWidth="1"/>
    <col min="6312" max="6313" width="13.5703125" customWidth="1"/>
    <col min="6316" max="6317" width="2.5703125" customWidth="1"/>
    <col min="6320" max="6321" width="13.5703125" customWidth="1"/>
    <col min="6324" max="6325" width="2.5703125" customWidth="1"/>
    <col min="6328" max="6329" width="13.5703125" customWidth="1"/>
    <col min="6332" max="6333" width="2.5703125" customWidth="1"/>
    <col min="6336" max="6337" width="13.5703125" customWidth="1"/>
    <col min="6340" max="6341" width="2.5703125" customWidth="1"/>
    <col min="6344" max="6345" width="13.5703125" customWidth="1"/>
    <col min="6348" max="6349" width="2.5703125" customWidth="1"/>
    <col min="6352" max="6353" width="13.5703125" customWidth="1"/>
    <col min="6356" max="6357" width="2.5703125" customWidth="1"/>
    <col min="6360" max="6361" width="13.5703125" customWidth="1"/>
    <col min="6364" max="6365" width="2.5703125" customWidth="1"/>
    <col min="6368" max="6369" width="13.5703125" customWidth="1"/>
    <col min="6372" max="6373" width="2.5703125" customWidth="1"/>
    <col min="6376" max="6377" width="13.5703125" customWidth="1"/>
    <col min="6380" max="6381" width="2.5703125" customWidth="1"/>
    <col min="6384" max="6385" width="13.5703125" customWidth="1"/>
    <col min="6388" max="6389" width="2.5703125" customWidth="1"/>
    <col min="6392" max="6393" width="13.5703125" customWidth="1"/>
    <col min="6396" max="6397" width="2.5703125" customWidth="1"/>
    <col min="6400" max="6401" width="13.5703125" customWidth="1"/>
    <col min="6404" max="6405" width="2.5703125" customWidth="1"/>
    <col min="6408" max="6409" width="13.5703125" customWidth="1"/>
    <col min="6412" max="6413" width="2.5703125" customWidth="1"/>
    <col min="6416" max="6417" width="13.5703125" customWidth="1"/>
    <col min="6420" max="6421" width="2.5703125" customWidth="1"/>
    <col min="6424" max="6425" width="13.5703125" customWidth="1"/>
    <col min="6428" max="6429" width="2.5703125" customWidth="1"/>
    <col min="6432" max="6433" width="13.5703125" customWidth="1"/>
    <col min="6436" max="6437" width="2.5703125" customWidth="1"/>
    <col min="6440" max="6441" width="13.5703125" customWidth="1"/>
    <col min="6444" max="6445" width="2.5703125" customWidth="1"/>
    <col min="6448" max="6449" width="13.5703125" customWidth="1"/>
    <col min="6452" max="6453" width="2.5703125" customWidth="1"/>
    <col min="6456" max="6457" width="13.5703125" customWidth="1"/>
    <col min="6460" max="6461" width="2.5703125" customWidth="1"/>
    <col min="6464" max="6465" width="13.5703125" customWidth="1"/>
    <col min="6468" max="6469" width="2.5703125" customWidth="1"/>
    <col min="6472" max="6473" width="13.5703125" customWidth="1"/>
    <col min="6476" max="6477" width="2.5703125" customWidth="1"/>
    <col min="6480" max="6481" width="13.5703125" customWidth="1"/>
    <col min="6484" max="6485" width="2.5703125" customWidth="1"/>
    <col min="6488" max="6489" width="13.5703125" customWidth="1"/>
    <col min="6492" max="6493" width="2.5703125" customWidth="1"/>
    <col min="6496" max="6497" width="13.5703125" customWidth="1"/>
    <col min="6500" max="6501" width="2.5703125" customWidth="1"/>
    <col min="6504" max="6505" width="13.5703125" customWidth="1"/>
    <col min="6508" max="6509" width="2.5703125" customWidth="1"/>
    <col min="6512" max="6513" width="13.5703125" customWidth="1"/>
    <col min="6516" max="6517" width="2.5703125" customWidth="1"/>
    <col min="6520" max="6521" width="13.5703125" customWidth="1"/>
    <col min="6524" max="6525" width="2.5703125" customWidth="1"/>
    <col min="6528" max="6529" width="13.5703125" customWidth="1"/>
    <col min="6532" max="6533" width="2.5703125" customWidth="1"/>
    <col min="6536" max="6537" width="13.5703125" customWidth="1"/>
    <col min="6540" max="6541" width="2.5703125" customWidth="1"/>
    <col min="6544" max="6545" width="13.5703125" customWidth="1"/>
    <col min="6548" max="6549" width="2.5703125" customWidth="1"/>
    <col min="6552" max="6553" width="13.5703125" customWidth="1"/>
    <col min="6556" max="6557" width="2.5703125" customWidth="1"/>
    <col min="6560" max="6561" width="13.5703125" customWidth="1"/>
    <col min="6564" max="6565" width="2.5703125" customWidth="1"/>
    <col min="6568" max="6569" width="13.5703125" customWidth="1"/>
    <col min="6572" max="6573" width="2.5703125" customWidth="1"/>
    <col min="6576" max="6577" width="13.5703125" customWidth="1"/>
    <col min="6580" max="6581" width="2.5703125" customWidth="1"/>
    <col min="6584" max="6585" width="13.5703125" customWidth="1"/>
    <col min="6588" max="6589" width="2.5703125" customWidth="1"/>
    <col min="6592" max="6593" width="13.5703125" customWidth="1"/>
    <col min="6596" max="6597" width="2.5703125" customWidth="1"/>
    <col min="6600" max="6601" width="13.5703125" customWidth="1"/>
    <col min="6604" max="6605" width="2.5703125" customWidth="1"/>
    <col min="6608" max="6609" width="13.5703125" customWidth="1"/>
    <col min="6612" max="6613" width="2.5703125" customWidth="1"/>
    <col min="6616" max="6617" width="13.5703125" customWidth="1"/>
    <col min="6620" max="6621" width="2.5703125" customWidth="1"/>
    <col min="6624" max="6625" width="13.5703125" customWidth="1"/>
    <col min="6628" max="6629" width="2.5703125" customWidth="1"/>
    <col min="6632" max="6633" width="13.5703125" customWidth="1"/>
    <col min="6636" max="6637" width="2.5703125" customWidth="1"/>
    <col min="6640" max="6641" width="13.5703125" customWidth="1"/>
    <col min="6644" max="6645" width="2.5703125" customWidth="1"/>
    <col min="6648" max="6649" width="13.5703125" customWidth="1"/>
    <col min="6652" max="6653" width="2.5703125" customWidth="1"/>
    <col min="6656" max="6657" width="13.5703125" customWidth="1"/>
    <col min="6660" max="6661" width="2.5703125" customWidth="1"/>
    <col min="6664" max="6665" width="13.5703125" customWidth="1"/>
    <col min="6668" max="6669" width="2.5703125" customWidth="1"/>
    <col min="6672" max="6673" width="13.5703125" customWidth="1"/>
    <col min="6676" max="6677" width="2.5703125" customWidth="1"/>
    <col min="6680" max="6681" width="13.5703125" customWidth="1"/>
    <col min="6684" max="6685" width="2.5703125" customWidth="1"/>
    <col min="6688" max="6689" width="13.5703125" customWidth="1"/>
    <col min="6692" max="6693" width="2.5703125" customWidth="1"/>
    <col min="6696" max="6697" width="13.5703125" customWidth="1"/>
    <col min="6700" max="6701" width="2.5703125" customWidth="1"/>
    <col min="6704" max="6705" width="13.5703125" customWidth="1"/>
    <col min="6708" max="6709" width="2.5703125" customWidth="1"/>
    <col min="6712" max="6713" width="13.5703125" customWidth="1"/>
    <col min="6716" max="6717" width="2.5703125" customWidth="1"/>
    <col min="6720" max="6721" width="13.5703125" customWidth="1"/>
    <col min="6724" max="6725" width="2.5703125" customWidth="1"/>
    <col min="6728" max="6729" width="13.5703125" customWidth="1"/>
    <col min="6732" max="6733" width="2.5703125" customWidth="1"/>
    <col min="6736" max="6737" width="13.5703125" customWidth="1"/>
    <col min="6740" max="6741" width="2.5703125" customWidth="1"/>
    <col min="6744" max="6745" width="13.5703125" customWidth="1"/>
    <col min="6748" max="6749" width="2.5703125" customWidth="1"/>
    <col min="6752" max="6753" width="13.5703125" customWidth="1"/>
    <col min="6756" max="6757" width="2.5703125" customWidth="1"/>
    <col min="6760" max="6761" width="13.5703125" customWidth="1"/>
    <col min="6764" max="6765" width="2.5703125" customWidth="1"/>
    <col min="6768" max="6769" width="13.5703125" customWidth="1"/>
    <col min="6772" max="6773" width="2.5703125" customWidth="1"/>
    <col min="6776" max="6777" width="13.5703125" customWidth="1"/>
    <col min="6780" max="6781" width="2.5703125" customWidth="1"/>
    <col min="6784" max="6785" width="13.5703125" customWidth="1"/>
    <col min="6788" max="6789" width="2.5703125" customWidth="1"/>
    <col min="6792" max="6793" width="13.5703125" customWidth="1"/>
    <col min="6796" max="6797" width="2.5703125" customWidth="1"/>
    <col min="6800" max="6801" width="13.5703125" customWidth="1"/>
    <col min="6804" max="6805" width="2.5703125" customWidth="1"/>
    <col min="6808" max="6809" width="13.5703125" customWidth="1"/>
    <col min="6812" max="6813" width="2.5703125" customWidth="1"/>
    <col min="6816" max="6817" width="13.5703125" customWidth="1"/>
    <col min="6820" max="6821" width="2.5703125" customWidth="1"/>
    <col min="6824" max="6825" width="13.5703125" customWidth="1"/>
    <col min="6828" max="6829" width="2.5703125" customWidth="1"/>
    <col min="6832" max="6833" width="13.5703125" customWidth="1"/>
    <col min="6836" max="6837" width="2.5703125" customWidth="1"/>
    <col min="6840" max="6841" width="13.5703125" customWidth="1"/>
    <col min="6844" max="6845" width="2.5703125" customWidth="1"/>
    <col min="6848" max="6849" width="13.5703125" customWidth="1"/>
    <col min="6852" max="6853" width="2.5703125" customWidth="1"/>
    <col min="6856" max="6857" width="13.5703125" customWidth="1"/>
    <col min="6860" max="6861" width="2.5703125" customWidth="1"/>
    <col min="6864" max="6865" width="13.5703125" customWidth="1"/>
    <col min="6868" max="6869" width="2.5703125" customWidth="1"/>
    <col min="6872" max="6873" width="13.5703125" customWidth="1"/>
    <col min="6876" max="6877" width="2.5703125" customWidth="1"/>
    <col min="6880" max="6881" width="13.5703125" customWidth="1"/>
    <col min="6884" max="6885" width="2.5703125" customWidth="1"/>
    <col min="6888" max="6889" width="13.5703125" customWidth="1"/>
    <col min="6892" max="6893" width="2.5703125" customWidth="1"/>
    <col min="6896" max="6897" width="13.5703125" customWidth="1"/>
    <col min="6900" max="6901" width="2.5703125" customWidth="1"/>
    <col min="6904" max="6905" width="13.5703125" customWidth="1"/>
    <col min="6908" max="6909" width="2.5703125" customWidth="1"/>
    <col min="6912" max="6913" width="13.5703125" customWidth="1"/>
    <col min="6916" max="6917" width="2.5703125" customWidth="1"/>
    <col min="6920" max="6921" width="13.5703125" customWidth="1"/>
    <col min="6924" max="6925" width="2.5703125" customWidth="1"/>
    <col min="6928" max="6929" width="13.5703125" customWidth="1"/>
    <col min="6932" max="6933" width="2.5703125" customWidth="1"/>
    <col min="6936" max="6937" width="13.5703125" customWidth="1"/>
    <col min="6940" max="6941" width="2.5703125" customWidth="1"/>
    <col min="6944" max="6945" width="13.5703125" customWidth="1"/>
    <col min="6948" max="6949" width="2.5703125" customWidth="1"/>
    <col min="6952" max="6953" width="13.5703125" customWidth="1"/>
    <col min="6956" max="6957" width="2.5703125" customWidth="1"/>
    <col min="6960" max="6961" width="13.5703125" customWidth="1"/>
    <col min="6964" max="6965" width="2.5703125" customWidth="1"/>
    <col min="6968" max="6969" width="13.5703125" customWidth="1"/>
    <col min="6972" max="6973" width="2.5703125" customWidth="1"/>
    <col min="6976" max="6977" width="13.5703125" customWidth="1"/>
    <col min="6980" max="6981" width="2.5703125" customWidth="1"/>
    <col min="6984" max="6985" width="13.5703125" customWidth="1"/>
    <col min="6988" max="6989" width="2.5703125" customWidth="1"/>
    <col min="6992" max="6993" width="13.5703125" customWidth="1"/>
    <col min="6996" max="6997" width="2.5703125" customWidth="1"/>
    <col min="7000" max="7001" width="13.5703125" customWidth="1"/>
    <col min="7004" max="7005" width="2.5703125" customWidth="1"/>
    <col min="7008" max="7009" width="13.5703125" customWidth="1"/>
    <col min="7012" max="7013" width="2.5703125" customWidth="1"/>
    <col min="7016" max="7017" width="13.5703125" customWidth="1"/>
    <col min="7020" max="7021" width="2.5703125" customWidth="1"/>
    <col min="7024" max="7025" width="13.5703125" customWidth="1"/>
    <col min="7028" max="7029" width="2.5703125" customWidth="1"/>
    <col min="7032" max="7033" width="13.5703125" customWidth="1"/>
    <col min="7036" max="7037" width="2.5703125" customWidth="1"/>
    <col min="7040" max="7041" width="13.5703125" customWidth="1"/>
    <col min="7044" max="7045" width="2.5703125" customWidth="1"/>
    <col min="7048" max="7049" width="13.5703125" customWidth="1"/>
    <col min="7052" max="7053" width="2.5703125" customWidth="1"/>
    <col min="7056" max="7057" width="13.5703125" customWidth="1"/>
    <col min="7060" max="7061" width="2.5703125" customWidth="1"/>
    <col min="7064" max="7065" width="13.5703125" customWidth="1"/>
    <col min="7068" max="7069" width="2.5703125" customWidth="1"/>
    <col min="7072" max="7073" width="13.5703125" customWidth="1"/>
    <col min="7076" max="7077" width="2.5703125" customWidth="1"/>
    <col min="7080" max="7081" width="13.5703125" customWidth="1"/>
    <col min="7084" max="7085" width="2.5703125" customWidth="1"/>
    <col min="7088" max="7089" width="13.5703125" customWidth="1"/>
    <col min="7092" max="7093" width="2.5703125" customWidth="1"/>
    <col min="7096" max="7097" width="13.5703125" customWidth="1"/>
    <col min="7100" max="7101" width="2.5703125" customWidth="1"/>
    <col min="7104" max="7105" width="13.5703125" customWidth="1"/>
    <col min="7108" max="7109" width="2.5703125" customWidth="1"/>
    <col min="7112" max="7113" width="13.5703125" customWidth="1"/>
    <col min="7116" max="7117" width="2.5703125" customWidth="1"/>
    <col min="7120" max="7121" width="13.5703125" customWidth="1"/>
    <col min="7124" max="7125" width="2.5703125" customWidth="1"/>
    <col min="7128" max="7129" width="13.5703125" customWidth="1"/>
    <col min="7132" max="7133" width="2.5703125" customWidth="1"/>
    <col min="7136" max="7137" width="13.5703125" customWidth="1"/>
    <col min="7140" max="7141" width="2.5703125" customWidth="1"/>
    <col min="7144" max="7145" width="13.5703125" customWidth="1"/>
    <col min="7148" max="7149" width="2.5703125" customWidth="1"/>
    <col min="7152" max="7153" width="13.5703125" customWidth="1"/>
    <col min="7156" max="7157" width="2.5703125" customWidth="1"/>
    <col min="7160" max="7161" width="13.5703125" customWidth="1"/>
    <col min="7164" max="7165" width="2.5703125" customWidth="1"/>
    <col min="7168" max="7169" width="13.5703125" customWidth="1"/>
    <col min="7172" max="7173" width="2.5703125" customWidth="1"/>
    <col min="7176" max="7177" width="13.5703125" customWidth="1"/>
    <col min="7180" max="7181" width="2.5703125" customWidth="1"/>
    <col min="7184" max="7185" width="13.5703125" customWidth="1"/>
    <col min="7188" max="7189" width="2.5703125" customWidth="1"/>
    <col min="7192" max="7193" width="13.5703125" customWidth="1"/>
    <col min="7196" max="7197" width="2.5703125" customWidth="1"/>
    <col min="7200" max="7201" width="13.5703125" customWidth="1"/>
    <col min="7204" max="7205" width="2.5703125" customWidth="1"/>
    <col min="7208" max="7209" width="13.5703125" customWidth="1"/>
    <col min="7212" max="7213" width="2.5703125" customWidth="1"/>
    <col min="7216" max="7217" width="13.5703125" customWidth="1"/>
    <col min="7220" max="7221" width="2.5703125" customWidth="1"/>
    <col min="7224" max="7225" width="13.5703125" customWidth="1"/>
    <col min="7228" max="7229" width="2.5703125" customWidth="1"/>
    <col min="7232" max="7233" width="13.5703125" customWidth="1"/>
    <col min="7236" max="7237" width="2.5703125" customWidth="1"/>
    <col min="7240" max="7241" width="13.5703125" customWidth="1"/>
    <col min="7244" max="7245" width="2.5703125" customWidth="1"/>
    <col min="7248" max="7249" width="13.5703125" customWidth="1"/>
    <col min="7252" max="7253" width="2.5703125" customWidth="1"/>
    <col min="7256" max="7257" width="13.5703125" customWidth="1"/>
    <col min="7260" max="7261" width="2.5703125" customWidth="1"/>
    <col min="7264" max="7265" width="13.5703125" customWidth="1"/>
    <col min="7268" max="7269" width="2.5703125" customWidth="1"/>
    <col min="7272" max="7273" width="13.5703125" customWidth="1"/>
    <col min="7276" max="7277" width="2.5703125" customWidth="1"/>
    <col min="7280" max="7281" width="13.5703125" customWidth="1"/>
    <col min="7284" max="7285" width="2.5703125" customWidth="1"/>
    <col min="7288" max="7289" width="13.5703125" customWidth="1"/>
    <col min="7292" max="7293" width="2.5703125" customWidth="1"/>
    <col min="7296" max="7297" width="13.5703125" customWidth="1"/>
    <col min="7300" max="7301" width="2.5703125" customWidth="1"/>
    <col min="7304" max="7305" width="13.5703125" customWidth="1"/>
    <col min="7308" max="7309" width="2.5703125" customWidth="1"/>
    <col min="7312" max="7313" width="13.5703125" customWidth="1"/>
    <col min="7316" max="7317" width="2.5703125" customWidth="1"/>
    <col min="7320" max="7321" width="13.5703125" customWidth="1"/>
    <col min="7324" max="7325" width="2.5703125" customWidth="1"/>
    <col min="7328" max="7329" width="13.5703125" customWidth="1"/>
    <col min="7332" max="7333" width="2.5703125" customWidth="1"/>
    <col min="7336" max="7337" width="13.5703125" customWidth="1"/>
    <col min="7340" max="7341" width="2.5703125" customWidth="1"/>
    <col min="7344" max="7345" width="13.5703125" customWidth="1"/>
    <col min="7348" max="7349" width="2.5703125" customWidth="1"/>
    <col min="7352" max="7353" width="13.5703125" customWidth="1"/>
    <col min="7356" max="7357" width="2.5703125" customWidth="1"/>
    <col min="7360" max="7361" width="13.5703125" customWidth="1"/>
    <col min="7364" max="7365" width="2.5703125" customWidth="1"/>
    <col min="7368" max="7369" width="13.5703125" customWidth="1"/>
    <col min="7372" max="7373" width="2.5703125" customWidth="1"/>
    <col min="7376" max="7377" width="13.5703125" customWidth="1"/>
    <col min="7380" max="7381" width="2.5703125" customWidth="1"/>
    <col min="7384" max="7385" width="13.5703125" customWidth="1"/>
    <col min="7388" max="7389" width="2.5703125" customWidth="1"/>
    <col min="7392" max="7393" width="13.5703125" customWidth="1"/>
    <col min="7396" max="7397" width="2.5703125" customWidth="1"/>
    <col min="7400" max="7401" width="13.5703125" customWidth="1"/>
    <col min="7404" max="7405" width="2.5703125" customWidth="1"/>
    <col min="7408" max="7409" width="13.5703125" customWidth="1"/>
    <col min="7412" max="7413" width="2.5703125" customWidth="1"/>
    <col min="7416" max="7417" width="13.5703125" customWidth="1"/>
    <col min="7420" max="7421" width="2.5703125" customWidth="1"/>
    <col min="7424" max="7425" width="13.5703125" customWidth="1"/>
    <col min="7428" max="7429" width="2.5703125" customWidth="1"/>
    <col min="7432" max="7433" width="13.5703125" customWidth="1"/>
    <col min="7436" max="7437" width="2.5703125" customWidth="1"/>
    <col min="7440" max="7441" width="13.5703125" customWidth="1"/>
    <col min="7444" max="7445" width="2.5703125" customWidth="1"/>
    <col min="7448" max="7449" width="13.5703125" customWidth="1"/>
    <col min="7452" max="7453" width="2.5703125" customWidth="1"/>
    <col min="7456" max="7457" width="13.5703125" customWidth="1"/>
    <col min="7460" max="7461" width="2.5703125" customWidth="1"/>
    <col min="7464" max="7465" width="13.5703125" customWidth="1"/>
    <col min="7468" max="7469" width="2.5703125" customWidth="1"/>
    <col min="7472" max="7473" width="13.5703125" customWidth="1"/>
    <col min="7476" max="7477" width="2.5703125" customWidth="1"/>
    <col min="7480" max="7481" width="13.5703125" customWidth="1"/>
    <col min="7484" max="7485" width="2.5703125" customWidth="1"/>
    <col min="7488" max="7489" width="13.5703125" customWidth="1"/>
    <col min="7492" max="7493" width="2.5703125" customWidth="1"/>
    <col min="7496" max="7497" width="13.5703125" customWidth="1"/>
    <col min="7500" max="7501" width="2.5703125" customWidth="1"/>
    <col min="7504" max="7505" width="13.5703125" customWidth="1"/>
    <col min="7508" max="7509" width="2.5703125" customWidth="1"/>
    <col min="7512" max="7513" width="13.5703125" customWidth="1"/>
    <col min="7516" max="7517" width="2.5703125" customWidth="1"/>
    <col min="7520" max="7521" width="13.5703125" customWidth="1"/>
    <col min="7524" max="7525" width="2.5703125" customWidth="1"/>
    <col min="7528" max="7529" width="13.5703125" customWidth="1"/>
    <col min="7532" max="7533" width="2.5703125" customWidth="1"/>
    <col min="7536" max="7537" width="13.5703125" customWidth="1"/>
    <col min="7540" max="7541" width="2.5703125" customWidth="1"/>
    <col min="7544" max="7545" width="13.5703125" customWidth="1"/>
    <col min="7548" max="7549" width="2.5703125" customWidth="1"/>
    <col min="7552" max="7553" width="13.5703125" customWidth="1"/>
    <col min="7556" max="7557" width="2.5703125" customWidth="1"/>
    <col min="7560" max="7561" width="13.5703125" customWidth="1"/>
    <col min="7564" max="7565" width="2.5703125" customWidth="1"/>
    <col min="7568" max="7569" width="13.5703125" customWidth="1"/>
    <col min="7572" max="7573" width="2.5703125" customWidth="1"/>
    <col min="7576" max="7577" width="13.5703125" customWidth="1"/>
    <col min="7580" max="7581" width="2.5703125" customWidth="1"/>
    <col min="7584" max="7585" width="13.5703125" customWidth="1"/>
    <col min="7588" max="7589" width="2.5703125" customWidth="1"/>
    <col min="7592" max="7593" width="13.5703125" customWidth="1"/>
    <col min="7596" max="7597" width="2.5703125" customWidth="1"/>
    <col min="7600" max="7601" width="13.5703125" customWidth="1"/>
    <col min="7604" max="7605" width="2.5703125" customWidth="1"/>
    <col min="7608" max="7609" width="13.5703125" customWidth="1"/>
    <col min="7612" max="7613" width="2.5703125" customWidth="1"/>
    <col min="7616" max="7617" width="13.5703125" customWidth="1"/>
    <col min="7620" max="7621" width="2.5703125" customWidth="1"/>
    <col min="7624" max="7625" width="13.5703125" customWidth="1"/>
    <col min="7628" max="7629" width="2.5703125" customWidth="1"/>
    <col min="7632" max="7633" width="13.5703125" customWidth="1"/>
    <col min="7636" max="7637" width="2.5703125" customWidth="1"/>
    <col min="7640" max="7641" width="13.5703125" customWidth="1"/>
    <col min="7644" max="7645" width="2.5703125" customWidth="1"/>
    <col min="7648" max="7649" width="13.5703125" customWidth="1"/>
    <col min="7652" max="7653" width="2.5703125" customWidth="1"/>
    <col min="7656" max="7657" width="13.5703125" customWidth="1"/>
    <col min="7660" max="7661" width="2.5703125" customWidth="1"/>
    <col min="7664" max="7665" width="13.5703125" customWidth="1"/>
    <col min="7668" max="7669" width="2.5703125" customWidth="1"/>
    <col min="7672" max="7673" width="13.5703125" customWidth="1"/>
    <col min="7676" max="7677" width="2.5703125" customWidth="1"/>
    <col min="7680" max="7681" width="13.5703125" customWidth="1"/>
    <col min="7684" max="7685" width="2.5703125" customWidth="1"/>
    <col min="7688" max="7689" width="13.5703125" customWidth="1"/>
    <col min="7692" max="7693" width="2.5703125" customWidth="1"/>
    <col min="7696" max="7697" width="13.5703125" customWidth="1"/>
    <col min="7700" max="7701" width="2.5703125" customWidth="1"/>
    <col min="7704" max="7705" width="13.5703125" customWidth="1"/>
    <col min="7708" max="7709" width="2.5703125" customWidth="1"/>
    <col min="7712" max="7713" width="13.5703125" customWidth="1"/>
    <col min="7716" max="7717" width="2.5703125" customWidth="1"/>
    <col min="7720" max="7721" width="13.5703125" customWidth="1"/>
    <col min="7724" max="7725" width="2.5703125" customWidth="1"/>
    <col min="7728" max="7729" width="13.5703125" customWidth="1"/>
    <col min="7732" max="7733" width="2.5703125" customWidth="1"/>
    <col min="7736" max="7737" width="13.5703125" customWidth="1"/>
    <col min="7740" max="7741" width="2.5703125" customWidth="1"/>
    <col min="7744" max="7745" width="13.5703125" customWidth="1"/>
    <col min="7748" max="7749" width="2.5703125" customWidth="1"/>
    <col min="7752" max="7753" width="13.5703125" customWidth="1"/>
    <col min="7756" max="7757" width="2.5703125" customWidth="1"/>
    <col min="7760" max="7761" width="13.5703125" customWidth="1"/>
    <col min="7764" max="7765" width="2.5703125" customWidth="1"/>
    <col min="7768" max="7769" width="13.5703125" customWidth="1"/>
    <col min="7772" max="7773" width="2.5703125" customWidth="1"/>
    <col min="7776" max="7777" width="13.5703125" customWidth="1"/>
    <col min="7780" max="7781" width="2.5703125" customWidth="1"/>
    <col min="7784" max="7785" width="13.5703125" customWidth="1"/>
    <col min="7788" max="7789" width="2.5703125" customWidth="1"/>
    <col min="7792" max="7793" width="13.5703125" customWidth="1"/>
    <col min="7796" max="7797" width="2.5703125" customWidth="1"/>
    <col min="7800" max="7801" width="13.5703125" customWidth="1"/>
    <col min="7804" max="7805" width="2.5703125" customWidth="1"/>
    <col min="7808" max="7809" width="13.5703125" customWidth="1"/>
    <col min="7812" max="7813" width="2.5703125" customWidth="1"/>
    <col min="7816" max="7817" width="13.5703125" customWidth="1"/>
    <col min="7820" max="7821" width="2.5703125" customWidth="1"/>
    <col min="7824" max="7825" width="13.5703125" customWidth="1"/>
    <col min="7828" max="7829" width="2.5703125" customWidth="1"/>
    <col min="7832" max="7833" width="13.5703125" customWidth="1"/>
    <col min="7836" max="7837" width="2.5703125" customWidth="1"/>
    <col min="7840" max="7841" width="13.5703125" customWidth="1"/>
    <col min="7844" max="7845" width="2.5703125" customWidth="1"/>
    <col min="7848" max="7849" width="13.5703125" customWidth="1"/>
    <col min="7852" max="7853" width="2.5703125" customWidth="1"/>
    <col min="7856" max="7857" width="13.5703125" customWidth="1"/>
    <col min="7860" max="7861" width="2.5703125" customWidth="1"/>
    <col min="7864" max="7865" width="13.5703125" customWidth="1"/>
    <col min="7868" max="7869" width="2.5703125" customWidth="1"/>
    <col min="7872" max="7873" width="13.5703125" customWidth="1"/>
    <col min="7876" max="7877" width="2.5703125" customWidth="1"/>
    <col min="7880" max="7881" width="13.5703125" customWidth="1"/>
    <col min="7884" max="7885" width="2.5703125" customWidth="1"/>
    <col min="7888" max="7889" width="13.5703125" customWidth="1"/>
    <col min="7892" max="7893" width="2.5703125" customWidth="1"/>
    <col min="7896" max="7897" width="13.5703125" customWidth="1"/>
    <col min="7900" max="7901" width="2.5703125" customWidth="1"/>
    <col min="7904" max="7905" width="13.5703125" customWidth="1"/>
    <col min="7908" max="7909" width="2.5703125" customWidth="1"/>
    <col min="7912" max="7913" width="13.5703125" customWidth="1"/>
    <col min="7916" max="7917" width="2.5703125" customWidth="1"/>
    <col min="7920" max="7921" width="13.5703125" customWidth="1"/>
    <col min="7924" max="7925" width="2.5703125" customWidth="1"/>
    <col min="7928" max="7929" width="13.5703125" customWidth="1"/>
    <col min="7932" max="7933" width="2.5703125" customWidth="1"/>
    <col min="7936" max="7937" width="13.5703125" customWidth="1"/>
    <col min="7940" max="7941" width="2.5703125" customWidth="1"/>
    <col min="7944" max="7945" width="13.5703125" customWidth="1"/>
    <col min="7948" max="7949" width="2.5703125" customWidth="1"/>
    <col min="7952" max="7953" width="13.5703125" customWidth="1"/>
    <col min="7956" max="7957" width="2.5703125" customWidth="1"/>
    <col min="7960" max="7961" width="13.5703125" customWidth="1"/>
    <col min="7964" max="7965" width="2.5703125" customWidth="1"/>
    <col min="7968" max="7969" width="13.5703125" customWidth="1"/>
    <col min="7972" max="7973" width="2.5703125" customWidth="1"/>
    <col min="7976" max="7977" width="13.5703125" customWidth="1"/>
    <col min="7980" max="7981" width="2.5703125" customWidth="1"/>
    <col min="7984" max="7985" width="13.5703125" customWidth="1"/>
    <col min="7988" max="7989" width="2.5703125" customWidth="1"/>
    <col min="7992" max="7993" width="13.5703125" customWidth="1"/>
    <col min="7996" max="7997" width="2.5703125" customWidth="1"/>
    <col min="8000" max="8001" width="13.5703125" customWidth="1"/>
    <col min="8004" max="8005" width="2.5703125" customWidth="1"/>
    <col min="8008" max="8009" width="13.5703125" customWidth="1"/>
    <col min="8012" max="8013" width="2.5703125" customWidth="1"/>
    <col min="8016" max="8017" width="13.5703125" customWidth="1"/>
    <col min="8020" max="8021" width="2.5703125" customWidth="1"/>
    <col min="8024" max="8025" width="13.5703125" customWidth="1"/>
    <col min="8028" max="8029" width="2.5703125" customWidth="1"/>
    <col min="8032" max="8033" width="13.5703125" customWidth="1"/>
    <col min="8036" max="8037" width="2.5703125" customWidth="1"/>
    <col min="8040" max="8041" width="13.5703125" customWidth="1"/>
    <col min="8044" max="8045" width="2.5703125" customWidth="1"/>
    <col min="8048" max="8049" width="13.5703125" customWidth="1"/>
    <col min="8052" max="8053" width="2.5703125" customWidth="1"/>
    <col min="8056" max="8057" width="13.5703125" customWidth="1"/>
    <col min="8060" max="8061" width="2.5703125" customWidth="1"/>
    <col min="8064" max="8065" width="13.5703125" customWidth="1"/>
    <col min="8068" max="8069" width="2.5703125" customWidth="1"/>
    <col min="8072" max="8073" width="13.5703125" customWidth="1"/>
    <col min="8076" max="8077" width="2.5703125" customWidth="1"/>
    <col min="8080" max="8081" width="13.5703125" customWidth="1"/>
    <col min="8084" max="8085" width="2.5703125" customWidth="1"/>
    <col min="8088" max="8089" width="13.5703125" customWidth="1"/>
    <col min="8092" max="8093" width="2.5703125" customWidth="1"/>
    <col min="8096" max="8097" width="13.5703125" customWidth="1"/>
    <col min="8100" max="8101" width="2.5703125" customWidth="1"/>
    <col min="8104" max="8105" width="13.5703125" customWidth="1"/>
    <col min="8108" max="8109" width="2.5703125" customWidth="1"/>
    <col min="8112" max="8113" width="13.5703125" customWidth="1"/>
    <col min="8116" max="8117" width="2.5703125" customWidth="1"/>
    <col min="8120" max="8121" width="13.5703125" customWidth="1"/>
    <col min="8124" max="8125" width="2.5703125" customWidth="1"/>
    <col min="8128" max="8129" width="13.5703125" customWidth="1"/>
    <col min="8132" max="8133" width="2.5703125" customWidth="1"/>
    <col min="8136" max="8137" width="13.5703125" customWidth="1"/>
    <col min="8140" max="8141" width="2.5703125" customWidth="1"/>
    <col min="8144" max="8145" width="13.5703125" customWidth="1"/>
    <col min="8148" max="8149" width="2.5703125" customWidth="1"/>
    <col min="8152" max="8153" width="13.5703125" customWidth="1"/>
    <col min="8156" max="8157" width="2.5703125" customWidth="1"/>
    <col min="8160" max="8161" width="13.5703125" customWidth="1"/>
    <col min="8164" max="8165" width="2.5703125" customWidth="1"/>
    <col min="8168" max="8169" width="13.5703125" customWidth="1"/>
    <col min="8172" max="8173" width="2.5703125" customWidth="1"/>
    <col min="8176" max="8177" width="13.5703125" customWidth="1"/>
    <col min="8180" max="8181" width="2.5703125" customWidth="1"/>
    <col min="8184" max="8185" width="13.5703125" customWidth="1"/>
    <col min="8188" max="8189" width="2.5703125" customWidth="1"/>
    <col min="8192" max="8193" width="13.5703125" customWidth="1"/>
    <col min="8196" max="8197" width="2.5703125" customWidth="1"/>
    <col min="8200" max="8201" width="13.5703125" customWidth="1"/>
    <col min="8204" max="8205" width="2.5703125" customWidth="1"/>
    <col min="8208" max="8209" width="13.5703125" customWidth="1"/>
    <col min="8212" max="8213" width="2.5703125" customWidth="1"/>
    <col min="8216" max="8217" width="13.5703125" customWidth="1"/>
    <col min="8220" max="8221" width="2.5703125" customWidth="1"/>
    <col min="8224" max="8225" width="13.5703125" customWidth="1"/>
    <col min="8228" max="8229" width="2.5703125" customWidth="1"/>
    <col min="8232" max="8233" width="13.5703125" customWidth="1"/>
    <col min="8236" max="8237" width="2.5703125" customWidth="1"/>
    <col min="8240" max="8241" width="13.5703125" customWidth="1"/>
    <col min="8244" max="8245" width="2.5703125" customWidth="1"/>
    <col min="8248" max="8249" width="13.5703125" customWidth="1"/>
    <col min="8252" max="8253" width="2.5703125" customWidth="1"/>
    <col min="8256" max="8257" width="13.5703125" customWidth="1"/>
    <col min="8260" max="8261" width="2.5703125" customWidth="1"/>
    <col min="8264" max="8265" width="13.5703125" customWidth="1"/>
    <col min="8268" max="8269" width="2.5703125" customWidth="1"/>
    <col min="8272" max="8273" width="13.5703125" customWidth="1"/>
    <col min="8276" max="8277" width="2.5703125" customWidth="1"/>
    <col min="8280" max="8281" width="13.5703125" customWidth="1"/>
    <col min="8284" max="8285" width="2.5703125" customWidth="1"/>
    <col min="8288" max="8289" width="13.5703125" customWidth="1"/>
    <col min="8292" max="8293" width="2.5703125" customWidth="1"/>
    <col min="8296" max="8297" width="13.5703125" customWidth="1"/>
    <col min="8300" max="8301" width="2.5703125" customWidth="1"/>
    <col min="8304" max="8305" width="13.5703125" customWidth="1"/>
    <col min="8308" max="8309" width="2.5703125" customWidth="1"/>
    <col min="8312" max="8313" width="13.5703125" customWidth="1"/>
    <col min="8316" max="8317" width="2.5703125" customWidth="1"/>
    <col min="8320" max="8321" width="13.5703125" customWidth="1"/>
    <col min="8324" max="8325" width="2.5703125" customWidth="1"/>
    <col min="8328" max="8329" width="13.5703125" customWidth="1"/>
    <col min="8332" max="8333" width="2.5703125" customWidth="1"/>
    <col min="8336" max="8337" width="13.5703125" customWidth="1"/>
    <col min="8340" max="8341" width="2.5703125" customWidth="1"/>
    <col min="8344" max="8345" width="13.5703125" customWidth="1"/>
    <col min="8348" max="8349" width="2.5703125" customWidth="1"/>
    <col min="8352" max="8353" width="13.5703125" customWidth="1"/>
    <col min="8356" max="8357" width="2.5703125" customWidth="1"/>
    <col min="8360" max="8361" width="13.5703125" customWidth="1"/>
    <col min="8364" max="8365" width="2.5703125" customWidth="1"/>
    <col min="8368" max="8369" width="13.5703125" customWidth="1"/>
    <col min="8372" max="8373" width="2.5703125" customWidth="1"/>
    <col min="8376" max="8377" width="13.5703125" customWidth="1"/>
    <col min="8380" max="8381" width="2.5703125" customWidth="1"/>
    <col min="8384" max="8385" width="13.5703125" customWidth="1"/>
    <col min="8388" max="8389" width="2.5703125" customWidth="1"/>
    <col min="8392" max="8393" width="13.5703125" customWidth="1"/>
    <col min="8396" max="8397" width="2.5703125" customWidth="1"/>
    <col min="8400" max="8401" width="13.5703125" customWidth="1"/>
    <col min="8404" max="8405" width="2.5703125" customWidth="1"/>
    <col min="8408" max="8409" width="13.5703125" customWidth="1"/>
    <col min="8412" max="8413" width="2.5703125" customWidth="1"/>
    <col min="8416" max="8417" width="13.5703125" customWidth="1"/>
    <col min="8420" max="8421" width="2.5703125" customWidth="1"/>
    <col min="8424" max="8425" width="13.5703125" customWidth="1"/>
    <col min="8428" max="8429" width="2.5703125" customWidth="1"/>
    <col min="8432" max="8433" width="13.5703125" customWidth="1"/>
    <col min="8436" max="8437" width="2.5703125" customWidth="1"/>
    <col min="8440" max="8441" width="13.5703125" customWidth="1"/>
    <col min="8444" max="8445" width="2.5703125" customWidth="1"/>
    <col min="8448" max="8449" width="13.5703125" customWidth="1"/>
    <col min="8452" max="8453" width="2.5703125" customWidth="1"/>
    <col min="8456" max="8457" width="13.5703125" customWidth="1"/>
    <col min="8460" max="8461" width="2.5703125" customWidth="1"/>
    <col min="8464" max="8465" width="13.5703125" customWidth="1"/>
    <col min="8468" max="8469" width="2.5703125" customWidth="1"/>
    <col min="8472" max="8473" width="13.5703125" customWidth="1"/>
    <col min="8476" max="8477" width="2.5703125" customWidth="1"/>
    <col min="8480" max="8481" width="13.5703125" customWidth="1"/>
    <col min="8484" max="8485" width="2.5703125" customWidth="1"/>
    <col min="8488" max="8489" width="13.5703125" customWidth="1"/>
    <col min="8492" max="8493" width="2.5703125" customWidth="1"/>
    <col min="8496" max="8497" width="13.5703125" customWidth="1"/>
    <col min="8500" max="8501" width="2.5703125" customWidth="1"/>
    <col min="8504" max="8505" width="13.5703125" customWidth="1"/>
    <col min="8508" max="8509" width="2.5703125" customWidth="1"/>
    <col min="8512" max="8513" width="13.5703125" customWidth="1"/>
    <col min="8516" max="8517" width="2.5703125" customWidth="1"/>
    <col min="8520" max="8521" width="13.5703125" customWidth="1"/>
    <col min="8524" max="8525" width="2.5703125" customWidth="1"/>
    <col min="8528" max="8529" width="13.5703125" customWidth="1"/>
    <col min="8532" max="8533" width="2.5703125" customWidth="1"/>
    <col min="8536" max="8537" width="13.5703125" customWidth="1"/>
    <col min="8540" max="8541" width="2.5703125" customWidth="1"/>
    <col min="8544" max="8545" width="13.5703125" customWidth="1"/>
    <col min="8548" max="8549" width="2.5703125" customWidth="1"/>
    <col min="8552" max="8553" width="13.5703125" customWidth="1"/>
    <col min="8556" max="8557" width="2.5703125" customWidth="1"/>
    <col min="8560" max="8561" width="13.5703125" customWidth="1"/>
    <col min="8564" max="8565" width="2.5703125" customWidth="1"/>
    <col min="8568" max="8569" width="13.5703125" customWidth="1"/>
    <col min="8572" max="8573" width="2.5703125" customWidth="1"/>
    <col min="8576" max="8577" width="13.5703125" customWidth="1"/>
    <col min="8580" max="8581" width="2.5703125" customWidth="1"/>
    <col min="8584" max="8585" width="13.5703125" customWidth="1"/>
    <col min="8588" max="8589" width="2.5703125" customWidth="1"/>
    <col min="8592" max="8593" width="13.5703125" customWidth="1"/>
    <col min="8596" max="8597" width="2.5703125" customWidth="1"/>
    <col min="8600" max="8601" width="13.5703125" customWidth="1"/>
    <col min="8604" max="8605" width="2.5703125" customWidth="1"/>
    <col min="8608" max="8609" width="13.5703125" customWidth="1"/>
    <col min="8612" max="8613" width="2.5703125" customWidth="1"/>
    <col min="8616" max="8617" width="13.5703125" customWidth="1"/>
    <col min="8620" max="8621" width="2.5703125" customWidth="1"/>
    <col min="8624" max="8625" width="13.5703125" customWidth="1"/>
    <col min="8628" max="8629" width="2.5703125" customWidth="1"/>
    <col min="8632" max="8633" width="13.5703125" customWidth="1"/>
    <col min="8636" max="8637" width="2.5703125" customWidth="1"/>
    <col min="8640" max="8641" width="13.5703125" customWidth="1"/>
    <col min="8644" max="8645" width="2.5703125" customWidth="1"/>
    <col min="8648" max="8649" width="13.5703125" customWidth="1"/>
    <col min="8652" max="8653" width="2.5703125" customWidth="1"/>
    <col min="8656" max="8657" width="13.5703125" customWidth="1"/>
    <col min="8660" max="8661" width="2.5703125" customWidth="1"/>
    <col min="8664" max="8665" width="13.5703125" customWidth="1"/>
    <col min="8668" max="8669" width="2.5703125" customWidth="1"/>
    <col min="8672" max="8673" width="13.5703125" customWidth="1"/>
    <col min="8676" max="8677" width="2.5703125" customWidth="1"/>
    <col min="8680" max="8681" width="13.5703125" customWidth="1"/>
    <col min="8684" max="8685" width="2.5703125" customWidth="1"/>
    <col min="8688" max="8689" width="13.5703125" customWidth="1"/>
    <col min="8692" max="8693" width="2.5703125" customWidth="1"/>
    <col min="8696" max="8697" width="13.5703125" customWidth="1"/>
    <col min="8700" max="8701" width="2.5703125" customWidth="1"/>
    <col min="8704" max="8705" width="13.5703125" customWidth="1"/>
    <col min="8708" max="8709" width="2.5703125" customWidth="1"/>
    <col min="8712" max="8713" width="13.5703125" customWidth="1"/>
    <col min="8716" max="8717" width="2.5703125" customWidth="1"/>
    <col min="8720" max="8721" width="13.5703125" customWidth="1"/>
    <col min="8724" max="8725" width="2.5703125" customWidth="1"/>
    <col min="8728" max="8729" width="13.5703125" customWidth="1"/>
    <col min="8732" max="8733" width="2.5703125" customWidth="1"/>
    <col min="8736" max="8737" width="13.5703125" customWidth="1"/>
    <col min="8740" max="8741" width="2.5703125" customWidth="1"/>
    <col min="8744" max="8745" width="13.5703125" customWidth="1"/>
    <col min="8748" max="8749" width="2.5703125" customWidth="1"/>
    <col min="8752" max="8753" width="13.5703125" customWidth="1"/>
    <col min="8756" max="8757" width="2.5703125" customWidth="1"/>
    <col min="8760" max="8761" width="13.5703125" customWidth="1"/>
    <col min="8764" max="8765" width="2.5703125" customWidth="1"/>
    <col min="8768" max="8769" width="13.5703125" customWidth="1"/>
    <col min="8772" max="8773" width="2.5703125" customWidth="1"/>
    <col min="8776" max="8777" width="13.5703125" customWidth="1"/>
    <col min="8780" max="8781" width="2.5703125" customWidth="1"/>
    <col min="8784" max="8785" width="13.5703125" customWidth="1"/>
    <col min="8788" max="8789" width="2.5703125" customWidth="1"/>
    <col min="8792" max="8793" width="13.5703125" customWidth="1"/>
    <col min="8796" max="8797" width="2.5703125" customWidth="1"/>
    <col min="8800" max="8801" width="13.5703125" customWidth="1"/>
    <col min="8804" max="8805" width="2.5703125" customWidth="1"/>
    <col min="8808" max="8809" width="13.5703125" customWidth="1"/>
    <col min="8812" max="8813" width="2.5703125" customWidth="1"/>
    <col min="8816" max="8817" width="13.5703125" customWidth="1"/>
    <col min="8820" max="8821" width="2.5703125" customWidth="1"/>
    <col min="8824" max="8825" width="13.5703125" customWidth="1"/>
    <col min="8828" max="8829" width="2.5703125" customWidth="1"/>
    <col min="8832" max="8833" width="13.5703125" customWidth="1"/>
    <col min="8836" max="8837" width="2.5703125" customWidth="1"/>
    <col min="8840" max="8841" width="13.5703125" customWidth="1"/>
    <col min="8844" max="8845" width="2.5703125" customWidth="1"/>
    <col min="8848" max="8849" width="13.5703125" customWidth="1"/>
    <col min="8852" max="8853" width="2.5703125" customWidth="1"/>
    <col min="8856" max="8857" width="13.5703125" customWidth="1"/>
    <col min="8860" max="8861" width="2.5703125" customWidth="1"/>
    <col min="8864" max="8865" width="13.5703125" customWidth="1"/>
    <col min="8868" max="8869" width="2.5703125" customWidth="1"/>
    <col min="8872" max="8873" width="13.5703125" customWidth="1"/>
    <col min="8876" max="8877" width="2.5703125" customWidth="1"/>
    <col min="8880" max="8881" width="13.5703125" customWidth="1"/>
    <col min="8884" max="8885" width="2.5703125" customWidth="1"/>
    <col min="8888" max="8889" width="13.5703125" customWidth="1"/>
    <col min="8892" max="8893" width="2.5703125" customWidth="1"/>
    <col min="8896" max="8897" width="13.5703125" customWidth="1"/>
    <col min="8900" max="8901" width="2.5703125" customWidth="1"/>
    <col min="8904" max="8905" width="13.5703125" customWidth="1"/>
    <col min="8908" max="8909" width="2.5703125" customWidth="1"/>
    <col min="8912" max="8913" width="13.5703125" customWidth="1"/>
    <col min="8916" max="8917" width="2.5703125" customWidth="1"/>
    <col min="8920" max="8921" width="13.5703125" customWidth="1"/>
    <col min="8924" max="8925" width="2.5703125" customWidth="1"/>
    <col min="8928" max="8929" width="13.5703125" customWidth="1"/>
    <col min="8932" max="8933" width="2.5703125" customWidth="1"/>
    <col min="8936" max="8937" width="13.5703125" customWidth="1"/>
    <col min="8940" max="8941" width="2.5703125" customWidth="1"/>
    <col min="8944" max="8945" width="13.5703125" customWidth="1"/>
    <col min="8948" max="8949" width="2.5703125" customWidth="1"/>
    <col min="8952" max="8953" width="13.5703125" customWidth="1"/>
    <col min="8956" max="8957" width="2.5703125" customWidth="1"/>
    <col min="8960" max="8961" width="13.5703125" customWidth="1"/>
    <col min="8964" max="8965" width="2.5703125" customWidth="1"/>
    <col min="8968" max="8969" width="13.5703125" customWidth="1"/>
    <col min="8972" max="8973" width="2.5703125" customWidth="1"/>
    <col min="8976" max="8977" width="13.5703125" customWidth="1"/>
    <col min="8980" max="8981" width="2.5703125" customWidth="1"/>
    <col min="8984" max="8985" width="13.5703125" customWidth="1"/>
    <col min="8988" max="8989" width="2.5703125" customWidth="1"/>
    <col min="8992" max="8993" width="13.5703125" customWidth="1"/>
    <col min="8996" max="8997" width="2.5703125" customWidth="1"/>
    <col min="9000" max="9001" width="13.5703125" customWidth="1"/>
    <col min="9004" max="9005" width="2.5703125" customWidth="1"/>
    <col min="9008" max="9009" width="13.5703125" customWidth="1"/>
    <col min="9012" max="9013" width="2.5703125" customWidth="1"/>
    <col min="9016" max="9017" width="13.5703125" customWidth="1"/>
    <col min="9020" max="9021" width="2.5703125" customWidth="1"/>
    <col min="9024" max="9025" width="13.5703125" customWidth="1"/>
    <col min="9028" max="9029" width="2.5703125" customWidth="1"/>
    <col min="9032" max="9033" width="13.5703125" customWidth="1"/>
    <col min="9036" max="9037" width="2.5703125" customWidth="1"/>
    <col min="9040" max="9041" width="13.5703125" customWidth="1"/>
    <col min="9044" max="9045" width="2.5703125" customWidth="1"/>
    <col min="9048" max="9049" width="13.5703125" customWidth="1"/>
    <col min="9052" max="9053" width="2.5703125" customWidth="1"/>
    <col min="9056" max="9057" width="13.5703125" customWidth="1"/>
    <col min="9060" max="9061" width="2.5703125" customWidth="1"/>
    <col min="9064" max="9065" width="13.5703125" customWidth="1"/>
    <col min="9068" max="9069" width="2.5703125" customWidth="1"/>
    <col min="9072" max="9073" width="13.5703125" customWidth="1"/>
    <col min="9076" max="9077" width="2.5703125" customWidth="1"/>
    <col min="9080" max="9081" width="13.5703125" customWidth="1"/>
    <col min="9084" max="9085" width="2.5703125" customWidth="1"/>
    <col min="9088" max="9089" width="13.5703125" customWidth="1"/>
    <col min="9092" max="9093" width="2.5703125" customWidth="1"/>
    <col min="9096" max="9097" width="13.5703125" customWidth="1"/>
    <col min="9100" max="9101" width="2.5703125" customWidth="1"/>
    <col min="9104" max="9105" width="13.5703125" customWidth="1"/>
    <col min="9108" max="9109" width="2.5703125" customWidth="1"/>
    <col min="9112" max="9113" width="13.5703125" customWidth="1"/>
    <col min="9116" max="9117" width="2.5703125" customWidth="1"/>
    <col min="9120" max="9121" width="13.5703125" customWidth="1"/>
    <col min="9124" max="9125" width="2.5703125" customWidth="1"/>
    <col min="9128" max="9129" width="13.5703125" customWidth="1"/>
    <col min="9132" max="9133" width="2.5703125" customWidth="1"/>
    <col min="9136" max="9137" width="13.5703125" customWidth="1"/>
    <col min="9140" max="9141" width="2.5703125" customWidth="1"/>
    <col min="9144" max="9145" width="13.5703125" customWidth="1"/>
    <col min="9148" max="9149" width="2.5703125" customWidth="1"/>
    <col min="9152" max="9153" width="13.5703125" customWidth="1"/>
    <col min="9156" max="9157" width="2.5703125" customWidth="1"/>
    <col min="9160" max="9161" width="13.5703125" customWidth="1"/>
    <col min="9164" max="9165" width="2.5703125" customWidth="1"/>
    <col min="9168" max="9169" width="13.5703125" customWidth="1"/>
    <col min="9172" max="9173" width="2.5703125" customWidth="1"/>
    <col min="9176" max="9177" width="13.5703125" customWidth="1"/>
    <col min="9180" max="9181" width="2.5703125" customWidth="1"/>
    <col min="9184" max="9185" width="13.5703125" customWidth="1"/>
    <col min="9188" max="9189" width="2.5703125" customWidth="1"/>
    <col min="9192" max="9193" width="13.5703125" customWidth="1"/>
    <col min="9196" max="9197" width="2.5703125" customWidth="1"/>
    <col min="9200" max="9201" width="13.5703125" customWidth="1"/>
    <col min="9204" max="9205" width="2.5703125" customWidth="1"/>
    <col min="9208" max="9209" width="13.5703125" customWidth="1"/>
    <col min="9212" max="9213" width="2.5703125" customWidth="1"/>
    <col min="9216" max="9217" width="13.5703125" customWidth="1"/>
    <col min="9220" max="9221" width="2.5703125" customWidth="1"/>
    <col min="9224" max="9225" width="13.5703125" customWidth="1"/>
    <col min="9228" max="9229" width="2.5703125" customWidth="1"/>
    <col min="9232" max="9233" width="13.5703125" customWidth="1"/>
    <col min="9236" max="9237" width="2.5703125" customWidth="1"/>
    <col min="9240" max="9241" width="13.5703125" customWidth="1"/>
    <col min="9244" max="9245" width="2.5703125" customWidth="1"/>
    <col min="9248" max="9249" width="13.5703125" customWidth="1"/>
    <col min="9252" max="9253" width="2.5703125" customWidth="1"/>
    <col min="9256" max="9257" width="13.5703125" customWidth="1"/>
    <col min="9260" max="9261" width="2.5703125" customWidth="1"/>
    <col min="9264" max="9265" width="13.5703125" customWidth="1"/>
    <col min="9268" max="9269" width="2.5703125" customWidth="1"/>
    <col min="9272" max="9273" width="13.5703125" customWidth="1"/>
    <col min="9276" max="9277" width="2.5703125" customWidth="1"/>
    <col min="9280" max="9281" width="13.5703125" customWidth="1"/>
    <col min="9284" max="9285" width="2.5703125" customWidth="1"/>
    <col min="9288" max="9289" width="13.5703125" customWidth="1"/>
    <col min="9292" max="9293" width="2.5703125" customWidth="1"/>
    <col min="9296" max="9297" width="13.5703125" customWidth="1"/>
    <col min="9300" max="9301" width="2.5703125" customWidth="1"/>
    <col min="9304" max="9305" width="13.5703125" customWidth="1"/>
    <col min="9308" max="9309" width="2.5703125" customWidth="1"/>
    <col min="9312" max="9313" width="13.5703125" customWidth="1"/>
    <col min="9316" max="9317" width="2.5703125" customWidth="1"/>
    <col min="9320" max="9321" width="13.5703125" customWidth="1"/>
    <col min="9324" max="9325" width="2.5703125" customWidth="1"/>
    <col min="9328" max="9329" width="13.5703125" customWidth="1"/>
    <col min="9332" max="9333" width="2.5703125" customWidth="1"/>
    <col min="9336" max="9337" width="13.5703125" customWidth="1"/>
    <col min="9340" max="9341" width="2.5703125" customWidth="1"/>
    <col min="9344" max="9345" width="13.5703125" customWidth="1"/>
    <col min="9348" max="9349" width="2.5703125" customWidth="1"/>
    <col min="9352" max="9353" width="13.5703125" customWidth="1"/>
    <col min="9356" max="9357" width="2.5703125" customWidth="1"/>
    <col min="9360" max="9361" width="13.5703125" customWidth="1"/>
    <col min="9364" max="9365" width="2.5703125" customWidth="1"/>
    <col min="9368" max="9369" width="13.5703125" customWidth="1"/>
    <col min="9372" max="9373" width="2.5703125" customWidth="1"/>
    <col min="9376" max="9377" width="13.5703125" customWidth="1"/>
    <col min="9380" max="9381" width="2.5703125" customWidth="1"/>
    <col min="9384" max="9385" width="13.5703125" customWidth="1"/>
    <col min="9388" max="9389" width="2.5703125" customWidth="1"/>
    <col min="9392" max="9393" width="13.5703125" customWidth="1"/>
    <col min="9396" max="9397" width="2.5703125" customWidth="1"/>
    <col min="9400" max="9401" width="13.5703125" customWidth="1"/>
    <col min="9404" max="9405" width="2.5703125" customWidth="1"/>
    <col min="9408" max="9409" width="13.5703125" customWidth="1"/>
    <col min="9412" max="9413" width="2.5703125" customWidth="1"/>
    <col min="9416" max="9417" width="13.5703125" customWidth="1"/>
    <col min="9420" max="9421" width="2.5703125" customWidth="1"/>
    <col min="9424" max="9425" width="13.5703125" customWidth="1"/>
    <col min="9428" max="9429" width="2.5703125" customWidth="1"/>
    <col min="9432" max="9433" width="13.5703125" customWidth="1"/>
    <col min="9436" max="9437" width="2.5703125" customWidth="1"/>
    <col min="9440" max="9441" width="13.5703125" customWidth="1"/>
    <col min="9444" max="9445" width="2.5703125" customWidth="1"/>
    <col min="9448" max="9449" width="13.5703125" customWidth="1"/>
    <col min="9452" max="9453" width="2.5703125" customWidth="1"/>
    <col min="9456" max="9457" width="13.5703125" customWidth="1"/>
    <col min="9460" max="9461" width="2.5703125" customWidth="1"/>
    <col min="9464" max="9465" width="13.5703125" customWidth="1"/>
    <col min="9468" max="9469" width="2.5703125" customWidth="1"/>
    <col min="9472" max="9473" width="13.5703125" customWidth="1"/>
    <col min="9476" max="9477" width="2.5703125" customWidth="1"/>
    <col min="9480" max="9481" width="13.5703125" customWidth="1"/>
    <col min="9484" max="9485" width="2.5703125" customWidth="1"/>
    <col min="9488" max="9489" width="13.5703125" customWidth="1"/>
    <col min="9492" max="9493" width="2.5703125" customWidth="1"/>
    <col min="9496" max="9497" width="13.5703125" customWidth="1"/>
    <col min="9500" max="9501" width="2.5703125" customWidth="1"/>
    <col min="9504" max="9505" width="13.5703125" customWidth="1"/>
    <col min="9508" max="9509" width="2.5703125" customWidth="1"/>
    <col min="9512" max="9513" width="13.5703125" customWidth="1"/>
    <col min="9516" max="9517" width="2.5703125" customWidth="1"/>
    <col min="9520" max="9521" width="13.5703125" customWidth="1"/>
    <col min="9524" max="9525" width="2.5703125" customWidth="1"/>
    <col min="9528" max="9529" width="13.5703125" customWidth="1"/>
    <col min="9532" max="9533" width="2.5703125" customWidth="1"/>
    <col min="9536" max="9537" width="13.5703125" customWidth="1"/>
    <col min="9540" max="9541" width="2.5703125" customWidth="1"/>
    <col min="9544" max="9545" width="13.5703125" customWidth="1"/>
    <col min="9548" max="9549" width="2.5703125" customWidth="1"/>
    <col min="9552" max="9553" width="13.5703125" customWidth="1"/>
    <col min="9556" max="9557" width="2.5703125" customWidth="1"/>
    <col min="9560" max="9561" width="13.5703125" customWidth="1"/>
    <col min="9564" max="9565" width="2.5703125" customWidth="1"/>
    <col min="9568" max="9569" width="13.5703125" customWidth="1"/>
    <col min="9572" max="9573" width="2.5703125" customWidth="1"/>
    <col min="9576" max="9577" width="13.5703125" customWidth="1"/>
    <col min="9580" max="9581" width="2.5703125" customWidth="1"/>
    <col min="9584" max="9585" width="13.5703125" customWidth="1"/>
    <col min="9588" max="9589" width="2.5703125" customWidth="1"/>
    <col min="9592" max="9593" width="13.5703125" customWidth="1"/>
    <col min="9596" max="9597" width="2.5703125" customWidth="1"/>
    <col min="9600" max="9601" width="13.5703125" customWidth="1"/>
    <col min="9604" max="9605" width="2.5703125" customWidth="1"/>
    <col min="9608" max="9609" width="13.5703125" customWidth="1"/>
    <col min="9612" max="9613" width="2.5703125" customWidth="1"/>
    <col min="9616" max="9617" width="13.5703125" customWidth="1"/>
    <col min="9620" max="9621" width="2.5703125" customWidth="1"/>
    <col min="9624" max="9625" width="13.5703125" customWidth="1"/>
    <col min="9628" max="9629" width="2.5703125" customWidth="1"/>
    <col min="9632" max="9633" width="13.5703125" customWidth="1"/>
    <col min="9636" max="9637" width="2.5703125" customWidth="1"/>
    <col min="9640" max="9641" width="13.5703125" customWidth="1"/>
    <col min="9644" max="9645" width="2.5703125" customWidth="1"/>
    <col min="9648" max="9649" width="13.5703125" customWidth="1"/>
    <col min="9652" max="9653" width="2.5703125" customWidth="1"/>
    <col min="9656" max="9657" width="13.5703125" customWidth="1"/>
    <col min="9660" max="9661" width="2.5703125" customWidth="1"/>
    <col min="9664" max="9665" width="13.5703125" customWidth="1"/>
    <col min="9668" max="9669" width="2.5703125" customWidth="1"/>
    <col min="9672" max="9673" width="13.5703125" customWidth="1"/>
    <col min="9676" max="9677" width="2.5703125" customWidth="1"/>
    <col min="9680" max="9681" width="13.5703125" customWidth="1"/>
    <col min="9684" max="9685" width="2.5703125" customWidth="1"/>
    <col min="9688" max="9689" width="13.5703125" customWidth="1"/>
    <col min="9692" max="9693" width="2.5703125" customWidth="1"/>
    <col min="9696" max="9697" width="13.5703125" customWidth="1"/>
    <col min="9700" max="9701" width="2.5703125" customWidth="1"/>
    <col min="9704" max="9705" width="13.5703125" customWidth="1"/>
    <col min="9708" max="9709" width="2.5703125" customWidth="1"/>
    <col min="9712" max="9713" width="13.5703125" customWidth="1"/>
    <col min="9716" max="9717" width="2.5703125" customWidth="1"/>
    <col min="9720" max="9721" width="13.5703125" customWidth="1"/>
    <col min="9724" max="9725" width="2.5703125" customWidth="1"/>
    <col min="9728" max="9729" width="13.5703125" customWidth="1"/>
    <col min="9732" max="9733" width="2.5703125" customWidth="1"/>
    <col min="9736" max="9737" width="13.5703125" customWidth="1"/>
    <col min="9740" max="9741" width="2.5703125" customWidth="1"/>
    <col min="9744" max="9745" width="13.5703125" customWidth="1"/>
    <col min="9748" max="9749" width="2.5703125" customWidth="1"/>
    <col min="9752" max="9753" width="13.5703125" customWidth="1"/>
    <col min="9756" max="9757" width="2.5703125" customWidth="1"/>
    <col min="9760" max="9761" width="13.5703125" customWidth="1"/>
    <col min="9764" max="9765" width="2.5703125" customWidth="1"/>
    <col min="9768" max="9769" width="13.5703125" customWidth="1"/>
    <col min="9772" max="9773" width="2.5703125" customWidth="1"/>
    <col min="9776" max="9777" width="13.5703125" customWidth="1"/>
    <col min="9780" max="9781" width="2.5703125" customWidth="1"/>
    <col min="9784" max="9785" width="13.5703125" customWidth="1"/>
    <col min="9788" max="9789" width="2.5703125" customWidth="1"/>
    <col min="9792" max="9793" width="13.5703125" customWidth="1"/>
    <col min="9796" max="9797" width="2.5703125" customWidth="1"/>
    <col min="9800" max="9801" width="13.5703125" customWidth="1"/>
    <col min="9804" max="9805" width="2.5703125" customWidth="1"/>
    <col min="9808" max="9809" width="13.5703125" customWidth="1"/>
    <col min="9812" max="9813" width="2.5703125" customWidth="1"/>
    <col min="9816" max="9817" width="13.5703125" customWidth="1"/>
    <col min="9820" max="9821" width="2.5703125" customWidth="1"/>
    <col min="9824" max="9825" width="13.5703125" customWidth="1"/>
    <col min="9828" max="9829" width="2.5703125" customWidth="1"/>
    <col min="9832" max="9833" width="13.5703125" customWidth="1"/>
    <col min="9836" max="9837" width="2.5703125" customWidth="1"/>
    <col min="9840" max="9841" width="13.5703125" customWidth="1"/>
    <col min="9844" max="9845" width="2.5703125" customWidth="1"/>
    <col min="9848" max="9849" width="13.5703125" customWidth="1"/>
    <col min="9852" max="9853" width="2.5703125" customWidth="1"/>
    <col min="9856" max="9857" width="13.5703125" customWidth="1"/>
    <col min="9860" max="9861" width="2.5703125" customWidth="1"/>
    <col min="9864" max="9865" width="13.5703125" customWidth="1"/>
    <col min="9868" max="9869" width="2.5703125" customWidth="1"/>
    <col min="9872" max="9873" width="13.5703125" customWidth="1"/>
    <col min="9876" max="9877" width="2.5703125" customWidth="1"/>
    <col min="9880" max="9881" width="13.5703125" customWidth="1"/>
    <col min="9884" max="9885" width="2.5703125" customWidth="1"/>
    <col min="9888" max="9889" width="13.5703125" customWidth="1"/>
    <col min="9892" max="9893" width="2.5703125" customWidth="1"/>
    <col min="9896" max="9897" width="13.5703125" customWidth="1"/>
    <col min="9900" max="9901" width="2.5703125" customWidth="1"/>
    <col min="9904" max="9905" width="13.5703125" customWidth="1"/>
    <col min="9908" max="9909" width="2.5703125" customWidth="1"/>
    <col min="9912" max="9913" width="13.5703125" customWidth="1"/>
    <col min="9916" max="9917" width="2.5703125" customWidth="1"/>
    <col min="9920" max="9921" width="13.5703125" customWidth="1"/>
    <col min="9924" max="9925" width="2.5703125" customWidth="1"/>
    <col min="9928" max="9929" width="13.5703125" customWidth="1"/>
    <col min="9932" max="9933" width="2.5703125" customWidth="1"/>
    <col min="9936" max="9937" width="13.5703125" customWidth="1"/>
    <col min="9940" max="9941" width="2.5703125" customWidth="1"/>
    <col min="9944" max="9945" width="13.5703125" customWidth="1"/>
    <col min="9948" max="9949" width="2.5703125" customWidth="1"/>
    <col min="9952" max="9953" width="13.5703125" customWidth="1"/>
    <col min="9956" max="9957" width="2.5703125" customWidth="1"/>
    <col min="9960" max="9961" width="13.5703125" customWidth="1"/>
    <col min="9964" max="9965" width="2.5703125" customWidth="1"/>
    <col min="9968" max="9969" width="13.5703125" customWidth="1"/>
    <col min="9972" max="9973" width="2.5703125" customWidth="1"/>
    <col min="9976" max="9977" width="13.5703125" customWidth="1"/>
    <col min="9980" max="9981" width="2.5703125" customWidth="1"/>
    <col min="9984" max="9985" width="13.5703125" customWidth="1"/>
    <col min="9988" max="9989" width="2.5703125" customWidth="1"/>
    <col min="9992" max="9993" width="13.5703125" customWidth="1"/>
    <col min="9996" max="9997" width="2.5703125" customWidth="1"/>
    <col min="10000" max="10001" width="13.5703125" customWidth="1"/>
    <col min="10004" max="10005" width="2.5703125" customWidth="1"/>
    <col min="10008" max="10009" width="13.5703125" customWidth="1"/>
    <col min="10012" max="10013" width="2.5703125" customWidth="1"/>
    <col min="10016" max="10017" width="13.5703125" customWidth="1"/>
    <col min="10020" max="10021" width="2.5703125" customWidth="1"/>
    <col min="10024" max="10025" width="13.5703125" customWidth="1"/>
    <col min="10028" max="10029" width="2.5703125" customWidth="1"/>
    <col min="10032" max="10033" width="13.5703125" customWidth="1"/>
    <col min="10036" max="10037" width="2.5703125" customWidth="1"/>
    <col min="10040" max="10041" width="13.5703125" customWidth="1"/>
    <col min="10044" max="10045" width="2.5703125" customWidth="1"/>
    <col min="10048" max="10049" width="13.5703125" customWidth="1"/>
    <col min="10052" max="10053" width="2.5703125" customWidth="1"/>
    <col min="10056" max="10057" width="13.5703125" customWidth="1"/>
    <col min="10060" max="10061" width="2.5703125" customWidth="1"/>
    <col min="10064" max="10065" width="13.5703125" customWidth="1"/>
    <col min="10068" max="10069" width="2.5703125" customWidth="1"/>
    <col min="10072" max="10073" width="13.5703125" customWidth="1"/>
    <col min="10076" max="10077" width="2.5703125" customWidth="1"/>
    <col min="10080" max="10081" width="13.5703125" customWidth="1"/>
    <col min="10084" max="10085" width="2.5703125" customWidth="1"/>
    <col min="10088" max="10089" width="13.5703125" customWidth="1"/>
    <col min="10092" max="10093" width="2.5703125" customWidth="1"/>
    <col min="10096" max="10097" width="13.5703125" customWidth="1"/>
    <col min="10100" max="10101" width="2.5703125" customWidth="1"/>
    <col min="10104" max="10105" width="13.5703125" customWidth="1"/>
    <col min="10108" max="10109" width="2.5703125" customWidth="1"/>
    <col min="10112" max="10113" width="13.5703125" customWidth="1"/>
    <col min="10116" max="10117" width="2.5703125" customWidth="1"/>
    <col min="10120" max="10121" width="13.5703125" customWidth="1"/>
    <col min="10124" max="10125" width="2.5703125" customWidth="1"/>
    <col min="10128" max="10129" width="13.5703125" customWidth="1"/>
    <col min="10132" max="10133" width="2.5703125" customWidth="1"/>
    <col min="10136" max="10137" width="13.5703125" customWidth="1"/>
    <col min="10140" max="10141" width="2.5703125" customWidth="1"/>
    <col min="10144" max="10145" width="13.5703125" customWidth="1"/>
    <col min="10148" max="10149" width="2.5703125" customWidth="1"/>
    <col min="10152" max="10153" width="13.5703125" customWidth="1"/>
    <col min="10156" max="10157" width="2.5703125" customWidth="1"/>
    <col min="10160" max="10161" width="13.5703125" customWidth="1"/>
    <col min="10164" max="10165" width="2.5703125" customWidth="1"/>
    <col min="10168" max="10169" width="13.5703125" customWidth="1"/>
    <col min="10172" max="10173" width="2.5703125" customWidth="1"/>
    <col min="10176" max="10177" width="13.5703125" customWidth="1"/>
    <col min="10180" max="10181" width="2.5703125" customWidth="1"/>
    <col min="10184" max="10185" width="13.5703125" customWidth="1"/>
    <col min="10188" max="10189" width="2.5703125" customWidth="1"/>
    <col min="10192" max="10193" width="13.5703125" customWidth="1"/>
    <col min="10196" max="10197" width="2.5703125" customWidth="1"/>
    <col min="10200" max="10201" width="13.5703125" customWidth="1"/>
    <col min="10204" max="10205" width="2.5703125" customWidth="1"/>
    <col min="10208" max="10209" width="13.5703125" customWidth="1"/>
    <col min="10212" max="10213" width="2.5703125" customWidth="1"/>
    <col min="10216" max="10217" width="13.5703125" customWidth="1"/>
    <col min="10220" max="10221" width="2.5703125" customWidth="1"/>
    <col min="10224" max="10225" width="13.5703125" customWidth="1"/>
    <col min="10228" max="10229" width="2.5703125" customWidth="1"/>
    <col min="10232" max="10233" width="13.5703125" customWidth="1"/>
    <col min="10236" max="10237" width="2.5703125" customWidth="1"/>
    <col min="10240" max="10241" width="13.5703125" customWidth="1"/>
    <col min="10244" max="10245" width="2.5703125" customWidth="1"/>
    <col min="10248" max="10249" width="13.5703125" customWidth="1"/>
    <col min="10252" max="10253" width="2.5703125" customWidth="1"/>
    <col min="10256" max="10257" width="13.5703125" customWidth="1"/>
    <col min="10260" max="10261" width="2.5703125" customWidth="1"/>
    <col min="10264" max="10265" width="13.5703125" customWidth="1"/>
    <col min="10268" max="10269" width="2.5703125" customWidth="1"/>
    <col min="10272" max="10273" width="13.5703125" customWidth="1"/>
    <col min="10276" max="10277" width="2.5703125" customWidth="1"/>
    <col min="10280" max="10281" width="13.5703125" customWidth="1"/>
    <col min="10284" max="10285" width="2.5703125" customWidth="1"/>
    <col min="10288" max="10289" width="13.5703125" customWidth="1"/>
    <col min="10292" max="10293" width="2.5703125" customWidth="1"/>
    <col min="10296" max="10297" width="13.5703125" customWidth="1"/>
    <col min="10300" max="10301" width="2.5703125" customWidth="1"/>
    <col min="10304" max="10305" width="13.5703125" customWidth="1"/>
    <col min="10308" max="10309" width="2.5703125" customWidth="1"/>
    <col min="10312" max="10313" width="13.5703125" customWidth="1"/>
    <col min="10316" max="10317" width="2.5703125" customWidth="1"/>
    <col min="10320" max="10321" width="13.5703125" customWidth="1"/>
    <col min="10324" max="10325" width="2.5703125" customWidth="1"/>
    <col min="10328" max="10329" width="13.5703125" customWidth="1"/>
    <col min="10332" max="10333" width="2.5703125" customWidth="1"/>
    <col min="10336" max="10337" width="13.5703125" customWidth="1"/>
    <col min="10340" max="10341" width="2.5703125" customWidth="1"/>
    <col min="10344" max="10345" width="13.5703125" customWidth="1"/>
    <col min="10348" max="10349" width="2.5703125" customWidth="1"/>
    <col min="10352" max="10353" width="13.5703125" customWidth="1"/>
    <col min="10356" max="10357" width="2.5703125" customWidth="1"/>
    <col min="10360" max="10361" width="13.5703125" customWidth="1"/>
    <col min="10364" max="10365" width="2.5703125" customWidth="1"/>
    <col min="10368" max="10369" width="13.5703125" customWidth="1"/>
    <col min="10372" max="10373" width="2.5703125" customWidth="1"/>
    <col min="10376" max="10377" width="13.5703125" customWidth="1"/>
    <col min="10380" max="10381" width="2.5703125" customWidth="1"/>
    <col min="10384" max="10385" width="13.5703125" customWidth="1"/>
    <col min="10388" max="10389" width="2.5703125" customWidth="1"/>
    <col min="10392" max="10393" width="13.5703125" customWidth="1"/>
    <col min="10396" max="10397" width="2.5703125" customWidth="1"/>
    <col min="10400" max="10401" width="13.5703125" customWidth="1"/>
    <col min="10404" max="10405" width="2.5703125" customWidth="1"/>
    <col min="10408" max="10409" width="13.5703125" customWidth="1"/>
    <col min="10412" max="10413" width="2.5703125" customWidth="1"/>
    <col min="10416" max="10417" width="13.5703125" customWidth="1"/>
    <col min="10420" max="10421" width="2.5703125" customWidth="1"/>
    <col min="10424" max="10425" width="13.5703125" customWidth="1"/>
    <col min="10428" max="10429" width="2.5703125" customWidth="1"/>
    <col min="10432" max="10433" width="13.5703125" customWidth="1"/>
    <col min="10436" max="10437" width="2.5703125" customWidth="1"/>
    <col min="10440" max="10441" width="13.5703125" customWidth="1"/>
    <col min="10444" max="10445" width="2.5703125" customWidth="1"/>
    <col min="10448" max="10449" width="13.5703125" customWidth="1"/>
    <col min="10452" max="10453" width="2.5703125" customWidth="1"/>
    <col min="10456" max="10457" width="13.5703125" customWidth="1"/>
    <col min="10460" max="10461" width="2.5703125" customWidth="1"/>
    <col min="10464" max="10465" width="13.5703125" customWidth="1"/>
    <col min="10468" max="10469" width="2.5703125" customWidth="1"/>
    <col min="10472" max="10473" width="13.5703125" customWidth="1"/>
    <col min="10476" max="10477" width="2.5703125" customWidth="1"/>
    <col min="10480" max="10481" width="13.5703125" customWidth="1"/>
    <col min="10484" max="10485" width="2.5703125" customWidth="1"/>
    <col min="10488" max="10489" width="13.5703125" customWidth="1"/>
    <col min="10492" max="10493" width="2.5703125" customWidth="1"/>
    <col min="10496" max="10497" width="13.5703125" customWidth="1"/>
    <col min="10500" max="10501" width="2.5703125" customWidth="1"/>
    <col min="10504" max="10505" width="13.5703125" customWidth="1"/>
    <col min="10508" max="10509" width="2.5703125" customWidth="1"/>
    <col min="10512" max="10513" width="13.5703125" customWidth="1"/>
    <col min="10516" max="10517" width="2.5703125" customWidth="1"/>
    <col min="10520" max="10521" width="13.5703125" customWidth="1"/>
    <col min="10524" max="10525" width="2.5703125" customWidth="1"/>
    <col min="10528" max="10529" width="13.5703125" customWidth="1"/>
    <col min="10532" max="10533" width="2.5703125" customWidth="1"/>
    <col min="10536" max="10537" width="13.5703125" customWidth="1"/>
    <col min="10540" max="10541" width="2.5703125" customWidth="1"/>
    <col min="10544" max="10545" width="13.5703125" customWidth="1"/>
    <col min="10548" max="10549" width="2.5703125" customWidth="1"/>
    <col min="10552" max="10553" width="13.5703125" customWidth="1"/>
    <col min="10556" max="10557" width="2.5703125" customWidth="1"/>
    <col min="10560" max="10561" width="13.5703125" customWidth="1"/>
    <col min="10564" max="10565" width="2.5703125" customWidth="1"/>
    <col min="10568" max="10569" width="13.5703125" customWidth="1"/>
    <col min="10572" max="10573" width="2.5703125" customWidth="1"/>
    <col min="10576" max="10577" width="13.5703125" customWidth="1"/>
    <col min="10580" max="10581" width="2.5703125" customWidth="1"/>
    <col min="10584" max="10585" width="13.5703125" customWidth="1"/>
    <col min="10588" max="10589" width="2.5703125" customWidth="1"/>
    <col min="10592" max="10593" width="13.5703125" customWidth="1"/>
    <col min="10596" max="10597" width="2.5703125" customWidth="1"/>
    <col min="10600" max="10601" width="13.5703125" customWidth="1"/>
    <col min="10604" max="10605" width="2.5703125" customWidth="1"/>
    <col min="10608" max="10609" width="13.5703125" customWidth="1"/>
    <col min="10612" max="10613" width="2.5703125" customWidth="1"/>
    <col min="10616" max="10617" width="13.5703125" customWidth="1"/>
    <col min="10620" max="10621" width="2.5703125" customWidth="1"/>
    <col min="10624" max="10625" width="13.5703125" customWidth="1"/>
    <col min="10628" max="10629" width="2.5703125" customWidth="1"/>
    <col min="10632" max="10633" width="13.5703125" customWidth="1"/>
    <col min="10636" max="10637" width="2.5703125" customWidth="1"/>
    <col min="10640" max="10641" width="13.5703125" customWidth="1"/>
    <col min="10644" max="10645" width="2.5703125" customWidth="1"/>
    <col min="10648" max="10649" width="13.5703125" customWidth="1"/>
    <col min="10652" max="10653" width="2.5703125" customWidth="1"/>
    <col min="10656" max="10657" width="13.5703125" customWidth="1"/>
    <col min="10660" max="10661" width="2.5703125" customWidth="1"/>
    <col min="10664" max="10665" width="13.5703125" customWidth="1"/>
    <col min="10668" max="10669" width="2.5703125" customWidth="1"/>
    <col min="10672" max="10673" width="13.5703125" customWidth="1"/>
    <col min="10676" max="10677" width="2.5703125" customWidth="1"/>
    <col min="10680" max="10681" width="13.5703125" customWidth="1"/>
    <col min="10684" max="10685" width="2.5703125" customWidth="1"/>
    <col min="10688" max="10689" width="13.5703125" customWidth="1"/>
    <col min="10692" max="10693" width="2.5703125" customWidth="1"/>
    <col min="10696" max="10697" width="13.5703125" customWidth="1"/>
    <col min="10700" max="10701" width="2.5703125" customWidth="1"/>
    <col min="10704" max="10705" width="13.5703125" customWidth="1"/>
    <col min="10708" max="10709" width="2.5703125" customWidth="1"/>
    <col min="10712" max="10713" width="13.5703125" customWidth="1"/>
    <col min="10716" max="10717" width="2.5703125" customWidth="1"/>
    <col min="10720" max="10721" width="13.5703125" customWidth="1"/>
    <col min="10724" max="10725" width="2.5703125" customWidth="1"/>
    <col min="10728" max="10729" width="13.5703125" customWidth="1"/>
    <col min="10732" max="10733" width="2.5703125" customWidth="1"/>
    <col min="10736" max="10737" width="13.5703125" customWidth="1"/>
    <col min="10740" max="10741" width="2.5703125" customWidth="1"/>
    <col min="10744" max="10745" width="13.5703125" customWidth="1"/>
    <col min="10748" max="10749" width="2.5703125" customWidth="1"/>
    <col min="10752" max="10753" width="13.5703125" customWidth="1"/>
    <col min="10756" max="10757" width="2.5703125" customWidth="1"/>
    <col min="10760" max="10761" width="13.5703125" customWidth="1"/>
    <col min="10764" max="10765" width="2.5703125" customWidth="1"/>
    <col min="10768" max="10769" width="13.5703125" customWidth="1"/>
    <col min="10772" max="10773" width="2.5703125" customWidth="1"/>
    <col min="10776" max="10777" width="13.5703125" customWidth="1"/>
    <col min="10780" max="10781" width="2.5703125" customWidth="1"/>
    <col min="10784" max="10785" width="13.5703125" customWidth="1"/>
    <col min="10788" max="10789" width="2.5703125" customWidth="1"/>
    <col min="10792" max="10793" width="13.5703125" customWidth="1"/>
    <col min="10796" max="10797" width="2.5703125" customWidth="1"/>
    <col min="10800" max="10801" width="13.5703125" customWidth="1"/>
    <col min="10804" max="10805" width="2.5703125" customWidth="1"/>
    <col min="10808" max="10809" width="13.5703125" customWidth="1"/>
    <col min="10812" max="10813" width="2.5703125" customWidth="1"/>
    <col min="10816" max="10817" width="13.5703125" customWidth="1"/>
    <col min="10820" max="10821" width="2.5703125" customWidth="1"/>
    <col min="10824" max="10825" width="13.5703125" customWidth="1"/>
    <col min="10828" max="10829" width="2.5703125" customWidth="1"/>
    <col min="10832" max="10833" width="13.5703125" customWidth="1"/>
    <col min="10836" max="10837" width="2.5703125" customWidth="1"/>
    <col min="10840" max="10841" width="13.5703125" customWidth="1"/>
    <col min="10844" max="10845" width="2.5703125" customWidth="1"/>
    <col min="10848" max="10849" width="13.5703125" customWidth="1"/>
    <col min="10852" max="10853" width="2.5703125" customWidth="1"/>
    <col min="10856" max="10857" width="13.5703125" customWidth="1"/>
    <col min="10860" max="10861" width="2.5703125" customWidth="1"/>
    <col min="10864" max="10865" width="13.5703125" customWidth="1"/>
    <col min="10868" max="10869" width="2.5703125" customWidth="1"/>
    <col min="10872" max="10873" width="13.5703125" customWidth="1"/>
    <col min="10876" max="10877" width="2.5703125" customWidth="1"/>
    <col min="10880" max="10881" width="13.5703125" customWidth="1"/>
    <col min="10884" max="10885" width="2.5703125" customWidth="1"/>
    <col min="10888" max="10889" width="13.5703125" customWidth="1"/>
    <col min="10892" max="10893" width="2.5703125" customWidth="1"/>
    <col min="10896" max="10897" width="13.5703125" customWidth="1"/>
    <col min="10900" max="10901" width="2.5703125" customWidth="1"/>
    <col min="10904" max="10905" width="13.5703125" customWidth="1"/>
    <col min="10908" max="10909" width="2.5703125" customWidth="1"/>
    <col min="10912" max="10913" width="13.5703125" customWidth="1"/>
    <col min="10916" max="10917" width="2.5703125" customWidth="1"/>
    <col min="10920" max="10921" width="13.5703125" customWidth="1"/>
    <col min="10924" max="10925" width="2.5703125" customWidth="1"/>
    <col min="10928" max="10929" width="13.5703125" customWidth="1"/>
    <col min="10932" max="10933" width="2.5703125" customWidth="1"/>
    <col min="10936" max="10937" width="13.5703125" customWidth="1"/>
    <col min="10940" max="10941" width="2.5703125" customWidth="1"/>
    <col min="10944" max="10945" width="13.5703125" customWidth="1"/>
    <col min="10948" max="10949" width="2.5703125" customWidth="1"/>
    <col min="10952" max="10953" width="13.5703125" customWidth="1"/>
    <col min="10956" max="10957" width="2.5703125" customWidth="1"/>
    <col min="10960" max="10961" width="13.5703125" customWidth="1"/>
    <col min="10964" max="10965" width="2.5703125" customWidth="1"/>
    <col min="10968" max="10969" width="13.5703125" customWidth="1"/>
    <col min="10972" max="10973" width="2.5703125" customWidth="1"/>
    <col min="10976" max="10977" width="13.5703125" customWidth="1"/>
    <col min="10980" max="10981" width="2.5703125" customWidth="1"/>
    <col min="10984" max="10985" width="13.5703125" customWidth="1"/>
    <col min="10988" max="10989" width="2.5703125" customWidth="1"/>
    <col min="10992" max="10993" width="13.5703125" customWidth="1"/>
    <col min="10996" max="10997" width="2.5703125" customWidth="1"/>
    <col min="11000" max="11001" width="13.5703125" customWidth="1"/>
    <col min="11004" max="11005" width="2.5703125" customWidth="1"/>
    <col min="11008" max="11009" width="13.5703125" customWidth="1"/>
    <col min="11012" max="11013" width="2.5703125" customWidth="1"/>
    <col min="11016" max="11017" width="13.5703125" customWidth="1"/>
    <col min="11020" max="11021" width="2.5703125" customWidth="1"/>
    <col min="11024" max="11025" width="13.5703125" customWidth="1"/>
    <col min="11028" max="11029" width="2.5703125" customWidth="1"/>
    <col min="11032" max="11033" width="13.5703125" customWidth="1"/>
    <col min="11036" max="11037" width="2.5703125" customWidth="1"/>
    <col min="11040" max="11041" width="13.5703125" customWidth="1"/>
    <col min="11044" max="11045" width="2.5703125" customWidth="1"/>
    <col min="11048" max="11049" width="13.5703125" customWidth="1"/>
    <col min="11052" max="11053" width="2.5703125" customWidth="1"/>
    <col min="11056" max="11057" width="13.5703125" customWidth="1"/>
    <col min="11060" max="11061" width="2.5703125" customWidth="1"/>
    <col min="11064" max="11065" width="13.5703125" customWidth="1"/>
    <col min="11068" max="11069" width="2.5703125" customWidth="1"/>
    <col min="11072" max="11073" width="13.5703125" customWidth="1"/>
    <col min="11076" max="11077" width="2.5703125" customWidth="1"/>
    <col min="11080" max="11081" width="13.5703125" customWidth="1"/>
    <col min="11084" max="11085" width="2.5703125" customWidth="1"/>
    <col min="11088" max="11089" width="13.5703125" customWidth="1"/>
    <col min="11092" max="11093" width="2.5703125" customWidth="1"/>
    <col min="11096" max="11097" width="13.5703125" customWidth="1"/>
    <col min="11100" max="11101" width="2.5703125" customWidth="1"/>
    <col min="11104" max="11105" width="13.5703125" customWidth="1"/>
    <col min="11108" max="11109" width="2.5703125" customWidth="1"/>
    <col min="11112" max="11113" width="13.5703125" customWidth="1"/>
    <col min="11116" max="11117" width="2.5703125" customWidth="1"/>
    <col min="11120" max="11121" width="13.5703125" customWidth="1"/>
    <col min="11124" max="11125" width="2.5703125" customWidth="1"/>
    <col min="11128" max="11129" width="13.5703125" customWidth="1"/>
    <col min="11132" max="11133" width="2.5703125" customWidth="1"/>
    <col min="11136" max="11137" width="13.5703125" customWidth="1"/>
    <col min="11140" max="11141" width="2.5703125" customWidth="1"/>
    <col min="11144" max="11145" width="13.5703125" customWidth="1"/>
    <col min="11148" max="11149" width="2.5703125" customWidth="1"/>
    <col min="11152" max="11153" width="13.5703125" customWidth="1"/>
    <col min="11156" max="11157" width="2.5703125" customWidth="1"/>
    <col min="11160" max="11161" width="13.5703125" customWidth="1"/>
    <col min="11164" max="11165" width="2.5703125" customWidth="1"/>
    <col min="11168" max="11169" width="13.5703125" customWidth="1"/>
    <col min="11172" max="11173" width="2.5703125" customWidth="1"/>
    <col min="11176" max="11177" width="13.5703125" customWidth="1"/>
    <col min="11180" max="11181" width="2.5703125" customWidth="1"/>
    <col min="11184" max="11185" width="13.5703125" customWidth="1"/>
    <col min="11188" max="11189" width="2.5703125" customWidth="1"/>
    <col min="11192" max="11193" width="13.5703125" customWidth="1"/>
    <col min="11196" max="11197" width="2.5703125" customWidth="1"/>
    <col min="11200" max="11201" width="13.5703125" customWidth="1"/>
    <col min="11204" max="11205" width="2.5703125" customWidth="1"/>
    <col min="11208" max="11209" width="13.5703125" customWidth="1"/>
    <col min="11212" max="11213" width="2.5703125" customWidth="1"/>
    <col min="11216" max="11217" width="13.5703125" customWidth="1"/>
    <col min="11220" max="11221" width="2.5703125" customWidth="1"/>
    <col min="11224" max="11225" width="13.5703125" customWidth="1"/>
    <col min="11228" max="11229" width="2.5703125" customWidth="1"/>
    <col min="11232" max="11233" width="13.5703125" customWidth="1"/>
    <col min="11236" max="11237" width="2.5703125" customWidth="1"/>
    <col min="11240" max="11241" width="13.5703125" customWidth="1"/>
    <col min="11244" max="11245" width="2.5703125" customWidth="1"/>
    <col min="11248" max="11249" width="13.5703125" customWidth="1"/>
    <col min="11252" max="11253" width="2.5703125" customWidth="1"/>
    <col min="11256" max="11257" width="13.5703125" customWidth="1"/>
    <col min="11260" max="11261" width="2.5703125" customWidth="1"/>
    <col min="11264" max="11265" width="13.5703125" customWidth="1"/>
    <col min="11268" max="11269" width="2.5703125" customWidth="1"/>
    <col min="11272" max="11273" width="13.5703125" customWidth="1"/>
    <col min="11276" max="11277" width="2.5703125" customWidth="1"/>
    <col min="11280" max="11281" width="13.5703125" customWidth="1"/>
    <col min="11284" max="11285" width="2.5703125" customWidth="1"/>
    <col min="11288" max="11289" width="13.5703125" customWidth="1"/>
    <col min="11292" max="11293" width="2.5703125" customWidth="1"/>
    <col min="11296" max="11297" width="13.5703125" customWidth="1"/>
    <col min="11300" max="11301" width="2.5703125" customWidth="1"/>
    <col min="11304" max="11305" width="13.5703125" customWidth="1"/>
    <col min="11308" max="11309" width="2.5703125" customWidth="1"/>
    <col min="11312" max="11313" width="13.5703125" customWidth="1"/>
    <col min="11316" max="11317" width="2.5703125" customWidth="1"/>
    <col min="11320" max="11321" width="13.5703125" customWidth="1"/>
    <col min="11324" max="11325" width="2.5703125" customWidth="1"/>
    <col min="11328" max="11329" width="13.5703125" customWidth="1"/>
    <col min="11332" max="11333" width="2.5703125" customWidth="1"/>
    <col min="11336" max="11337" width="13.5703125" customWidth="1"/>
    <col min="11340" max="11341" width="2.5703125" customWidth="1"/>
    <col min="11344" max="11345" width="13.5703125" customWidth="1"/>
    <col min="11348" max="11349" width="2.5703125" customWidth="1"/>
    <col min="11352" max="11353" width="13.5703125" customWidth="1"/>
    <col min="11356" max="11357" width="2.5703125" customWidth="1"/>
    <col min="11360" max="11361" width="13.5703125" customWidth="1"/>
    <col min="11364" max="11365" width="2.5703125" customWidth="1"/>
    <col min="11368" max="11369" width="13.5703125" customWidth="1"/>
    <col min="11372" max="11373" width="2.5703125" customWidth="1"/>
    <col min="11376" max="11377" width="13.5703125" customWidth="1"/>
    <col min="11380" max="11381" width="2.5703125" customWidth="1"/>
    <col min="11384" max="11385" width="13.5703125" customWidth="1"/>
    <col min="11388" max="11389" width="2.5703125" customWidth="1"/>
    <col min="11392" max="11393" width="13.5703125" customWidth="1"/>
    <col min="11396" max="11397" width="2.5703125" customWidth="1"/>
    <col min="11400" max="11401" width="13.5703125" customWidth="1"/>
    <col min="11404" max="11405" width="2.5703125" customWidth="1"/>
    <col min="11408" max="11409" width="13.5703125" customWidth="1"/>
    <col min="11412" max="11413" width="2.5703125" customWidth="1"/>
    <col min="11416" max="11417" width="13.5703125" customWidth="1"/>
    <col min="11420" max="11421" width="2.5703125" customWidth="1"/>
    <col min="11424" max="11425" width="13.5703125" customWidth="1"/>
    <col min="11428" max="11429" width="2.5703125" customWidth="1"/>
    <col min="11432" max="11433" width="13.5703125" customWidth="1"/>
    <col min="11436" max="11437" width="2.5703125" customWidth="1"/>
    <col min="11440" max="11441" width="13.5703125" customWidth="1"/>
    <col min="11444" max="11445" width="2.5703125" customWidth="1"/>
    <col min="11448" max="11449" width="13.5703125" customWidth="1"/>
    <col min="11452" max="11453" width="2.5703125" customWidth="1"/>
    <col min="11456" max="11457" width="13.5703125" customWidth="1"/>
    <col min="11460" max="11461" width="2.5703125" customWidth="1"/>
    <col min="11464" max="11465" width="13.5703125" customWidth="1"/>
    <col min="11468" max="11469" width="2.5703125" customWidth="1"/>
    <col min="11472" max="11473" width="13.5703125" customWidth="1"/>
    <col min="11476" max="11477" width="2.5703125" customWidth="1"/>
    <col min="11480" max="11481" width="13.5703125" customWidth="1"/>
    <col min="11484" max="11485" width="2.5703125" customWidth="1"/>
    <col min="11488" max="11489" width="13.5703125" customWidth="1"/>
    <col min="11492" max="11493" width="2.5703125" customWidth="1"/>
    <col min="11496" max="11497" width="13.5703125" customWidth="1"/>
    <col min="11500" max="11501" width="2.5703125" customWidth="1"/>
    <col min="11504" max="11505" width="13.5703125" customWidth="1"/>
    <col min="11508" max="11509" width="2.5703125" customWidth="1"/>
    <col min="11512" max="11513" width="13.5703125" customWidth="1"/>
    <col min="11516" max="11517" width="2.5703125" customWidth="1"/>
    <col min="11520" max="11521" width="13.5703125" customWidth="1"/>
    <col min="11524" max="11525" width="2.5703125" customWidth="1"/>
    <col min="11528" max="11529" width="13.5703125" customWidth="1"/>
    <col min="11532" max="11533" width="2.5703125" customWidth="1"/>
    <col min="11536" max="11537" width="13.5703125" customWidth="1"/>
    <col min="11540" max="11541" width="2.5703125" customWidth="1"/>
    <col min="11544" max="11545" width="13.5703125" customWidth="1"/>
    <col min="11548" max="11549" width="2.5703125" customWidth="1"/>
    <col min="11552" max="11553" width="13.5703125" customWidth="1"/>
    <col min="11556" max="11557" width="2.5703125" customWidth="1"/>
    <col min="11560" max="11561" width="13.5703125" customWidth="1"/>
    <col min="11564" max="11565" width="2.5703125" customWidth="1"/>
    <col min="11568" max="11569" width="13.5703125" customWidth="1"/>
    <col min="11572" max="11573" width="2.5703125" customWidth="1"/>
    <col min="11576" max="11577" width="13.5703125" customWidth="1"/>
    <col min="11580" max="11581" width="2.5703125" customWidth="1"/>
    <col min="11584" max="11585" width="13.5703125" customWidth="1"/>
    <col min="11588" max="11589" width="2.5703125" customWidth="1"/>
    <col min="11592" max="11593" width="13.5703125" customWidth="1"/>
    <col min="11596" max="11597" width="2.5703125" customWidth="1"/>
    <col min="11600" max="11601" width="13.5703125" customWidth="1"/>
    <col min="11604" max="11605" width="2.5703125" customWidth="1"/>
    <col min="11608" max="11609" width="13.5703125" customWidth="1"/>
    <col min="11612" max="11613" width="2.5703125" customWidth="1"/>
    <col min="11616" max="11617" width="13.5703125" customWidth="1"/>
    <col min="11620" max="11621" width="2.5703125" customWidth="1"/>
    <col min="11624" max="11625" width="13.5703125" customWidth="1"/>
    <col min="11628" max="11629" width="2.5703125" customWidth="1"/>
    <col min="11632" max="11633" width="13.5703125" customWidth="1"/>
    <col min="11636" max="11637" width="2.5703125" customWidth="1"/>
    <col min="11640" max="11641" width="13.5703125" customWidth="1"/>
    <col min="11644" max="11645" width="2.5703125" customWidth="1"/>
    <col min="11648" max="11649" width="13.5703125" customWidth="1"/>
    <col min="11652" max="11653" width="2.5703125" customWidth="1"/>
    <col min="11656" max="11657" width="13.5703125" customWidth="1"/>
    <col min="11660" max="11661" width="2.5703125" customWidth="1"/>
    <col min="11664" max="11665" width="13.5703125" customWidth="1"/>
    <col min="11668" max="11669" width="2.5703125" customWidth="1"/>
    <col min="11672" max="11673" width="13.5703125" customWidth="1"/>
    <col min="11676" max="11677" width="2.5703125" customWidth="1"/>
    <col min="11680" max="11681" width="13.5703125" customWidth="1"/>
    <col min="11684" max="11685" width="2.5703125" customWidth="1"/>
    <col min="11688" max="11689" width="13.5703125" customWidth="1"/>
    <col min="11692" max="11693" width="2.5703125" customWidth="1"/>
    <col min="11696" max="11697" width="13.5703125" customWidth="1"/>
    <col min="11700" max="11701" width="2.5703125" customWidth="1"/>
    <col min="11704" max="11705" width="13.5703125" customWidth="1"/>
    <col min="11708" max="11709" width="2.5703125" customWidth="1"/>
    <col min="11712" max="11713" width="13.5703125" customWidth="1"/>
    <col min="11716" max="11717" width="2.5703125" customWidth="1"/>
    <col min="11720" max="11721" width="13.5703125" customWidth="1"/>
    <col min="11724" max="11725" width="2.5703125" customWidth="1"/>
    <col min="11728" max="11729" width="13.5703125" customWidth="1"/>
    <col min="11732" max="11733" width="2.5703125" customWidth="1"/>
    <col min="11736" max="11737" width="13.5703125" customWidth="1"/>
    <col min="11740" max="11741" width="2.5703125" customWidth="1"/>
    <col min="11744" max="11745" width="13.5703125" customWidth="1"/>
    <col min="11748" max="11749" width="2.5703125" customWidth="1"/>
    <col min="11752" max="11753" width="13.5703125" customWidth="1"/>
    <col min="11756" max="11757" width="2.5703125" customWidth="1"/>
    <col min="11760" max="11761" width="13.5703125" customWidth="1"/>
    <col min="11764" max="11765" width="2.5703125" customWidth="1"/>
    <col min="11768" max="11769" width="13.5703125" customWidth="1"/>
    <col min="11772" max="11773" width="2.5703125" customWidth="1"/>
    <col min="11776" max="11777" width="13.5703125" customWidth="1"/>
    <col min="11780" max="11781" width="2.5703125" customWidth="1"/>
    <col min="11784" max="11785" width="13.5703125" customWidth="1"/>
    <col min="11788" max="11789" width="2.5703125" customWidth="1"/>
    <col min="11792" max="11793" width="13.5703125" customWidth="1"/>
    <col min="11796" max="11797" width="2.5703125" customWidth="1"/>
    <col min="11800" max="11801" width="13.5703125" customWidth="1"/>
    <col min="11804" max="11805" width="2.5703125" customWidth="1"/>
    <col min="11808" max="11809" width="13.5703125" customWidth="1"/>
    <col min="11812" max="11813" width="2.5703125" customWidth="1"/>
    <col min="11816" max="11817" width="13.5703125" customWidth="1"/>
    <col min="11820" max="11821" width="2.5703125" customWidth="1"/>
    <col min="11824" max="11825" width="13.5703125" customWidth="1"/>
    <col min="11828" max="11829" width="2.5703125" customWidth="1"/>
    <col min="11832" max="11833" width="13.5703125" customWidth="1"/>
    <col min="11836" max="11837" width="2.5703125" customWidth="1"/>
    <col min="11840" max="11841" width="13.5703125" customWidth="1"/>
    <col min="11844" max="11845" width="2.5703125" customWidth="1"/>
    <col min="11848" max="11849" width="13.5703125" customWidth="1"/>
    <col min="11852" max="11853" width="2.5703125" customWidth="1"/>
    <col min="11856" max="11857" width="13.5703125" customWidth="1"/>
    <col min="11860" max="11861" width="2.5703125" customWidth="1"/>
    <col min="11864" max="11865" width="13.5703125" customWidth="1"/>
    <col min="11868" max="11869" width="2.5703125" customWidth="1"/>
    <col min="11872" max="11873" width="13.5703125" customWidth="1"/>
    <col min="11876" max="11877" width="2.5703125" customWidth="1"/>
    <col min="11880" max="11881" width="13.5703125" customWidth="1"/>
    <col min="11884" max="11885" width="2.5703125" customWidth="1"/>
    <col min="11888" max="11889" width="13.5703125" customWidth="1"/>
    <col min="11892" max="11893" width="2.5703125" customWidth="1"/>
    <col min="11896" max="11897" width="13.5703125" customWidth="1"/>
    <col min="11900" max="11901" width="2.5703125" customWidth="1"/>
    <col min="11904" max="11905" width="13.5703125" customWidth="1"/>
    <col min="11908" max="11909" width="2.5703125" customWidth="1"/>
    <col min="11912" max="11913" width="13.5703125" customWidth="1"/>
    <col min="11916" max="11917" width="2.5703125" customWidth="1"/>
    <col min="11920" max="11921" width="13.5703125" customWidth="1"/>
    <col min="11924" max="11925" width="2.5703125" customWidth="1"/>
    <col min="11928" max="11929" width="13.5703125" customWidth="1"/>
    <col min="11932" max="11933" width="2.5703125" customWidth="1"/>
    <col min="11936" max="11937" width="13.5703125" customWidth="1"/>
    <col min="11940" max="11941" width="2.5703125" customWidth="1"/>
    <col min="11944" max="11945" width="13.5703125" customWidth="1"/>
    <col min="11948" max="11949" width="2.5703125" customWidth="1"/>
    <col min="11952" max="11953" width="13.5703125" customWidth="1"/>
    <col min="11956" max="11957" width="2.5703125" customWidth="1"/>
    <col min="11960" max="11961" width="13.5703125" customWidth="1"/>
    <col min="11964" max="11965" width="2.5703125" customWidth="1"/>
    <col min="11968" max="11969" width="13.5703125" customWidth="1"/>
    <col min="11972" max="11973" width="2.5703125" customWidth="1"/>
    <col min="11976" max="11977" width="13.5703125" customWidth="1"/>
    <col min="11980" max="11981" width="2.5703125" customWidth="1"/>
    <col min="11984" max="11985" width="13.5703125" customWidth="1"/>
    <col min="11988" max="11989" width="2.5703125" customWidth="1"/>
    <col min="11992" max="11993" width="13.5703125" customWidth="1"/>
    <col min="11996" max="11997" width="2.5703125" customWidth="1"/>
    <col min="12000" max="12001" width="13.5703125" customWidth="1"/>
    <col min="12004" max="12005" width="2.5703125" customWidth="1"/>
    <col min="12008" max="12009" width="13.5703125" customWidth="1"/>
    <col min="12012" max="12013" width="2.5703125" customWidth="1"/>
    <col min="12016" max="12017" width="13.5703125" customWidth="1"/>
    <col min="12020" max="12021" width="2.5703125" customWidth="1"/>
    <col min="12024" max="12025" width="13.5703125" customWidth="1"/>
    <col min="12028" max="12029" width="2.5703125" customWidth="1"/>
    <col min="12032" max="12033" width="13.5703125" customWidth="1"/>
    <col min="12036" max="12037" width="2.5703125" customWidth="1"/>
    <col min="12040" max="12041" width="13.5703125" customWidth="1"/>
    <col min="12044" max="12045" width="2.5703125" customWidth="1"/>
    <col min="12048" max="12049" width="13.5703125" customWidth="1"/>
    <col min="12052" max="12053" width="2.5703125" customWidth="1"/>
    <col min="12056" max="12057" width="13.5703125" customWidth="1"/>
    <col min="12060" max="12061" width="2.5703125" customWidth="1"/>
    <col min="12064" max="12065" width="13.5703125" customWidth="1"/>
    <col min="12068" max="12069" width="2.5703125" customWidth="1"/>
    <col min="12072" max="12073" width="13.5703125" customWidth="1"/>
    <col min="12076" max="12077" width="2.5703125" customWidth="1"/>
    <col min="12080" max="12081" width="13.5703125" customWidth="1"/>
    <col min="12084" max="12085" width="2.5703125" customWidth="1"/>
    <col min="12088" max="12089" width="13.5703125" customWidth="1"/>
    <col min="12092" max="12093" width="2.5703125" customWidth="1"/>
    <col min="12096" max="12097" width="13.5703125" customWidth="1"/>
    <col min="12100" max="12101" width="2.5703125" customWidth="1"/>
    <col min="12104" max="12105" width="13.5703125" customWidth="1"/>
    <col min="12108" max="12109" width="2.5703125" customWidth="1"/>
    <col min="12112" max="12113" width="13.5703125" customWidth="1"/>
    <col min="12116" max="12117" width="2.5703125" customWidth="1"/>
    <col min="12120" max="12121" width="13.5703125" customWidth="1"/>
    <col min="12124" max="12125" width="2.5703125" customWidth="1"/>
    <col min="12128" max="12129" width="13.5703125" customWidth="1"/>
    <col min="12132" max="12133" width="2.5703125" customWidth="1"/>
    <col min="12136" max="12137" width="13.5703125" customWidth="1"/>
    <col min="12140" max="12141" width="2.5703125" customWidth="1"/>
    <col min="12144" max="12145" width="13.5703125" customWidth="1"/>
    <col min="12148" max="12149" width="2.5703125" customWidth="1"/>
    <col min="12152" max="12153" width="13.5703125" customWidth="1"/>
    <col min="12156" max="12157" width="2.5703125" customWidth="1"/>
    <col min="12160" max="12161" width="13.5703125" customWidth="1"/>
    <col min="12164" max="12165" width="2.5703125" customWidth="1"/>
    <col min="12168" max="12169" width="13.5703125" customWidth="1"/>
    <col min="12172" max="12173" width="2.5703125" customWidth="1"/>
    <col min="12176" max="12177" width="13.5703125" customWidth="1"/>
    <col min="12180" max="12181" width="2.5703125" customWidth="1"/>
    <col min="12184" max="12185" width="13.5703125" customWidth="1"/>
    <col min="12188" max="12189" width="2.5703125" customWidth="1"/>
    <col min="12192" max="12193" width="13.5703125" customWidth="1"/>
    <col min="12196" max="12197" width="2.5703125" customWidth="1"/>
    <col min="12200" max="12201" width="13.5703125" customWidth="1"/>
    <col min="12204" max="12205" width="2.5703125" customWidth="1"/>
    <col min="12208" max="12209" width="13.5703125" customWidth="1"/>
    <col min="12212" max="12213" width="2.5703125" customWidth="1"/>
    <col min="12216" max="12217" width="13.5703125" customWidth="1"/>
    <col min="12220" max="12221" width="2.5703125" customWidth="1"/>
    <col min="12224" max="12225" width="13.5703125" customWidth="1"/>
    <col min="12228" max="12229" width="2.5703125" customWidth="1"/>
    <col min="12232" max="12233" width="13.5703125" customWidth="1"/>
    <col min="12236" max="12237" width="2.5703125" customWidth="1"/>
    <col min="12240" max="12241" width="13.5703125" customWidth="1"/>
    <col min="12244" max="12245" width="2.5703125" customWidth="1"/>
    <col min="12248" max="12249" width="13.5703125" customWidth="1"/>
    <col min="12252" max="12253" width="2.5703125" customWidth="1"/>
    <col min="12256" max="12257" width="13.5703125" customWidth="1"/>
    <col min="12260" max="12261" width="2.5703125" customWidth="1"/>
    <col min="12264" max="12265" width="13.5703125" customWidth="1"/>
    <col min="12268" max="12269" width="2.5703125" customWidth="1"/>
    <col min="12272" max="12273" width="13.5703125" customWidth="1"/>
    <col min="12276" max="12277" width="2.5703125" customWidth="1"/>
    <col min="12280" max="12281" width="13.5703125" customWidth="1"/>
    <col min="12284" max="12285" width="2.5703125" customWidth="1"/>
    <col min="12288" max="12289" width="13.5703125" customWidth="1"/>
    <col min="12292" max="12293" width="2.5703125" customWidth="1"/>
    <col min="12296" max="12297" width="13.5703125" customWidth="1"/>
    <col min="12300" max="12301" width="2.5703125" customWidth="1"/>
    <col min="12304" max="12305" width="13.5703125" customWidth="1"/>
    <col min="12308" max="12309" width="2.5703125" customWidth="1"/>
    <col min="12312" max="12313" width="13.5703125" customWidth="1"/>
    <col min="12316" max="12317" width="2.5703125" customWidth="1"/>
    <col min="12320" max="12321" width="13.5703125" customWidth="1"/>
    <col min="12324" max="12325" width="2.5703125" customWidth="1"/>
    <col min="12328" max="12329" width="13.5703125" customWidth="1"/>
    <col min="12332" max="12333" width="2.5703125" customWidth="1"/>
    <col min="12336" max="12337" width="13.5703125" customWidth="1"/>
    <col min="12340" max="12341" width="2.5703125" customWidth="1"/>
    <col min="12344" max="12345" width="13.5703125" customWidth="1"/>
    <col min="12348" max="12349" width="2.5703125" customWidth="1"/>
    <col min="12352" max="12353" width="13.5703125" customWidth="1"/>
    <col min="12356" max="12357" width="2.5703125" customWidth="1"/>
    <col min="12360" max="12361" width="13.5703125" customWidth="1"/>
    <col min="12364" max="12365" width="2.5703125" customWidth="1"/>
    <col min="12368" max="12369" width="13.5703125" customWidth="1"/>
    <col min="12372" max="12373" width="2.5703125" customWidth="1"/>
    <col min="12376" max="12377" width="13.5703125" customWidth="1"/>
    <col min="12380" max="12381" width="2.5703125" customWidth="1"/>
    <col min="12384" max="12385" width="13.5703125" customWidth="1"/>
    <col min="12388" max="12389" width="2.5703125" customWidth="1"/>
    <col min="12392" max="12393" width="13.5703125" customWidth="1"/>
    <col min="12396" max="12397" width="2.5703125" customWidth="1"/>
    <col min="12400" max="12401" width="13.5703125" customWidth="1"/>
    <col min="12404" max="12405" width="2.5703125" customWidth="1"/>
    <col min="12408" max="12409" width="13.5703125" customWidth="1"/>
    <col min="12412" max="12413" width="2.5703125" customWidth="1"/>
    <col min="12416" max="12417" width="13.5703125" customWidth="1"/>
    <col min="12420" max="12421" width="2.5703125" customWidth="1"/>
    <col min="12424" max="12425" width="13.5703125" customWidth="1"/>
    <col min="12428" max="12429" width="2.5703125" customWidth="1"/>
    <col min="12432" max="12433" width="13.5703125" customWidth="1"/>
    <col min="12436" max="12437" width="2.5703125" customWidth="1"/>
    <col min="12440" max="12441" width="13.5703125" customWidth="1"/>
    <col min="12444" max="12445" width="2.5703125" customWidth="1"/>
    <col min="12448" max="12449" width="13.5703125" customWidth="1"/>
    <col min="12452" max="12453" width="2.5703125" customWidth="1"/>
    <col min="12456" max="12457" width="13.5703125" customWidth="1"/>
    <col min="12460" max="12461" width="2.5703125" customWidth="1"/>
    <col min="12464" max="12465" width="13.5703125" customWidth="1"/>
    <col min="12468" max="12469" width="2.5703125" customWidth="1"/>
    <col min="12472" max="12473" width="13.5703125" customWidth="1"/>
    <col min="12476" max="12477" width="2.5703125" customWidth="1"/>
    <col min="12480" max="12481" width="13.5703125" customWidth="1"/>
    <col min="12484" max="12485" width="2.5703125" customWidth="1"/>
    <col min="12488" max="12489" width="13.5703125" customWidth="1"/>
    <col min="12492" max="12493" width="2.5703125" customWidth="1"/>
    <col min="12496" max="12497" width="13.5703125" customWidth="1"/>
    <col min="12500" max="12501" width="2.5703125" customWidth="1"/>
    <col min="12504" max="12505" width="13.5703125" customWidth="1"/>
    <col min="12508" max="12509" width="2.5703125" customWidth="1"/>
    <col min="12512" max="12513" width="13.5703125" customWidth="1"/>
    <col min="12516" max="12517" width="2.5703125" customWidth="1"/>
    <col min="12520" max="12521" width="13.5703125" customWidth="1"/>
    <col min="12524" max="12525" width="2.5703125" customWidth="1"/>
    <col min="12528" max="12529" width="13.5703125" customWidth="1"/>
    <col min="12532" max="12533" width="2.5703125" customWidth="1"/>
    <col min="12536" max="12537" width="13.5703125" customWidth="1"/>
    <col min="12540" max="12541" width="2.5703125" customWidth="1"/>
    <col min="12544" max="12545" width="13.5703125" customWidth="1"/>
    <col min="12548" max="12549" width="2.5703125" customWidth="1"/>
    <col min="12552" max="12553" width="13.5703125" customWidth="1"/>
    <col min="12556" max="12557" width="2.5703125" customWidth="1"/>
    <col min="12560" max="12561" width="13.5703125" customWidth="1"/>
    <col min="12564" max="12565" width="2.5703125" customWidth="1"/>
    <col min="12568" max="12569" width="13.5703125" customWidth="1"/>
    <col min="12572" max="12573" width="2.5703125" customWidth="1"/>
    <col min="12576" max="12577" width="13.5703125" customWidth="1"/>
    <col min="12580" max="12581" width="2.5703125" customWidth="1"/>
    <col min="12584" max="12585" width="13.5703125" customWidth="1"/>
    <col min="12588" max="12589" width="2.5703125" customWidth="1"/>
    <col min="12592" max="12593" width="13.5703125" customWidth="1"/>
    <col min="12596" max="12597" width="2.5703125" customWidth="1"/>
    <col min="12600" max="12601" width="13.5703125" customWidth="1"/>
    <col min="12604" max="12605" width="2.5703125" customWidth="1"/>
    <col min="12608" max="12609" width="13.5703125" customWidth="1"/>
    <col min="12612" max="12613" width="2.5703125" customWidth="1"/>
    <col min="12616" max="12617" width="13.5703125" customWidth="1"/>
    <col min="12620" max="12621" width="2.5703125" customWidth="1"/>
    <col min="12624" max="12625" width="13.5703125" customWidth="1"/>
    <col min="12628" max="12629" width="2.5703125" customWidth="1"/>
    <col min="12632" max="12633" width="13.5703125" customWidth="1"/>
    <col min="12636" max="12637" width="2.5703125" customWidth="1"/>
    <col min="12640" max="12641" width="13.5703125" customWidth="1"/>
    <col min="12644" max="12645" width="2.5703125" customWidth="1"/>
    <col min="12648" max="12649" width="13.5703125" customWidth="1"/>
    <col min="12652" max="12653" width="2.5703125" customWidth="1"/>
    <col min="12656" max="12657" width="13.5703125" customWidth="1"/>
    <col min="12660" max="12661" width="2.5703125" customWidth="1"/>
    <col min="12664" max="12665" width="13.5703125" customWidth="1"/>
    <col min="12668" max="12669" width="2.5703125" customWidth="1"/>
    <col min="12672" max="12673" width="13.5703125" customWidth="1"/>
    <col min="12676" max="12677" width="2.5703125" customWidth="1"/>
    <col min="12680" max="12681" width="13.5703125" customWidth="1"/>
    <col min="12684" max="12685" width="2.5703125" customWidth="1"/>
    <col min="12688" max="12689" width="13.5703125" customWidth="1"/>
    <col min="12692" max="12693" width="2.5703125" customWidth="1"/>
    <col min="12696" max="12697" width="13.5703125" customWidth="1"/>
    <col min="12700" max="12701" width="2.5703125" customWidth="1"/>
    <col min="12704" max="12705" width="13.5703125" customWidth="1"/>
    <col min="12708" max="12709" width="2.5703125" customWidth="1"/>
    <col min="12712" max="12713" width="13.5703125" customWidth="1"/>
    <col min="12716" max="12717" width="2.5703125" customWidth="1"/>
    <col min="12720" max="12721" width="13.5703125" customWidth="1"/>
    <col min="12724" max="12725" width="2.5703125" customWidth="1"/>
    <col min="12728" max="12729" width="13.5703125" customWidth="1"/>
    <col min="12732" max="12733" width="2.5703125" customWidth="1"/>
    <col min="12736" max="12737" width="13.5703125" customWidth="1"/>
    <col min="12740" max="12741" width="2.5703125" customWidth="1"/>
    <col min="12744" max="12745" width="13.5703125" customWidth="1"/>
    <col min="12748" max="12749" width="2.5703125" customWidth="1"/>
    <col min="12752" max="12753" width="13.5703125" customWidth="1"/>
    <col min="12756" max="12757" width="2.5703125" customWidth="1"/>
    <col min="12760" max="12761" width="13.5703125" customWidth="1"/>
    <col min="12764" max="12765" width="2.5703125" customWidth="1"/>
    <col min="12768" max="12769" width="13.5703125" customWidth="1"/>
    <col min="12772" max="12773" width="2.5703125" customWidth="1"/>
    <col min="12776" max="12777" width="13.5703125" customWidth="1"/>
    <col min="12780" max="12781" width="2.5703125" customWidth="1"/>
    <col min="12784" max="12785" width="13.5703125" customWidth="1"/>
    <col min="12788" max="12789" width="2.5703125" customWidth="1"/>
    <col min="12792" max="12793" width="13.5703125" customWidth="1"/>
    <col min="12796" max="12797" width="2.5703125" customWidth="1"/>
    <col min="12800" max="12801" width="13.5703125" customWidth="1"/>
    <col min="12804" max="12805" width="2.5703125" customWidth="1"/>
    <col min="12808" max="12809" width="13.5703125" customWidth="1"/>
    <col min="12812" max="12813" width="2.5703125" customWidth="1"/>
    <col min="12816" max="12817" width="13.5703125" customWidth="1"/>
    <col min="12820" max="12821" width="2.5703125" customWidth="1"/>
    <col min="12824" max="12825" width="13.5703125" customWidth="1"/>
    <col min="12828" max="12829" width="2.5703125" customWidth="1"/>
    <col min="12832" max="12833" width="13.5703125" customWidth="1"/>
    <col min="12836" max="12837" width="2.5703125" customWidth="1"/>
    <col min="12840" max="12841" width="13.5703125" customWidth="1"/>
    <col min="12844" max="12845" width="2.5703125" customWidth="1"/>
    <col min="12848" max="12849" width="13.5703125" customWidth="1"/>
    <col min="12852" max="12853" width="2.5703125" customWidth="1"/>
    <col min="12856" max="12857" width="13.5703125" customWidth="1"/>
    <col min="12860" max="12861" width="2.5703125" customWidth="1"/>
    <col min="12864" max="12865" width="13.5703125" customWidth="1"/>
    <col min="12868" max="12869" width="2.5703125" customWidth="1"/>
    <col min="12872" max="12873" width="13.5703125" customWidth="1"/>
    <col min="12876" max="12877" width="2.5703125" customWidth="1"/>
    <col min="12880" max="12881" width="13.5703125" customWidth="1"/>
    <col min="12884" max="12885" width="2.5703125" customWidth="1"/>
    <col min="12888" max="12889" width="13.5703125" customWidth="1"/>
    <col min="12892" max="12893" width="2.5703125" customWidth="1"/>
    <col min="12896" max="12897" width="13.5703125" customWidth="1"/>
    <col min="12900" max="12901" width="2.5703125" customWidth="1"/>
    <col min="12904" max="12905" width="13.5703125" customWidth="1"/>
    <col min="12908" max="12909" width="2.5703125" customWidth="1"/>
    <col min="12912" max="12913" width="13.5703125" customWidth="1"/>
    <col min="12916" max="12917" width="2.5703125" customWidth="1"/>
    <col min="12920" max="12921" width="13.5703125" customWidth="1"/>
    <col min="12924" max="12925" width="2.5703125" customWidth="1"/>
    <col min="12928" max="12929" width="13.5703125" customWidth="1"/>
    <col min="12932" max="12933" width="2.5703125" customWidth="1"/>
    <col min="12936" max="12937" width="13.5703125" customWidth="1"/>
    <col min="12940" max="12941" width="2.5703125" customWidth="1"/>
    <col min="12944" max="12945" width="13.5703125" customWidth="1"/>
    <col min="12948" max="12949" width="2.5703125" customWidth="1"/>
    <col min="12952" max="12953" width="13.5703125" customWidth="1"/>
    <col min="12956" max="12957" width="2.5703125" customWidth="1"/>
    <col min="12960" max="12961" width="13.5703125" customWidth="1"/>
    <col min="12964" max="12965" width="2.5703125" customWidth="1"/>
    <col min="12968" max="12969" width="13.5703125" customWidth="1"/>
    <col min="12972" max="12973" width="2.5703125" customWidth="1"/>
    <col min="12976" max="12977" width="13.5703125" customWidth="1"/>
    <col min="12980" max="12981" width="2.5703125" customWidth="1"/>
    <col min="12984" max="12985" width="13.5703125" customWidth="1"/>
    <col min="12988" max="12989" width="2.5703125" customWidth="1"/>
    <col min="12992" max="12993" width="13.5703125" customWidth="1"/>
    <col min="12996" max="12997" width="2.5703125" customWidth="1"/>
    <col min="13000" max="13001" width="13.5703125" customWidth="1"/>
    <col min="13004" max="13005" width="2.5703125" customWidth="1"/>
    <col min="13008" max="13009" width="13.5703125" customWidth="1"/>
    <col min="13012" max="13013" width="2.5703125" customWidth="1"/>
    <col min="13016" max="13017" width="13.5703125" customWidth="1"/>
    <col min="13020" max="13021" width="2.5703125" customWidth="1"/>
    <col min="13024" max="13025" width="13.5703125" customWidth="1"/>
    <col min="13028" max="13029" width="2.5703125" customWidth="1"/>
    <col min="13032" max="13033" width="13.5703125" customWidth="1"/>
    <col min="13036" max="13037" width="2.5703125" customWidth="1"/>
    <col min="13040" max="13041" width="13.5703125" customWidth="1"/>
    <col min="13044" max="13045" width="2.5703125" customWidth="1"/>
    <col min="13048" max="13049" width="13.5703125" customWidth="1"/>
    <col min="13052" max="13053" width="2.5703125" customWidth="1"/>
    <col min="13056" max="13057" width="13.5703125" customWidth="1"/>
    <col min="13060" max="13061" width="2.5703125" customWidth="1"/>
    <col min="13064" max="13065" width="13.5703125" customWidth="1"/>
    <col min="13068" max="13069" width="2.5703125" customWidth="1"/>
    <col min="13072" max="13073" width="13.5703125" customWidth="1"/>
    <col min="13076" max="13077" width="2.5703125" customWidth="1"/>
    <col min="13080" max="13081" width="13.5703125" customWidth="1"/>
    <col min="13084" max="13085" width="2.5703125" customWidth="1"/>
    <col min="13088" max="13089" width="13.5703125" customWidth="1"/>
    <col min="13092" max="13093" width="2.5703125" customWidth="1"/>
    <col min="13096" max="13097" width="13.5703125" customWidth="1"/>
    <col min="13100" max="13101" width="2.5703125" customWidth="1"/>
    <col min="13104" max="13105" width="13.5703125" customWidth="1"/>
    <col min="13108" max="13109" width="2.5703125" customWidth="1"/>
    <col min="13112" max="13113" width="13.5703125" customWidth="1"/>
    <col min="13116" max="13117" width="2.5703125" customWidth="1"/>
    <col min="13120" max="13121" width="13.5703125" customWidth="1"/>
    <col min="13124" max="13125" width="2.5703125" customWidth="1"/>
    <col min="13128" max="13129" width="13.5703125" customWidth="1"/>
    <col min="13132" max="13133" width="2.5703125" customWidth="1"/>
    <col min="13136" max="13137" width="13.5703125" customWidth="1"/>
    <col min="13140" max="13141" width="2.5703125" customWidth="1"/>
    <col min="13144" max="13145" width="13.5703125" customWidth="1"/>
    <col min="13148" max="13149" width="2.5703125" customWidth="1"/>
    <col min="13152" max="13153" width="13.5703125" customWidth="1"/>
    <col min="13156" max="13157" width="2.5703125" customWidth="1"/>
    <col min="13160" max="13161" width="13.5703125" customWidth="1"/>
    <col min="13164" max="13165" width="2.5703125" customWidth="1"/>
    <col min="13168" max="13169" width="13.5703125" customWidth="1"/>
    <col min="13172" max="13173" width="2.5703125" customWidth="1"/>
    <col min="13176" max="13177" width="13.5703125" customWidth="1"/>
    <col min="13180" max="13181" width="2.5703125" customWidth="1"/>
    <col min="13184" max="13185" width="13.5703125" customWidth="1"/>
    <col min="13188" max="13189" width="2.5703125" customWidth="1"/>
    <col min="13192" max="13193" width="13.5703125" customWidth="1"/>
    <col min="13196" max="13197" width="2.5703125" customWidth="1"/>
    <col min="13200" max="13201" width="13.5703125" customWidth="1"/>
    <col min="13204" max="13205" width="2.5703125" customWidth="1"/>
    <col min="13208" max="13209" width="13.5703125" customWidth="1"/>
    <col min="13212" max="13213" width="2.5703125" customWidth="1"/>
    <col min="13216" max="13217" width="13.5703125" customWidth="1"/>
    <col min="13220" max="13221" width="2.5703125" customWidth="1"/>
    <col min="13224" max="13225" width="13.5703125" customWidth="1"/>
    <col min="13228" max="13229" width="2.5703125" customWidth="1"/>
    <col min="13232" max="13233" width="13.5703125" customWidth="1"/>
    <col min="13236" max="13237" width="2.5703125" customWidth="1"/>
    <col min="13240" max="13241" width="13.5703125" customWidth="1"/>
    <col min="13244" max="13245" width="2.5703125" customWidth="1"/>
    <col min="13248" max="13249" width="13.5703125" customWidth="1"/>
    <col min="13252" max="13253" width="2.5703125" customWidth="1"/>
    <col min="13256" max="13257" width="13.5703125" customWidth="1"/>
    <col min="13260" max="13261" width="2.5703125" customWidth="1"/>
    <col min="13264" max="13265" width="13.5703125" customWidth="1"/>
    <col min="13268" max="13269" width="2.5703125" customWidth="1"/>
    <col min="13272" max="13273" width="13.5703125" customWidth="1"/>
    <col min="13276" max="13277" width="2.5703125" customWidth="1"/>
    <col min="13280" max="13281" width="13.5703125" customWidth="1"/>
    <col min="13284" max="13285" width="2.5703125" customWidth="1"/>
    <col min="13288" max="13289" width="13.5703125" customWidth="1"/>
    <col min="13292" max="13293" width="2.5703125" customWidth="1"/>
    <col min="13296" max="13297" width="13.5703125" customWidth="1"/>
    <col min="13300" max="13301" width="2.5703125" customWidth="1"/>
    <col min="13304" max="13305" width="13.5703125" customWidth="1"/>
    <col min="13308" max="13309" width="2.5703125" customWidth="1"/>
    <col min="13312" max="13313" width="13.5703125" customWidth="1"/>
    <col min="13316" max="13317" width="2.5703125" customWidth="1"/>
    <col min="13320" max="13321" width="13.5703125" customWidth="1"/>
    <col min="13324" max="13325" width="2.5703125" customWidth="1"/>
    <col min="13328" max="13329" width="13.5703125" customWidth="1"/>
    <col min="13332" max="13333" width="2.5703125" customWidth="1"/>
    <col min="13336" max="13337" width="13.5703125" customWidth="1"/>
    <col min="13340" max="13341" width="2.5703125" customWidth="1"/>
    <col min="13344" max="13345" width="13.5703125" customWidth="1"/>
    <col min="13348" max="13349" width="2.5703125" customWidth="1"/>
    <col min="13352" max="13353" width="13.5703125" customWidth="1"/>
    <col min="13356" max="13357" width="2.5703125" customWidth="1"/>
    <col min="13360" max="13361" width="13.5703125" customWidth="1"/>
    <col min="13364" max="13365" width="2.5703125" customWidth="1"/>
    <col min="13368" max="13369" width="13.5703125" customWidth="1"/>
    <col min="13372" max="13373" width="2.5703125" customWidth="1"/>
    <col min="13376" max="13377" width="13.5703125" customWidth="1"/>
    <col min="13380" max="13381" width="2.5703125" customWidth="1"/>
    <col min="13384" max="13385" width="13.5703125" customWidth="1"/>
    <col min="13388" max="13389" width="2.5703125" customWidth="1"/>
    <col min="13392" max="13393" width="13.5703125" customWidth="1"/>
    <col min="13396" max="13397" width="2.5703125" customWidth="1"/>
    <col min="13400" max="13401" width="13.5703125" customWidth="1"/>
    <col min="13404" max="13405" width="2.5703125" customWidth="1"/>
    <col min="13408" max="13409" width="13.5703125" customWidth="1"/>
    <col min="13412" max="13413" width="2.5703125" customWidth="1"/>
    <col min="13416" max="13417" width="13.5703125" customWidth="1"/>
    <col min="13420" max="13421" width="2.5703125" customWidth="1"/>
    <col min="13424" max="13425" width="13.5703125" customWidth="1"/>
    <col min="13428" max="13429" width="2.5703125" customWidth="1"/>
    <col min="13432" max="13433" width="13.5703125" customWidth="1"/>
    <col min="13436" max="13437" width="2.5703125" customWidth="1"/>
    <col min="13440" max="13441" width="13.5703125" customWidth="1"/>
    <col min="13444" max="13445" width="2.5703125" customWidth="1"/>
    <col min="13448" max="13449" width="13.5703125" customWidth="1"/>
    <col min="13452" max="13453" width="2.5703125" customWidth="1"/>
    <col min="13456" max="13457" width="13.5703125" customWidth="1"/>
    <col min="13460" max="13461" width="2.5703125" customWidth="1"/>
    <col min="13464" max="13465" width="13.5703125" customWidth="1"/>
    <col min="13468" max="13469" width="2.5703125" customWidth="1"/>
    <col min="13472" max="13473" width="13.5703125" customWidth="1"/>
    <col min="13476" max="13477" width="2.5703125" customWidth="1"/>
    <col min="13480" max="13481" width="13.5703125" customWidth="1"/>
    <col min="13484" max="13485" width="2.5703125" customWidth="1"/>
    <col min="13488" max="13489" width="13.5703125" customWidth="1"/>
    <col min="13492" max="13493" width="2.5703125" customWidth="1"/>
    <col min="13496" max="13497" width="13.5703125" customWidth="1"/>
    <col min="13500" max="13501" width="2.5703125" customWidth="1"/>
    <col min="13504" max="13505" width="13.5703125" customWidth="1"/>
    <col min="13508" max="13509" width="2.5703125" customWidth="1"/>
    <col min="13512" max="13513" width="13.5703125" customWidth="1"/>
    <col min="13516" max="13517" width="2.5703125" customWidth="1"/>
    <col min="13520" max="13521" width="13.5703125" customWidth="1"/>
    <col min="13524" max="13525" width="2.5703125" customWidth="1"/>
    <col min="13528" max="13529" width="13.5703125" customWidth="1"/>
    <col min="13532" max="13533" width="2.5703125" customWidth="1"/>
    <col min="13536" max="13537" width="13.5703125" customWidth="1"/>
    <col min="13540" max="13541" width="2.5703125" customWidth="1"/>
    <col min="13544" max="13545" width="13.5703125" customWidth="1"/>
    <col min="13548" max="13549" width="2.5703125" customWidth="1"/>
    <col min="13552" max="13553" width="13.5703125" customWidth="1"/>
    <col min="13556" max="13557" width="2.5703125" customWidth="1"/>
    <col min="13560" max="13561" width="13.5703125" customWidth="1"/>
    <col min="13564" max="13565" width="2.5703125" customWidth="1"/>
    <col min="13568" max="13569" width="13.5703125" customWidth="1"/>
    <col min="13572" max="13573" width="2.5703125" customWidth="1"/>
    <col min="13576" max="13577" width="13.5703125" customWidth="1"/>
    <col min="13580" max="13581" width="2.5703125" customWidth="1"/>
    <col min="13584" max="13585" width="13.5703125" customWidth="1"/>
    <col min="13588" max="13589" width="2.5703125" customWidth="1"/>
    <col min="13592" max="13593" width="13.5703125" customWidth="1"/>
    <col min="13596" max="13597" width="2.5703125" customWidth="1"/>
    <col min="13600" max="13601" width="13.5703125" customWidth="1"/>
    <col min="13604" max="13605" width="2.5703125" customWidth="1"/>
    <col min="13608" max="13609" width="13.5703125" customWidth="1"/>
    <col min="13612" max="13613" width="2.5703125" customWidth="1"/>
    <col min="13616" max="13617" width="13.5703125" customWidth="1"/>
    <col min="13620" max="13621" width="2.5703125" customWidth="1"/>
    <col min="13624" max="13625" width="13.5703125" customWidth="1"/>
    <col min="13628" max="13629" width="2.5703125" customWidth="1"/>
    <col min="13632" max="13633" width="13.5703125" customWidth="1"/>
    <col min="13636" max="13637" width="2.5703125" customWidth="1"/>
    <col min="13640" max="13641" width="13.5703125" customWidth="1"/>
    <col min="13644" max="13645" width="2.5703125" customWidth="1"/>
    <col min="13648" max="13649" width="13.5703125" customWidth="1"/>
    <col min="13652" max="13653" width="2.5703125" customWidth="1"/>
    <col min="13656" max="13657" width="13.5703125" customWidth="1"/>
    <col min="13660" max="13661" width="2.5703125" customWidth="1"/>
    <col min="13664" max="13665" width="13.5703125" customWidth="1"/>
    <col min="13668" max="13669" width="2.5703125" customWidth="1"/>
    <col min="13672" max="13673" width="13.5703125" customWidth="1"/>
    <col min="13676" max="13677" width="2.5703125" customWidth="1"/>
    <col min="13680" max="13681" width="13.5703125" customWidth="1"/>
    <col min="13684" max="13685" width="2.5703125" customWidth="1"/>
    <col min="13688" max="13689" width="13.5703125" customWidth="1"/>
    <col min="13692" max="13693" width="2.5703125" customWidth="1"/>
    <col min="13696" max="13697" width="13.5703125" customWidth="1"/>
    <col min="13700" max="13701" width="2.5703125" customWidth="1"/>
    <col min="13704" max="13705" width="13.5703125" customWidth="1"/>
    <col min="13708" max="13709" width="2.5703125" customWidth="1"/>
    <col min="13712" max="13713" width="13.5703125" customWidth="1"/>
    <col min="13716" max="13717" width="2.5703125" customWidth="1"/>
    <col min="13720" max="13721" width="13.5703125" customWidth="1"/>
    <col min="13724" max="13725" width="2.5703125" customWidth="1"/>
    <col min="13728" max="13729" width="13.5703125" customWidth="1"/>
    <col min="13732" max="13733" width="2.5703125" customWidth="1"/>
    <col min="13736" max="13737" width="13.5703125" customWidth="1"/>
    <col min="13740" max="13741" width="2.5703125" customWidth="1"/>
    <col min="13744" max="13745" width="13.5703125" customWidth="1"/>
    <col min="13748" max="13749" width="2.5703125" customWidth="1"/>
    <col min="13752" max="13753" width="13.5703125" customWidth="1"/>
    <col min="13756" max="13757" width="2.5703125" customWidth="1"/>
    <col min="13760" max="13761" width="13.5703125" customWidth="1"/>
    <col min="13764" max="13765" width="2.5703125" customWidth="1"/>
    <col min="13768" max="13769" width="13.5703125" customWidth="1"/>
    <col min="13772" max="13773" width="2.5703125" customWidth="1"/>
    <col min="13776" max="13777" width="13.5703125" customWidth="1"/>
    <col min="13780" max="13781" width="2.5703125" customWidth="1"/>
    <col min="13784" max="13785" width="13.5703125" customWidth="1"/>
    <col min="13788" max="13789" width="2.5703125" customWidth="1"/>
    <col min="13792" max="13793" width="13.5703125" customWidth="1"/>
    <col min="13796" max="13797" width="2.5703125" customWidth="1"/>
    <col min="13800" max="13801" width="13.5703125" customWidth="1"/>
    <col min="13804" max="13805" width="2.5703125" customWidth="1"/>
    <col min="13808" max="13809" width="13.5703125" customWidth="1"/>
    <col min="13812" max="13813" width="2.5703125" customWidth="1"/>
    <col min="13816" max="13817" width="13.5703125" customWidth="1"/>
    <col min="13820" max="13821" width="2.5703125" customWidth="1"/>
    <col min="13824" max="13825" width="13.5703125" customWidth="1"/>
    <col min="13828" max="13829" width="2.5703125" customWidth="1"/>
    <col min="13832" max="13833" width="13.5703125" customWidth="1"/>
    <col min="13836" max="13837" width="2.5703125" customWidth="1"/>
    <col min="13840" max="13841" width="13.5703125" customWidth="1"/>
    <col min="13844" max="13845" width="2.5703125" customWidth="1"/>
    <col min="13848" max="13849" width="13.5703125" customWidth="1"/>
    <col min="13852" max="13853" width="2.5703125" customWidth="1"/>
    <col min="13856" max="13857" width="13.5703125" customWidth="1"/>
    <col min="13860" max="13861" width="2.5703125" customWidth="1"/>
    <col min="13864" max="13865" width="13.5703125" customWidth="1"/>
    <col min="13868" max="13869" width="2.5703125" customWidth="1"/>
    <col min="13872" max="13873" width="13.5703125" customWidth="1"/>
    <col min="13876" max="13877" width="2.5703125" customWidth="1"/>
    <col min="13880" max="13881" width="13.5703125" customWidth="1"/>
    <col min="13884" max="13885" width="2.5703125" customWidth="1"/>
    <col min="13888" max="13889" width="13.5703125" customWidth="1"/>
    <col min="13892" max="13893" width="2.5703125" customWidth="1"/>
    <col min="13896" max="13897" width="13.5703125" customWidth="1"/>
    <col min="13900" max="13901" width="2.5703125" customWidth="1"/>
    <col min="13904" max="13905" width="13.5703125" customWidth="1"/>
    <col min="13908" max="13909" width="2.5703125" customWidth="1"/>
    <col min="13912" max="13913" width="13.5703125" customWidth="1"/>
    <col min="13916" max="13917" width="2.5703125" customWidth="1"/>
    <col min="13920" max="13921" width="13.5703125" customWidth="1"/>
    <col min="13924" max="13925" width="2.5703125" customWidth="1"/>
    <col min="13928" max="13929" width="13.5703125" customWidth="1"/>
    <col min="13932" max="13933" width="2.5703125" customWidth="1"/>
    <col min="13936" max="13937" width="13.5703125" customWidth="1"/>
    <col min="13940" max="13941" width="2.5703125" customWidth="1"/>
    <col min="13944" max="13945" width="13.5703125" customWidth="1"/>
    <col min="13948" max="13949" width="2.5703125" customWidth="1"/>
    <col min="13952" max="13953" width="13.5703125" customWidth="1"/>
    <col min="13956" max="13957" width="2.5703125" customWidth="1"/>
    <col min="13960" max="13961" width="13.5703125" customWidth="1"/>
    <col min="13964" max="13965" width="2.5703125" customWidth="1"/>
    <col min="13968" max="13969" width="13.5703125" customWidth="1"/>
    <col min="13972" max="13973" width="2.5703125" customWidth="1"/>
    <col min="13976" max="13977" width="13.5703125" customWidth="1"/>
    <col min="13980" max="13981" width="2.5703125" customWidth="1"/>
    <col min="13984" max="13985" width="13.5703125" customWidth="1"/>
    <col min="13988" max="13989" width="2.5703125" customWidth="1"/>
    <col min="13992" max="13993" width="13.5703125" customWidth="1"/>
    <col min="13996" max="13997" width="2.5703125" customWidth="1"/>
    <col min="14000" max="14001" width="13.5703125" customWidth="1"/>
    <col min="14004" max="14005" width="2.5703125" customWidth="1"/>
    <col min="14008" max="14009" width="13.5703125" customWidth="1"/>
    <col min="14012" max="14013" width="2.5703125" customWidth="1"/>
    <col min="14016" max="14017" width="13.5703125" customWidth="1"/>
    <col min="14020" max="14021" width="2.5703125" customWidth="1"/>
    <col min="14024" max="14025" width="13.5703125" customWidth="1"/>
    <col min="14028" max="14029" width="2.5703125" customWidth="1"/>
    <col min="14032" max="14033" width="13.5703125" customWidth="1"/>
    <col min="14036" max="14037" width="2.5703125" customWidth="1"/>
    <col min="14040" max="14041" width="13.5703125" customWidth="1"/>
    <col min="14044" max="14045" width="2.5703125" customWidth="1"/>
    <col min="14048" max="14049" width="13.5703125" customWidth="1"/>
    <col min="14052" max="14053" width="2.5703125" customWidth="1"/>
    <col min="14056" max="14057" width="13.5703125" customWidth="1"/>
    <col min="14060" max="14061" width="2.5703125" customWidth="1"/>
    <col min="14064" max="14065" width="13.5703125" customWidth="1"/>
    <col min="14068" max="14069" width="2.5703125" customWidth="1"/>
    <col min="14072" max="14073" width="13.5703125" customWidth="1"/>
    <col min="14076" max="14077" width="2.5703125" customWidth="1"/>
    <col min="14080" max="14081" width="13.5703125" customWidth="1"/>
    <col min="14084" max="14085" width="2.5703125" customWidth="1"/>
    <col min="14088" max="14089" width="13.5703125" customWidth="1"/>
    <col min="14092" max="14093" width="2.5703125" customWidth="1"/>
    <col min="14096" max="14097" width="13.5703125" customWidth="1"/>
    <col min="14100" max="14101" width="2.5703125" customWidth="1"/>
    <col min="14104" max="14105" width="13.5703125" customWidth="1"/>
    <col min="14108" max="14109" width="2.5703125" customWidth="1"/>
    <col min="14112" max="14113" width="13.5703125" customWidth="1"/>
    <col min="14116" max="14117" width="2.5703125" customWidth="1"/>
    <col min="14120" max="14121" width="13.5703125" customWidth="1"/>
    <col min="14124" max="14125" width="2.5703125" customWidth="1"/>
    <col min="14128" max="14129" width="13.5703125" customWidth="1"/>
    <col min="14132" max="14133" width="2.5703125" customWidth="1"/>
    <col min="14136" max="14137" width="13.5703125" customWidth="1"/>
    <col min="14140" max="14141" width="2.5703125" customWidth="1"/>
    <col min="14144" max="14145" width="13.5703125" customWidth="1"/>
    <col min="14148" max="14149" width="2.5703125" customWidth="1"/>
    <col min="14152" max="14153" width="13.5703125" customWidth="1"/>
    <col min="14156" max="14157" width="2.5703125" customWidth="1"/>
    <col min="14160" max="14161" width="13.5703125" customWidth="1"/>
    <col min="14164" max="14165" width="2.5703125" customWidth="1"/>
    <col min="14168" max="14169" width="13.5703125" customWidth="1"/>
    <col min="14172" max="14173" width="2.5703125" customWidth="1"/>
    <col min="14176" max="14177" width="13.5703125" customWidth="1"/>
    <col min="14180" max="14181" width="2.5703125" customWidth="1"/>
    <col min="14184" max="14185" width="13.5703125" customWidth="1"/>
    <col min="14188" max="14189" width="2.5703125" customWidth="1"/>
    <col min="14192" max="14193" width="13.5703125" customWidth="1"/>
    <col min="14196" max="14197" width="2.5703125" customWidth="1"/>
    <col min="14200" max="14201" width="13.5703125" customWidth="1"/>
    <col min="14204" max="14205" width="2.5703125" customWidth="1"/>
    <col min="14208" max="14209" width="13.5703125" customWidth="1"/>
    <col min="14212" max="14213" width="2.5703125" customWidth="1"/>
    <col min="14216" max="14217" width="13.5703125" customWidth="1"/>
    <col min="14220" max="14221" width="2.5703125" customWidth="1"/>
    <col min="14224" max="14225" width="13.5703125" customWidth="1"/>
    <col min="14228" max="14229" width="2.5703125" customWidth="1"/>
    <col min="14232" max="14233" width="13.5703125" customWidth="1"/>
    <col min="14236" max="14237" width="2.5703125" customWidth="1"/>
    <col min="14240" max="14241" width="13.5703125" customWidth="1"/>
    <col min="14244" max="14245" width="2.5703125" customWidth="1"/>
    <col min="14248" max="14249" width="13.5703125" customWidth="1"/>
    <col min="14252" max="14253" width="2.5703125" customWidth="1"/>
    <col min="14256" max="14257" width="13.5703125" customWidth="1"/>
    <col min="14260" max="14261" width="2.5703125" customWidth="1"/>
    <col min="14264" max="14265" width="13.5703125" customWidth="1"/>
    <col min="14268" max="14269" width="2.5703125" customWidth="1"/>
    <col min="14272" max="14273" width="13.5703125" customWidth="1"/>
    <col min="14276" max="14277" width="2.5703125" customWidth="1"/>
    <col min="14280" max="14281" width="13.5703125" customWidth="1"/>
    <col min="14284" max="14285" width="2.5703125" customWidth="1"/>
    <col min="14288" max="14289" width="13.5703125" customWidth="1"/>
    <col min="14292" max="14293" width="2.5703125" customWidth="1"/>
    <col min="14296" max="14297" width="13.5703125" customWidth="1"/>
    <col min="14300" max="14301" width="2.5703125" customWidth="1"/>
    <col min="14304" max="14305" width="13.5703125" customWidth="1"/>
    <col min="14308" max="14309" width="2.5703125" customWidth="1"/>
    <col min="14312" max="14313" width="13.5703125" customWidth="1"/>
    <col min="14316" max="14317" width="2.5703125" customWidth="1"/>
    <col min="14320" max="14321" width="13.5703125" customWidth="1"/>
    <col min="14324" max="14325" width="2.5703125" customWidth="1"/>
    <col min="14328" max="14329" width="13.5703125" customWidth="1"/>
    <col min="14332" max="14333" width="2.5703125" customWidth="1"/>
    <col min="14336" max="14337" width="13.5703125" customWidth="1"/>
    <col min="14340" max="14341" width="2.5703125" customWidth="1"/>
    <col min="14344" max="14345" width="13.5703125" customWidth="1"/>
    <col min="14348" max="14349" width="2.5703125" customWidth="1"/>
    <col min="14352" max="14353" width="13.5703125" customWidth="1"/>
    <col min="14356" max="14357" width="2.5703125" customWidth="1"/>
    <col min="14360" max="14361" width="13.5703125" customWidth="1"/>
    <col min="14364" max="14365" width="2.5703125" customWidth="1"/>
    <col min="14368" max="14369" width="13.5703125" customWidth="1"/>
    <col min="14372" max="14373" width="2.5703125" customWidth="1"/>
    <col min="14376" max="14377" width="13.5703125" customWidth="1"/>
    <col min="14380" max="14381" width="2.5703125" customWidth="1"/>
    <col min="14384" max="14385" width="13.5703125" customWidth="1"/>
    <col min="14388" max="14389" width="2.5703125" customWidth="1"/>
    <col min="14392" max="14393" width="13.5703125" customWidth="1"/>
    <col min="14396" max="14397" width="2.5703125" customWidth="1"/>
    <col min="14400" max="14401" width="13.5703125" customWidth="1"/>
    <col min="14404" max="14405" width="2.5703125" customWidth="1"/>
    <col min="14408" max="14409" width="13.5703125" customWidth="1"/>
    <col min="14412" max="14413" width="2.5703125" customWidth="1"/>
    <col min="14416" max="14417" width="13.5703125" customWidth="1"/>
    <col min="14420" max="14421" width="2.5703125" customWidth="1"/>
    <col min="14424" max="14425" width="13.5703125" customWidth="1"/>
    <col min="14428" max="14429" width="2.5703125" customWidth="1"/>
    <col min="14432" max="14433" width="13.5703125" customWidth="1"/>
    <col min="14436" max="14437" width="2.5703125" customWidth="1"/>
    <col min="14440" max="14441" width="13.5703125" customWidth="1"/>
    <col min="14444" max="14445" width="2.5703125" customWidth="1"/>
    <col min="14448" max="14449" width="13.5703125" customWidth="1"/>
    <col min="14452" max="14453" width="2.5703125" customWidth="1"/>
    <col min="14456" max="14457" width="13.5703125" customWidth="1"/>
    <col min="14460" max="14461" width="2.5703125" customWidth="1"/>
    <col min="14464" max="14465" width="13.5703125" customWidth="1"/>
    <col min="14468" max="14469" width="2.5703125" customWidth="1"/>
    <col min="14472" max="14473" width="13.5703125" customWidth="1"/>
    <col min="14476" max="14477" width="2.5703125" customWidth="1"/>
    <col min="14480" max="14481" width="13.5703125" customWidth="1"/>
    <col min="14484" max="14485" width="2.5703125" customWidth="1"/>
    <col min="14488" max="14489" width="13.5703125" customWidth="1"/>
    <col min="14492" max="14493" width="2.5703125" customWidth="1"/>
    <col min="14496" max="14497" width="13.5703125" customWidth="1"/>
    <col min="14500" max="14501" width="2.5703125" customWidth="1"/>
    <col min="14504" max="14505" width="13.5703125" customWidth="1"/>
    <col min="14508" max="14509" width="2.5703125" customWidth="1"/>
    <col min="14512" max="14513" width="13.5703125" customWidth="1"/>
    <col min="14516" max="14517" width="2.5703125" customWidth="1"/>
    <col min="14520" max="14521" width="13.5703125" customWidth="1"/>
    <col min="14524" max="14525" width="2.5703125" customWidth="1"/>
    <col min="14528" max="14529" width="13.5703125" customWidth="1"/>
    <col min="14532" max="14533" width="2.5703125" customWidth="1"/>
    <col min="14536" max="14537" width="13.5703125" customWidth="1"/>
    <col min="14540" max="14541" width="2.5703125" customWidth="1"/>
    <col min="14544" max="14545" width="13.5703125" customWidth="1"/>
    <col min="14548" max="14549" width="2.5703125" customWidth="1"/>
    <col min="14552" max="14553" width="13.5703125" customWidth="1"/>
    <col min="14556" max="14557" width="2.5703125" customWidth="1"/>
    <col min="14560" max="14561" width="13.5703125" customWidth="1"/>
    <col min="14564" max="14565" width="2.5703125" customWidth="1"/>
    <col min="14568" max="14569" width="13.5703125" customWidth="1"/>
    <col min="14572" max="14573" width="2.5703125" customWidth="1"/>
    <col min="14576" max="14577" width="13.5703125" customWidth="1"/>
    <col min="14580" max="14581" width="2.5703125" customWidth="1"/>
    <col min="14584" max="14585" width="13.5703125" customWidth="1"/>
    <col min="14588" max="14589" width="2.5703125" customWidth="1"/>
    <col min="14592" max="14593" width="13.5703125" customWidth="1"/>
    <col min="14596" max="14597" width="2.5703125" customWidth="1"/>
    <col min="14600" max="14601" width="13.5703125" customWidth="1"/>
    <col min="14604" max="14605" width="2.5703125" customWidth="1"/>
    <col min="14608" max="14609" width="13.5703125" customWidth="1"/>
    <col min="14612" max="14613" width="2.5703125" customWidth="1"/>
    <col min="14616" max="14617" width="13.5703125" customWidth="1"/>
    <col min="14620" max="14621" width="2.5703125" customWidth="1"/>
    <col min="14624" max="14625" width="13.5703125" customWidth="1"/>
    <col min="14628" max="14629" width="2.5703125" customWidth="1"/>
    <col min="14632" max="14633" width="13.5703125" customWidth="1"/>
    <col min="14636" max="14637" width="2.5703125" customWidth="1"/>
    <col min="14640" max="14641" width="13.5703125" customWidth="1"/>
    <col min="14644" max="14645" width="2.5703125" customWidth="1"/>
    <col min="14648" max="14649" width="13.5703125" customWidth="1"/>
    <col min="14652" max="14653" width="2.5703125" customWidth="1"/>
    <col min="14656" max="14657" width="13.5703125" customWidth="1"/>
    <col min="14660" max="14661" width="2.5703125" customWidth="1"/>
    <col min="14664" max="14665" width="13.5703125" customWidth="1"/>
    <col min="14668" max="14669" width="2.5703125" customWidth="1"/>
    <col min="14672" max="14673" width="13.5703125" customWidth="1"/>
    <col min="14676" max="14677" width="2.5703125" customWidth="1"/>
    <col min="14680" max="14681" width="13.5703125" customWidth="1"/>
    <col min="14684" max="14685" width="2.5703125" customWidth="1"/>
    <col min="14688" max="14689" width="13.5703125" customWidth="1"/>
    <col min="14692" max="14693" width="2.5703125" customWidth="1"/>
    <col min="14696" max="14697" width="13.5703125" customWidth="1"/>
    <col min="14700" max="14701" width="2.5703125" customWidth="1"/>
    <col min="14704" max="14705" width="13.5703125" customWidth="1"/>
    <col min="14708" max="14709" width="2.5703125" customWidth="1"/>
    <col min="14712" max="14713" width="13.5703125" customWidth="1"/>
    <col min="14716" max="14717" width="2.5703125" customWidth="1"/>
    <col min="14720" max="14721" width="13.5703125" customWidth="1"/>
    <col min="14724" max="14725" width="2.5703125" customWidth="1"/>
    <col min="14728" max="14729" width="13.5703125" customWidth="1"/>
    <col min="14732" max="14733" width="2.5703125" customWidth="1"/>
    <col min="14736" max="14737" width="13.5703125" customWidth="1"/>
    <col min="14740" max="14741" width="2.5703125" customWidth="1"/>
    <col min="14744" max="14745" width="13.5703125" customWidth="1"/>
    <col min="14748" max="14749" width="2.5703125" customWidth="1"/>
    <col min="14752" max="14753" width="13.5703125" customWidth="1"/>
    <col min="14756" max="14757" width="2.5703125" customWidth="1"/>
    <col min="14760" max="14761" width="13.5703125" customWidth="1"/>
    <col min="14764" max="14765" width="2.5703125" customWidth="1"/>
    <col min="14768" max="14769" width="13.5703125" customWidth="1"/>
    <col min="14772" max="14773" width="2.5703125" customWidth="1"/>
    <col min="14776" max="14777" width="13.5703125" customWidth="1"/>
    <col min="14780" max="14781" width="2.5703125" customWidth="1"/>
    <col min="14784" max="14785" width="13.5703125" customWidth="1"/>
    <col min="14788" max="14789" width="2.5703125" customWidth="1"/>
    <col min="14792" max="14793" width="13.5703125" customWidth="1"/>
    <col min="14796" max="14797" width="2.5703125" customWidth="1"/>
    <col min="14800" max="14801" width="13.5703125" customWidth="1"/>
    <col min="14804" max="14805" width="2.5703125" customWidth="1"/>
    <col min="14808" max="14809" width="13.5703125" customWidth="1"/>
    <col min="14812" max="14813" width="2.5703125" customWidth="1"/>
    <col min="14816" max="14817" width="13.5703125" customWidth="1"/>
    <col min="14820" max="14821" width="2.5703125" customWidth="1"/>
    <col min="14824" max="14825" width="13.5703125" customWidth="1"/>
    <col min="14828" max="14829" width="2.5703125" customWidth="1"/>
    <col min="14832" max="14833" width="13.5703125" customWidth="1"/>
    <col min="14836" max="14837" width="2.5703125" customWidth="1"/>
    <col min="14840" max="14841" width="13.5703125" customWidth="1"/>
    <col min="14844" max="14845" width="2.5703125" customWidth="1"/>
    <col min="14848" max="14849" width="13.5703125" customWidth="1"/>
    <col min="14852" max="14853" width="2.5703125" customWidth="1"/>
    <col min="14856" max="14857" width="13.5703125" customWidth="1"/>
    <col min="14860" max="14861" width="2.5703125" customWidth="1"/>
    <col min="14864" max="14865" width="13.5703125" customWidth="1"/>
    <col min="14868" max="14869" width="2.5703125" customWidth="1"/>
    <col min="14872" max="14873" width="13.5703125" customWidth="1"/>
    <col min="14876" max="14877" width="2.5703125" customWidth="1"/>
    <col min="14880" max="14881" width="13.5703125" customWidth="1"/>
    <col min="14884" max="14885" width="2.5703125" customWidth="1"/>
    <col min="14888" max="14889" width="13.5703125" customWidth="1"/>
    <col min="14892" max="14893" width="2.5703125" customWidth="1"/>
    <col min="14896" max="14897" width="13.5703125" customWidth="1"/>
    <col min="14900" max="14901" width="2.5703125" customWidth="1"/>
    <col min="14904" max="14905" width="13.5703125" customWidth="1"/>
    <col min="14908" max="14909" width="2.5703125" customWidth="1"/>
    <col min="14912" max="14913" width="13.5703125" customWidth="1"/>
    <col min="14916" max="14917" width="2.5703125" customWidth="1"/>
    <col min="14920" max="14921" width="13.5703125" customWidth="1"/>
    <col min="14924" max="14925" width="2.5703125" customWidth="1"/>
    <col min="14928" max="14929" width="13.5703125" customWidth="1"/>
    <col min="14932" max="14933" width="2.5703125" customWidth="1"/>
    <col min="14936" max="14937" width="13.5703125" customWidth="1"/>
    <col min="14940" max="14941" width="2.5703125" customWidth="1"/>
    <col min="14944" max="14945" width="13.5703125" customWidth="1"/>
    <col min="14948" max="14949" width="2.5703125" customWidth="1"/>
    <col min="14952" max="14953" width="13.5703125" customWidth="1"/>
    <col min="14956" max="14957" width="2.5703125" customWidth="1"/>
    <col min="14960" max="14961" width="13.5703125" customWidth="1"/>
    <col min="14964" max="14965" width="2.5703125" customWidth="1"/>
    <col min="14968" max="14969" width="13.5703125" customWidth="1"/>
    <col min="14972" max="14973" width="2.5703125" customWidth="1"/>
    <col min="14976" max="14977" width="13.5703125" customWidth="1"/>
    <col min="14980" max="14981" width="2.5703125" customWidth="1"/>
    <col min="14984" max="14985" width="13.5703125" customWidth="1"/>
    <col min="14988" max="14989" width="2.5703125" customWidth="1"/>
    <col min="14992" max="14993" width="13.5703125" customWidth="1"/>
    <col min="14996" max="14997" width="2.5703125" customWidth="1"/>
    <col min="15000" max="15001" width="13.5703125" customWidth="1"/>
    <col min="15004" max="15005" width="2.5703125" customWidth="1"/>
    <col min="15008" max="15009" width="13.5703125" customWidth="1"/>
    <col min="15012" max="15013" width="2.5703125" customWidth="1"/>
    <col min="15016" max="15017" width="13.5703125" customWidth="1"/>
    <col min="15020" max="15021" width="2.5703125" customWidth="1"/>
    <col min="15024" max="15025" width="13.5703125" customWidth="1"/>
    <col min="15028" max="15029" width="2.5703125" customWidth="1"/>
    <col min="15032" max="15033" width="13.5703125" customWidth="1"/>
    <col min="15036" max="15037" width="2.5703125" customWidth="1"/>
    <col min="15040" max="15041" width="13.5703125" customWidth="1"/>
    <col min="15044" max="15045" width="2.5703125" customWidth="1"/>
    <col min="15048" max="15049" width="13.5703125" customWidth="1"/>
    <col min="15052" max="15053" width="2.5703125" customWidth="1"/>
    <col min="15056" max="15057" width="13.5703125" customWidth="1"/>
    <col min="15060" max="15061" width="2.5703125" customWidth="1"/>
    <col min="15064" max="15065" width="13.5703125" customWidth="1"/>
    <col min="15068" max="15069" width="2.5703125" customWidth="1"/>
    <col min="15072" max="15073" width="13.5703125" customWidth="1"/>
    <col min="15076" max="15077" width="2.5703125" customWidth="1"/>
    <col min="15080" max="15081" width="13.5703125" customWidth="1"/>
    <col min="15084" max="15085" width="2.5703125" customWidth="1"/>
    <col min="15088" max="15089" width="13.5703125" customWidth="1"/>
    <col min="15092" max="15093" width="2.5703125" customWidth="1"/>
    <col min="15096" max="15097" width="13.5703125" customWidth="1"/>
    <col min="15100" max="15101" width="2.5703125" customWidth="1"/>
    <col min="15104" max="15105" width="13.5703125" customWidth="1"/>
    <col min="15108" max="15109" width="2.5703125" customWidth="1"/>
    <col min="15112" max="15113" width="13.5703125" customWidth="1"/>
    <col min="15116" max="15117" width="2.5703125" customWidth="1"/>
    <col min="15120" max="15121" width="13.5703125" customWidth="1"/>
    <col min="15124" max="15125" width="2.5703125" customWidth="1"/>
    <col min="15128" max="15129" width="13.5703125" customWidth="1"/>
    <col min="15132" max="15133" width="2.5703125" customWidth="1"/>
    <col min="15136" max="15137" width="13.5703125" customWidth="1"/>
    <col min="15140" max="15141" width="2.5703125" customWidth="1"/>
    <col min="15144" max="15145" width="13.5703125" customWidth="1"/>
    <col min="15148" max="15149" width="2.5703125" customWidth="1"/>
    <col min="15152" max="15153" width="13.5703125" customWidth="1"/>
    <col min="15156" max="15157" width="2.5703125" customWidth="1"/>
    <col min="15160" max="15161" width="13.5703125" customWidth="1"/>
    <col min="15164" max="15165" width="2.5703125" customWidth="1"/>
    <col min="15168" max="15169" width="13.5703125" customWidth="1"/>
    <col min="15172" max="15173" width="2.5703125" customWidth="1"/>
    <col min="15176" max="15177" width="13.5703125" customWidth="1"/>
    <col min="15180" max="15181" width="2.5703125" customWidth="1"/>
    <col min="15184" max="15185" width="13.5703125" customWidth="1"/>
    <col min="15188" max="15189" width="2.5703125" customWidth="1"/>
    <col min="15192" max="15193" width="13.5703125" customWidth="1"/>
    <col min="15196" max="15197" width="2.5703125" customWidth="1"/>
    <col min="15200" max="15201" width="13.5703125" customWidth="1"/>
    <col min="15204" max="15205" width="2.5703125" customWidth="1"/>
    <col min="15208" max="15209" width="13.5703125" customWidth="1"/>
    <col min="15212" max="15213" width="2.5703125" customWidth="1"/>
    <col min="15216" max="15217" width="13.5703125" customWidth="1"/>
    <col min="15220" max="15221" width="2.5703125" customWidth="1"/>
    <col min="15224" max="15225" width="13.5703125" customWidth="1"/>
    <col min="15228" max="15229" width="2.5703125" customWidth="1"/>
    <col min="15232" max="15233" width="13.5703125" customWidth="1"/>
    <col min="15236" max="15237" width="2.5703125" customWidth="1"/>
    <col min="15240" max="15241" width="13.5703125" customWidth="1"/>
    <col min="15244" max="15245" width="2.5703125" customWidth="1"/>
    <col min="15248" max="15249" width="13.5703125" customWidth="1"/>
    <col min="15252" max="15253" width="2.5703125" customWidth="1"/>
    <col min="15256" max="15257" width="13.5703125" customWidth="1"/>
    <col min="15260" max="15261" width="2.5703125" customWidth="1"/>
    <col min="15264" max="15265" width="13.5703125" customWidth="1"/>
    <col min="15268" max="15269" width="2.5703125" customWidth="1"/>
    <col min="15272" max="15273" width="13.5703125" customWidth="1"/>
    <col min="15276" max="15277" width="2.5703125" customWidth="1"/>
    <col min="15280" max="15281" width="13.5703125" customWidth="1"/>
    <col min="15284" max="15285" width="2.5703125" customWidth="1"/>
    <col min="15288" max="15289" width="13.5703125" customWidth="1"/>
    <col min="15292" max="15293" width="2.5703125" customWidth="1"/>
    <col min="15296" max="15297" width="13.5703125" customWidth="1"/>
    <col min="15300" max="15301" width="2.5703125" customWidth="1"/>
    <col min="15304" max="15305" width="13.5703125" customWidth="1"/>
    <col min="15308" max="15309" width="2.5703125" customWidth="1"/>
    <col min="15312" max="15313" width="13.5703125" customWidth="1"/>
    <col min="15316" max="15317" width="2.5703125" customWidth="1"/>
    <col min="15320" max="15321" width="13.5703125" customWidth="1"/>
    <col min="15324" max="15325" width="2.5703125" customWidth="1"/>
    <col min="15328" max="15329" width="13.5703125" customWidth="1"/>
    <col min="15332" max="15333" width="2.5703125" customWidth="1"/>
    <col min="15336" max="15337" width="13.5703125" customWidth="1"/>
    <col min="15340" max="15341" width="2.5703125" customWidth="1"/>
    <col min="15344" max="15345" width="13.5703125" customWidth="1"/>
    <col min="15348" max="15349" width="2.5703125" customWidth="1"/>
    <col min="15352" max="15353" width="13.5703125" customWidth="1"/>
    <col min="15356" max="15357" width="2.5703125" customWidth="1"/>
    <col min="15360" max="15361" width="13.5703125" customWidth="1"/>
    <col min="15364" max="15365" width="2.5703125" customWidth="1"/>
    <col min="15368" max="15369" width="13.5703125" customWidth="1"/>
    <col min="15372" max="15373" width="2.5703125" customWidth="1"/>
    <col min="15376" max="15377" width="13.5703125" customWidth="1"/>
    <col min="15380" max="15381" width="2.5703125" customWidth="1"/>
    <col min="15384" max="15385" width="13.5703125" customWidth="1"/>
    <col min="15388" max="15389" width="2.5703125" customWidth="1"/>
    <col min="15392" max="15393" width="13.5703125" customWidth="1"/>
    <col min="15396" max="15397" width="2.5703125" customWidth="1"/>
    <col min="15400" max="15401" width="13.5703125" customWidth="1"/>
    <col min="15404" max="15405" width="2.5703125" customWidth="1"/>
    <col min="15408" max="15409" width="13.5703125" customWidth="1"/>
    <col min="15412" max="15413" width="2.5703125" customWidth="1"/>
    <col min="15416" max="15417" width="13.5703125" customWidth="1"/>
    <col min="15420" max="15421" width="2.5703125" customWidth="1"/>
    <col min="15424" max="15425" width="13.5703125" customWidth="1"/>
    <col min="15428" max="15429" width="2.5703125" customWidth="1"/>
    <col min="15432" max="15433" width="13.5703125" customWidth="1"/>
    <col min="15436" max="15437" width="2.5703125" customWidth="1"/>
    <col min="15440" max="15441" width="13.5703125" customWidth="1"/>
    <col min="15444" max="15445" width="2.5703125" customWidth="1"/>
    <col min="15448" max="15449" width="13.5703125" customWidth="1"/>
    <col min="15452" max="15453" width="2.5703125" customWidth="1"/>
    <col min="15456" max="15457" width="13.5703125" customWidth="1"/>
    <col min="15460" max="15461" width="2.5703125" customWidth="1"/>
    <col min="15464" max="15465" width="13.5703125" customWidth="1"/>
    <col min="15468" max="15469" width="2.5703125" customWidth="1"/>
    <col min="15472" max="15473" width="13.5703125" customWidth="1"/>
    <col min="15476" max="15477" width="2.5703125" customWidth="1"/>
    <col min="15480" max="15481" width="13.5703125" customWidth="1"/>
    <col min="15484" max="15485" width="2.5703125" customWidth="1"/>
    <col min="15488" max="15489" width="13.5703125" customWidth="1"/>
    <col min="15492" max="15493" width="2.5703125" customWidth="1"/>
    <col min="15496" max="15497" width="13.5703125" customWidth="1"/>
    <col min="15500" max="15501" width="2.5703125" customWidth="1"/>
    <col min="15504" max="15505" width="13.5703125" customWidth="1"/>
    <col min="15508" max="15509" width="2.5703125" customWidth="1"/>
    <col min="15512" max="15513" width="13.5703125" customWidth="1"/>
    <col min="15516" max="15517" width="2.5703125" customWidth="1"/>
    <col min="15520" max="15521" width="13.5703125" customWidth="1"/>
    <col min="15524" max="15525" width="2.5703125" customWidth="1"/>
    <col min="15528" max="15529" width="13.5703125" customWidth="1"/>
    <col min="15532" max="15533" width="2.5703125" customWidth="1"/>
    <col min="15536" max="15537" width="13.5703125" customWidth="1"/>
    <col min="15540" max="15541" width="2.5703125" customWidth="1"/>
    <col min="15544" max="15545" width="13.5703125" customWidth="1"/>
    <col min="15548" max="15549" width="2.5703125" customWidth="1"/>
    <col min="15552" max="15553" width="13.5703125" customWidth="1"/>
    <col min="15556" max="15557" width="2.5703125" customWidth="1"/>
    <col min="15560" max="15561" width="13.5703125" customWidth="1"/>
    <col min="15564" max="15565" width="2.5703125" customWidth="1"/>
    <col min="15568" max="15569" width="13.5703125" customWidth="1"/>
    <col min="15572" max="15573" width="2.5703125" customWidth="1"/>
    <col min="15576" max="15577" width="13.5703125" customWidth="1"/>
    <col min="15580" max="15581" width="2.5703125" customWidth="1"/>
    <col min="15584" max="15585" width="13.5703125" customWidth="1"/>
    <col min="15588" max="15589" width="2.5703125" customWidth="1"/>
    <col min="15592" max="15593" width="13.5703125" customWidth="1"/>
    <col min="15596" max="15597" width="2.5703125" customWidth="1"/>
    <col min="15600" max="15601" width="13.5703125" customWidth="1"/>
    <col min="15604" max="15605" width="2.5703125" customWidth="1"/>
    <col min="15608" max="15609" width="13.5703125" customWidth="1"/>
    <col min="15612" max="15613" width="2.5703125" customWidth="1"/>
    <col min="15616" max="15617" width="13.5703125" customWidth="1"/>
    <col min="15620" max="15621" width="2.5703125" customWidth="1"/>
    <col min="15624" max="15625" width="13.5703125" customWidth="1"/>
    <col min="15628" max="15629" width="2.5703125" customWidth="1"/>
    <col min="15632" max="15633" width="13.5703125" customWidth="1"/>
    <col min="15636" max="15637" width="2.5703125" customWidth="1"/>
    <col min="15640" max="15641" width="13.5703125" customWidth="1"/>
    <col min="15644" max="15645" width="2.5703125" customWidth="1"/>
    <col min="15648" max="15649" width="13.5703125" customWidth="1"/>
    <col min="15652" max="15653" width="2.5703125" customWidth="1"/>
    <col min="15656" max="15657" width="13.5703125" customWidth="1"/>
    <col min="15660" max="15661" width="2.5703125" customWidth="1"/>
    <col min="15664" max="15665" width="13.5703125" customWidth="1"/>
    <col min="15668" max="15669" width="2.5703125" customWidth="1"/>
    <col min="15672" max="15673" width="13.5703125" customWidth="1"/>
    <col min="15676" max="15677" width="2.5703125" customWidth="1"/>
    <col min="15680" max="15681" width="13.5703125" customWidth="1"/>
    <col min="15684" max="15685" width="2.5703125" customWidth="1"/>
    <col min="15688" max="15689" width="13.5703125" customWidth="1"/>
    <col min="15692" max="15693" width="2.5703125" customWidth="1"/>
    <col min="15696" max="15697" width="13.5703125" customWidth="1"/>
    <col min="15700" max="15701" width="2.5703125" customWidth="1"/>
    <col min="15704" max="15705" width="13.5703125" customWidth="1"/>
    <col min="15708" max="15709" width="2.5703125" customWidth="1"/>
    <col min="15712" max="15713" width="13.5703125" customWidth="1"/>
    <col min="15716" max="15717" width="2.5703125" customWidth="1"/>
    <col min="15720" max="15721" width="13.5703125" customWidth="1"/>
    <col min="15724" max="15725" width="2.5703125" customWidth="1"/>
    <col min="15728" max="15729" width="13.5703125" customWidth="1"/>
    <col min="15732" max="15733" width="2.5703125" customWidth="1"/>
    <col min="15736" max="15737" width="13.5703125" customWidth="1"/>
    <col min="15740" max="15741" width="2.5703125" customWidth="1"/>
    <col min="15744" max="15745" width="13.5703125" customWidth="1"/>
    <col min="15748" max="15749" width="2.5703125" customWidth="1"/>
    <col min="15752" max="15753" width="13.5703125" customWidth="1"/>
    <col min="15756" max="15757" width="2.5703125" customWidth="1"/>
    <col min="15760" max="15761" width="13.5703125" customWidth="1"/>
    <col min="15764" max="15765" width="2.5703125" customWidth="1"/>
    <col min="15768" max="15769" width="13.5703125" customWidth="1"/>
    <col min="15772" max="15773" width="2.5703125" customWidth="1"/>
    <col min="15776" max="15777" width="13.5703125" customWidth="1"/>
    <col min="15780" max="15781" width="2.5703125" customWidth="1"/>
    <col min="15784" max="15785" width="13.5703125" customWidth="1"/>
    <col min="15788" max="15789" width="2.5703125" customWidth="1"/>
    <col min="15792" max="15793" width="13.5703125" customWidth="1"/>
    <col min="15796" max="15797" width="2.5703125" customWidth="1"/>
    <col min="15800" max="15801" width="13.5703125" customWidth="1"/>
    <col min="15804" max="15805" width="2.5703125" customWidth="1"/>
    <col min="15808" max="15809" width="13.5703125" customWidth="1"/>
    <col min="15812" max="15813" width="2.5703125" customWidth="1"/>
    <col min="15816" max="15817" width="13.5703125" customWidth="1"/>
    <col min="15820" max="15821" width="2.5703125" customWidth="1"/>
    <col min="15824" max="15825" width="13.5703125" customWidth="1"/>
    <col min="15828" max="15829" width="2.5703125" customWidth="1"/>
    <col min="15832" max="15833" width="13.5703125" customWidth="1"/>
    <col min="15836" max="15837" width="2.5703125" customWidth="1"/>
    <col min="15840" max="15841" width="13.5703125" customWidth="1"/>
    <col min="15844" max="15845" width="2.5703125" customWidth="1"/>
    <col min="15848" max="15849" width="13.5703125" customWidth="1"/>
    <col min="15852" max="15853" width="2.5703125" customWidth="1"/>
    <col min="15856" max="15857" width="13.5703125" customWidth="1"/>
    <col min="15860" max="15861" width="2.5703125" customWidth="1"/>
    <col min="15864" max="15865" width="13.5703125" customWidth="1"/>
    <col min="15868" max="15869" width="2.5703125" customWidth="1"/>
    <col min="15872" max="15873" width="13.5703125" customWidth="1"/>
    <col min="15876" max="15877" width="2.5703125" customWidth="1"/>
    <col min="15880" max="15881" width="13.5703125" customWidth="1"/>
    <col min="15884" max="15885" width="2.5703125" customWidth="1"/>
    <col min="15888" max="15889" width="13.5703125" customWidth="1"/>
    <col min="15892" max="15893" width="2.5703125" customWidth="1"/>
    <col min="15896" max="15897" width="13.5703125" customWidth="1"/>
    <col min="15900" max="15901" width="2.5703125" customWidth="1"/>
    <col min="15904" max="15905" width="13.5703125" customWidth="1"/>
    <col min="15908" max="15909" width="2.5703125" customWidth="1"/>
    <col min="15912" max="15913" width="13.5703125" customWidth="1"/>
    <col min="15916" max="15917" width="2.5703125" customWidth="1"/>
    <col min="15920" max="15921" width="13.5703125" customWidth="1"/>
    <col min="15924" max="15925" width="2.5703125" customWidth="1"/>
    <col min="15928" max="15929" width="13.5703125" customWidth="1"/>
    <col min="15932" max="15933" width="2.5703125" customWidth="1"/>
    <col min="15936" max="15937" width="13.5703125" customWidth="1"/>
    <col min="15940" max="15941" width="2.5703125" customWidth="1"/>
    <col min="15944" max="15945" width="13.5703125" customWidth="1"/>
    <col min="15948" max="15949" width="2.5703125" customWidth="1"/>
    <col min="15952" max="15953" width="13.5703125" customWidth="1"/>
    <col min="15956" max="15957" width="2.5703125" customWidth="1"/>
    <col min="15960" max="15961" width="13.5703125" customWidth="1"/>
    <col min="15964" max="15965" width="2.5703125" customWidth="1"/>
    <col min="15968" max="15969" width="13.5703125" customWidth="1"/>
    <col min="15972" max="15973" width="2.5703125" customWidth="1"/>
    <col min="15976" max="15977" width="13.5703125" customWidth="1"/>
    <col min="15980" max="15981" width="2.5703125" customWidth="1"/>
    <col min="15984" max="15985" width="13.5703125" customWidth="1"/>
    <col min="15988" max="15989" width="2.5703125" customWidth="1"/>
    <col min="15992" max="15993" width="13.5703125" customWidth="1"/>
    <col min="15996" max="15997" width="2.5703125" customWidth="1"/>
    <col min="16000" max="16001" width="13.5703125" customWidth="1"/>
    <col min="16004" max="16005" width="2.5703125" customWidth="1"/>
    <col min="16008" max="16009" width="13.5703125" customWidth="1"/>
    <col min="16012" max="16013" width="2.5703125" customWidth="1"/>
    <col min="16016" max="16017" width="13.5703125" customWidth="1"/>
    <col min="16020" max="16021" width="2.5703125" customWidth="1"/>
    <col min="16024" max="16025" width="13.5703125" customWidth="1"/>
    <col min="16028" max="16029" width="2.5703125" customWidth="1"/>
    <col min="16032" max="16033" width="13.5703125" customWidth="1"/>
    <col min="16036" max="16037" width="2.5703125" customWidth="1"/>
    <col min="16040" max="16041" width="13.5703125" customWidth="1"/>
    <col min="16044" max="16045" width="2.5703125" customWidth="1"/>
    <col min="16048" max="16049" width="13.5703125" customWidth="1"/>
    <col min="16052" max="16053" width="2.5703125" customWidth="1"/>
    <col min="16056" max="16057" width="13.5703125" customWidth="1"/>
    <col min="16060" max="16061" width="2.5703125" customWidth="1"/>
    <col min="16064" max="16065" width="13.5703125" customWidth="1"/>
    <col min="16068" max="16069" width="2.5703125" customWidth="1"/>
    <col min="16072" max="16073" width="13.5703125" customWidth="1"/>
    <col min="16076" max="16077" width="2.5703125" customWidth="1"/>
    <col min="16080" max="16081" width="13.5703125" customWidth="1"/>
    <col min="16084" max="16085" width="2.5703125" customWidth="1"/>
    <col min="16088" max="16089" width="13.5703125" customWidth="1"/>
    <col min="16092" max="16093" width="2.5703125" customWidth="1"/>
    <col min="16096" max="16097" width="13.5703125" customWidth="1"/>
    <col min="16100" max="16101" width="2.5703125" customWidth="1"/>
    <col min="16104" max="16105" width="13.5703125" customWidth="1"/>
    <col min="16108" max="16109" width="2.5703125" customWidth="1"/>
    <col min="16112" max="16113" width="13.5703125" customWidth="1"/>
    <col min="16116" max="16117" width="2.5703125" customWidth="1"/>
    <col min="16120" max="16121" width="13.5703125" customWidth="1"/>
    <col min="16124" max="16125" width="2.5703125" customWidth="1"/>
    <col min="16128" max="16129" width="13.5703125" customWidth="1"/>
    <col min="16132" max="16133" width="2.5703125" customWidth="1"/>
    <col min="16136" max="16137" width="13.5703125" customWidth="1"/>
    <col min="16140" max="16141" width="2.5703125" customWidth="1"/>
    <col min="16144" max="16145" width="13.5703125" customWidth="1"/>
    <col min="16148" max="16149" width="2.5703125" customWidth="1"/>
    <col min="16152" max="16153" width="13.5703125" customWidth="1"/>
    <col min="16156" max="16157" width="2.5703125" customWidth="1"/>
    <col min="16160" max="16161" width="13.5703125" customWidth="1"/>
    <col min="16164" max="16165" width="2.5703125" customWidth="1"/>
    <col min="16168" max="16169" width="13.5703125" customWidth="1"/>
    <col min="16172" max="16173" width="2.5703125" customWidth="1"/>
    <col min="16176" max="16177" width="13.5703125" customWidth="1"/>
    <col min="16180" max="16181" width="2.5703125" customWidth="1"/>
    <col min="16184" max="16185" width="13.5703125" customWidth="1"/>
    <col min="16188" max="16189" width="2.5703125" customWidth="1"/>
    <col min="16192" max="16193" width="13.5703125" customWidth="1"/>
    <col min="16196" max="16197" width="2.5703125" customWidth="1"/>
    <col min="16200" max="16201" width="13.5703125" customWidth="1"/>
    <col min="16204" max="16205" width="2.5703125" customWidth="1"/>
    <col min="16208" max="16209" width="13.5703125" customWidth="1"/>
    <col min="16212" max="16213" width="2.5703125" customWidth="1"/>
    <col min="16216" max="16217" width="13.5703125" customWidth="1"/>
    <col min="16220" max="16221" width="2.5703125" customWidth="1"/>
    <col min="16224" max="16225" width="13.5703125" customWidth="1"/>
    <col min="16228" max="16229" width="2.5703125" customWidth="1"/>
    <col min="16232" max="16233" width="13.5703125" customWidth="1"/>
    <col min="16236" max="16237" width="2.5703125" customWidth="1"/>
    <col min="16240" max="16241" width="13.5703125" customWidth="1"/>
    <col min="16244" max="16245" width="2.5703125" customWidth="1"/>
    <col min="16248" max="16249" width="13.5703125" customWidth="1"/>
    <col min="16252" max="16253" width="2.5703125" customWidth="1"/>
    <col min="16256" max="16257" width="13.5703125" customWidth="1"/>
    <col min="16260" max="16261" width="2.5703125" customWidth="1"/>
    <col min="16264" max="16265" width="13.5703125" customWidth="1"/>
    <col min="16268" max="16269" width="2.5703125" customWidth="1"/>
    <col min="16272" max="16273" width="13.5703125" customWidth="1"/>
    <col min="16276" max="16277" width="2.5703125" customWidth="1"/>
    <col min="16280" max="16281" width="13.5703125" customWidth="1"/>
    <col min="16284" max="16285" width="2.5703125" customWidth="1"/>
    <col min="16288" max="16289" width="13.5703125" customWidth="1"/>
    <col min="16292" max="16293" width="2.5703125" customWidth="1"/>
    <col min="16296" max="16297" width="13.5703125" customWidth="1"/>
    <col min="16300" max="16301" width="2.5703125" customWidth="1"/>
    <col min="16304" max="16305" width="13.5703125" customWidth="1"/>
    <col min="16308" max="16309" width="2.5703125" customWidth="1"/>
    <col min="16312" max="16313" width="13.5703125" customWidth="1"/>
    <col min="16316" max="16317" width="2.5703125" customWidth="1"/>
    <col min="16320" max="16321" width="13.5703125" customWidth="1"/>
    <col min="16324" max="16325" width="2.5703125" customWidth="1"/>
    <col min="16328" max="16329" width="13.5703125" customWidth="1"/>
    <col min="16332" max="16333" width="2.5703125" customWidth="1"/>
    <col min="16336" max="16337" width="13.5703125" customWidth="1"/>
    <col min="16340" max="16341" width="2.5703125" customWidth="1"/>
    <col min="16344" max="16345" width="13.5703125" customWidth="1"/>
    <col min="16348" max="16349" width="2.5703125" customWidth="1"/>
    <col min="16352" max="16353" width="13.5703125" customWidth="1"/>
    <col min="16356" max="16357" width="2.5703125" customWidth="1"/>
    <col min="16360" max="16361" width="13.5703125" customWidth="1"/>
    <col min="16364" max="16365" width="2.5703125" customWidth="1"/>
    <col min="16368" max="16369" width="13.5703125" customWidth="1"/>
    <col min="16372" max="16373" width="2.5703125" customWidth="1"/>
    <col min="16376" max="16377" width="13.5703125" customWidth="1"/>
    <col min="16380" max="16381" width="2.5703125" customWidth="1"/>
    <col min="16384" max="16384" width="13.5703125" customWidth="1"/>
  </cols>
  <sheetData>
    <row r="1" spans="1:9" x14ac:dyDescent="0.25">
      <c r="A1" s="1" t="s">
        <v>151</v>
      </c>
      <c r="B1" s="2"/>
      <c r="C1" s="2"/>
      <c r="D1" s="2"/>
      <c r="E1" s="2"/>
      <c r="F1" s="17"/>
      <c r="G1" s="18"/>
    </row>
    <row r="2" spans="1:9" x14ac:dyDescent="0.25">
      <c r="A2" s="4" t="s">
        <v>8</v>
      </c>
      <c r="B2" s="4" t="s">
        <v>17</v>
      </c>
      <c r="C2" s="4" t="s">
        <v>91</v>
      </c>
      <c r="D2" s="4" t="s">
        <v>132</v>
      </c>
      <c r="F2" s="46" t="s">
        <v>16</v>
      </c>
      <c r="G2" s="47"/>
    </row>
    <row r="3" spans="1:9" x14ac:dyDescent="0.25">
      <c r="A3" s="7">
        <v>41199</v>
      </c>
      <c r="B3" s="5" t="s">
        <v>72</v>
      </c>
      <c r="C3" s="5">
        <v>36</v>
      </c>
      <c r="D3" s="6">
        <f>VLOOKUP(B3,$F$4:$G$6,2,0)</f>
        <v>18</v>
      </c>
      <c r="F3" s="8" t="s">
        <v>17</v>
      </c>
      <c r="G3" s="8" t="s">
        <v>11</v>
      </c>
    </row>
    <row r="4" spans="1:9" x14ac:dyDescent="0.25">
      <c r="A4" s="7">
        <v>41199</v>
      </c>
      <c r="B4" s="5" t="s">
        <v>145</v>
      </c>
      <c r="C4" s="5">
        <v>9</v>
      </c>
      <c r="D4" s="6">
        <f>VLOOKUP(B4,$F$4:$G$6,2,0)</f>
        <v>4</v>
      </c>
      <c r="F4" s="5" t="s">
        <v>72</v>
      </c>
      <c r="G4" s="5">
        <v>18</v>
      </c>
    </row>
    <row r="5" spans="1:9" x14ac:dyDescent="0.25">
      <c r="A5" s="7">
        <v>41199</v>
      </c>
      <c r="B5" s="5" t="s">
        <v>72</v>
      </c>
      <c r="C5" s="5">
        <v>30</v>
      </c>
      <c r="D5" s="6">
        <f>VLOOKUP(B5,$F$4:$G$6,2,0)</f>
        <v>18</v>
      </c>
      <c r="F5" s="5" t="s">
        <v>145</v>
      </c>
      <c r="G5" s="5">
        <v>4</v>
      </c>
    </row>
    <row r="6" spans="1:9" x14ac:dyDescent="0.25">
      <c r="A6" s="7">
        <v>41199</v>
      </c>
      <c r="B6" s="5" t="s">
        <v>145</v>
      </c>
      <c r="C6" s="5">
        <v>8</v>
      </c>
      <c r="D6" s="6">
        <f>VLOOKUP(B6,$F$4:$G$6,2,0)</f>
        <v>4</v>
      </c>
      <c r="F6" s="5" t="s">
        <v>146</v>
      </c>
      <c r="G6" s="5">
        <v>2</v>
      </c>
    </row>
    <row r="7" spans="1:9" x14ac:dyDescent="0.25">
      <c r="A7" s="7">
        <v>41199</v>
      </c>
      <c r="B7" s="5" t="s">
        <v>146</v>
      </c>
      <c r="C7" s="5">
        <v>6</v>
      </c>
      <c r="D7" s="6">
        <f>VLOOKUP(B7,$F$4:$G$6,2,0)</f>
        <v>2</v>
      </c>
      <c r="I7" t="s">
        <v>152</v>
      </c>
    </row>
    <row r="8" spans="1:9" ht="3" customHeight="1" x14ac:dyDescent="0.25"/>
    <row r="9" spans="1:9" x14ac:dyDescent="0.25">
      <c r="A9" s="8" t="s">
        <v>149</v>
      </c>
      <c r="B9" s="6">
        <f>SUM(C3:C7)</f>
        <v>89</v>
      </c>
      <c r="C9" t="s">
        <v>1529</v>
      </c>
    </row>
    <row r="10" spans="1:9" x14ac:dyDescent="0.25">
      <c r="A10" s="8" t="s">
        <v>147</v>
      </c>
      <c r="B10" s="6">
        <f>SUM(D3:D7)</f>
        <v>46</v>
      </c>
      <c r="C10" t="s">
        <v>1530</v>
      </c>
    </row>
    <row r="11" spans="1:9" x14ac:dyDescent="0.25">
      <c r="A11" s="8" t="s">
        <v>148</v>
      </c>
      <c r="B11" s="6">
        <f>B9-B10</f>
        <v>43</v>
      </c>
      <c r="C11" t="s">
        <v>1531</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rgb="FF0000FF"/>
  </sheetPr>
  <dimension ref="A1:G17"/>
  <sheetViews>
    <sheetView zoomScale="175" zoomScaleNormal="175" workbookViewId="0">
      <selection activeCell="E3" sqref="E3"/>
    </sheetView>
  </sheetViews>
  <sheetFormatPr defaultRowHeight="15" x14ac:dyDescent="0.25"/>
  <cols>
    <col min="1" max="1" width="13.5703125" customWidth="1"/>
    <col min="4" max="5" width="2.5703125" customWidth="1"/>
    <col min="8" max="8" width="13.5703125" customWidth="1"/>
  </cols>
  <sheetData>
    <row r="1" spans="1:7" x14ac:dyDescent="0.25">
      <c r="A1" s="1" t="s">
        <v>150</v>
      </c>
      <c r="B1" s="2"/>
      <c r="C1" s="2"/>
      <c r="D1" s="2"/>
      <c r="E1" s="2"/>
      <c r="F1" s="17"/>
      <c r="G1" s="18"/>
    </row>
    <row r="2" spans="1:7" x14ac:dyDescent="0.25">
      <c r="A2" s="4" t="s">
        <v>8</v>
      </c>
      <c r="B2" s="4" t="s">
        <v>17</v>
      </c>
      <c r="C2" s="4" t="s">
        <v>91</v>
      </c>
      <c r="F2" s="46" t="s">
        <v>16</v>
      </c>
      <c r="G2" s="47"/>
    </row>
    <row r="3" spans="1:7" x14ac:dyDescent="0.25">
      <c r="A3" s="7">
        <v>41199</v>
      </c>
      <c r="B3" s="5" t="s">
        <v>72</v>
      </c>
      <c r="C3" s="5">
        <v>36</v>
      </c>
      <c r="F3" s="8" t="s">
        <v>17</v>
      </c>
      <c r="G3" s="8" t="s">
        <v>11</v>
      </c>
    </row>
    <row r="4" spans="1:7" x14ac:dyDescent="0.25">
      <c r="A4" s="7">
        <v>41199</v>
      </c>
      <c r="B4" s="5" t="s">
        <v>145</v>
      </c>
      <c r="C4" s="5">
        <v>9</v>
      </c>
      <c r="F4" s="5" t="s">
        <v>72</v>
      </c>
      <c r="G4" s="5">
        <v>18</v>
      </c>
    </row>
    <row r="5" spans="1:7" x14ac:dyDescent="0.25">
      <c r="A5" s="7">
        <v>41199</v>
      </c>
      <c r="B5" s="5" t="s">
        <v>72</v>
      </c>
      <c r="C5" s="5">
        <v>30</v>
      </c>
      <c r="F5" s="5" t="s">
        <v>145</v>
      </c>
      <c r="G5" s="5">
        <v>4</v>
      </c>
    </row>
    <row r="6" spans="1:7" x14ac:dyDescent="0.25">
      <c r="A6" s="7">
        <v>41199</v>
      </c>
      <c r="B6" s="5" t="s">
        <v>145</v>
      </c>
      <c r="C6" s="5">
        <v>8</v>
      </c>
      <c r="F6" s="5" t="s">
        <v>146</v>
      </c>
      <c r="G6" s="5">
        <v>2</v>
      </c>
    </row>
    <row r="7" spans="1:7" x14ac:dyDescent="0.25">
      <c r="A7" s="7">
        <v>41199</v>
      </c>
      <c r="B7" s="5" t="s">
        <v>146</v>
      </c>
      <c r="C7" s="5">
        <v>6</v>
      </c>
      <c r="E7" t="s">
        <v>153</v>
      </c>
    </row>
    <row r="8" spans="1:7" ht="3.75" customHeight="1" x14ac:dyDescent="0.25"/>
    <row r="9" spans="1:7" x14ac:dyDescent="0.25">
      <c r="A9" s="8" t="s">
        <v>149</v>
      </c>
      <c r="B9" s="6">
        <f>SUM(C3:C7)</f>
        <v>89</v>
      </c>
      <c r="C9" t="s">
        <v>1529</v>
      </c>
    </row>
    <row r="10" spans="1:7" x14ac:dyDescent="0.25">
      <c r="A10" s="8" t="s">
        <v>147</v>
      </c>
      <c r="B10" s="6" t="e">
        <f>SUMPRODUCT(VLOOKUP(B3:B7,F4:G6,2,0))</f>
        <v>#VALUE!</v>
      </c>
      <c r="C10" t="s">
        <v>1532</v>
      </c>
    </row>
    <row r="11" spans="1:7" x14ac:dyDescent="0.25">
      <c r="A11" s="8" t="s">
        <v>148</v>
      </c>
      <c r="B11" s="6"/>
    </row>
    <row r="14" spans="1:7" x14ac:dyDescent="0.25">
      <c r="A14" s="23" t="s">
        <v>165</v>
      </c>
    </row>
    <row r="15" spans="1:7" x14ac:dyDescent="0.25">
      <c r="A15" s="6" t="e">
        <f>SUMPRODUCT(HLOOKUP(B3:B7,A16:C17,2,0))</f>
        <v>#VALUE!</v>
      </c>
    </row>
    <row r="16" spans="1:7" x14ac:dyDescent="0.25">
      <c r="A16" s="5" t="s">
        <v>72</v>
      </c>
      <c r="B16" s="5" t="s">
        <v>145</v>
      </c>
      <c r="C16" s="5" t="s">
        <v>146</v>
      </c>
    </row>
    <row r="17" spans="1:3" x14ac:dyDescent="0.25">
      <c r="A17" s="5">
        <v>18</v>
      </c>
      <c r="B17" s="5">
        <v>4</v>
      </c>
      <c r="C17" s="5">
        <v>2</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0000FF"/>
  </sheetPr>
  <dimension ref="A1:G11"/>
  <sheetViews>
    <sheetView zoomScale="175" zoomScaleNormal="175" workbookViewId="0">
      <selection activeCell="E3" sqref="E3"/>
    </sheetView>
  </sheetViews>
  <sheetFormatPr defaultRowHeight="15" x14ac:dyDescent="0.25"/>
  <cols>
    <col min="1" max="1" width="13.5703125" customWidth="1"/>
    <col min="4" max="5" width="2.5703125" customWidth="1"/>
    <col min="8" max="8" width="13.5703125" customWidth="1"/>
  </cols>
  <sheetData>
    <row r="1" spans="1:7" x14ac:dyDescent="0.25">
      <c r="A1" s="1" t="s">
        <v>150</v>
      </c>
      <c r="B1" s="2"/>
      <c r="C1" s="2"/>
      <c r="D1" s="2"/>
      <c r="E1" s="2"/>
      <c r="F1" s="17"/>
      <c r="G1" s="18"/>
    </row>
    <row r="2" spans="1:7" x14ac:dyDescent="0.25">
      <c r="A2" s="4" t="s">
        <v>8</v>
      </c>
      <c r="B2" s="4" t="s">
        <v>17</v>
      </c>
      <c r="C2" s="4" t="s">
        <v>91</v>
      </c>
      <c r="F2" s="46" t="s">
        <v>16</v>
      </c>
      <c r="G2" s="47"/>
    </row>
    <row r="3" spans="1:7" x14ac:dyDescent="0.25">
      <c r="A3" s="7">
        <v>41199</v>
      </c>
      <c r="B3" s="5" t="s">
        <v>72</v>
      </c>
      <c r="C3" s="5">
        <v>36</v>
      </c>
      <c r="F3" s="8" t="s">
        <v>17</v>
      </c>
      <c r="G3" s="8" t="s">
        <v>11</v>
      </c>
    </row>
    <row r="4" spans="1:7" x14ac:dyDescent="0.25">
      <c r="A4" s="7">
        <v>41199</v>
      </c>
      <c r="B4" s="5" t="s">
        <v>145</v>
      </c>
      <c r="C4" s="5">
        <v>9</v>
      </c>
      <c r="F4" s="5" t="s">
        <v>72</v>
      </c>
      <c r="G4" s="5">
        <v>18</v>
      </c>
    </row>
    <row r="5" spans="1:7" x14ac:dyDescent="0.25">
      <c r="A5" s="7">
        <v>41199</v>
      </c>
      <c r="B5" s="5" t="s">
        <v>72</v>
      </c>
      <c r="C5" s="5">
        <v>30</v>
      </c>
      <c r="F5" s="5" t="s">
        <v>145</v>
      </c>
      <c r="G5" s="5">
        <v>4</v>
      </c>
    </row>
    <row r="6" spans="1:7" x14ac:dyDescent="0.25">
      <c r="A6" s="7">
        <v>41199</v>
      </c>
      <c r="B6" s="5" t="s">
        <v>145</v>
      </c>
      <c r="C6" s="5">
        <v>8</v>
      </c>
      <c r="F6" s="5" t="s">
        <v>146</v>
      </c>
      <c r="G6" s="5">
        <v>2</v>
      </c>
    </row>
    <row r="7" spans="1:7" x14ac:dyDescent="0.25">
      <c r="A7" s="7">
        <v>41199</v>
      </c>
      <c r="B7" s="5" t="s">
        <v>146</v>
      </c>
      <c r="C7" s="5">
        <v>6</v>
      </c>
      <c r="E7" t="s">
        <v>153</v>
      </c>
    </row>
    <row r="8" spans="1:7" ht="3.75" customHeight="1" x14ac:dyDescent="0.25"/>
    <row r="9" spans="1:7" x14ac:dyDescent="0.25">
      <c r="A9" s="8" t="s">
        <v>149</v>
      </c>
      <c r="B9" s="6">
        <f>SUM(C3:C7)</f>
        <v>89</v>
      </c>
      <c r="C9" t="s">
        <v>1529</v>
      </c>
    </row>
    <row r="10" spans="1:7" x14ac:dyDescent="0.25">
      <c r="A10" s="8" t="s">
        <v>147</v>
      </c>
      <c r="B10" s="6">
        <f>SUMPRODUCT(SUMIF(F4:F6,B3:B7,G4:G6))</f>
        <v>46</v>
      </c>
      <c r="C10" t="s">
        <v>1533</v>
      </c>
    </row>
    <row r="11" spans="1:7" x14ac:dyDescent="0.25">
      <c r="A11" s="8" t="s">
        <v>148</v>
      </c>
      <c r="B11" s="6">
        <f>B9-B10</f>
        <v>43</v>
      </c>
      <c r="C11" t="s">
        <v>1531</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rgb="FF0000FF"/>
  </sheetPr>
  <dimension ref="A1:G11"/>
  <sheetViews>
    <sheetView zoomScale="175" zoomScaleNormal="175" workbookViewId="0">
      <selection activeCell="E3" sqref="E3"/>
    </sheetView>
  </sheetViews>
  <sheetFormatPr defaultRowHeight="15" x14ac:dyDescent="0.25"/>
  <cols>
    <col min="1" max="1" width="13.5703125" customWidth="1"/>
    <col min="4" max="5" width="2.5703125" customWidth="1"/>
    <col min="8" max="8" width="13.5703125" customWidth="1"/>
  </cols>
  <sheetData>
    <row r="1" spans="1:7" x14ac:dyDescent="0.25">
      <c r="A1" s="1" t="s">
        <v>150</v>
      </c>
      <c r="B1" s="2"/>
      <c r="C1" s="2"/>
      <c r="D1" s="2"/>
      <c r="E1" s="2"/>
      <c r="F1" s="17"/>
      <c r="G1" s="18"/>
    </row>
    <row r="2" spans="1:7" x14ac:dyDescent="0.25">
      <c r="A2" s="4" t="s">
        <v>8</v>
      </c>
      <c r="B2" s="4" t="s">
        <v>17</v>
      </c>
      <c r="C2" s="4" t="s">
        <v>91</v>
      </c>
      <c r="F2" s="46" t="s">
        <v>16</v>
      </c>
      <c r="G2" s="47"/>
    </row>
    <row r="3" spans="1:7" x14ac:dyDescent="0.25">
      <c r="A3" s="7">
        <v>41199</v>
      </c>
      <c r="B3" s="5" t="s">
        <v>72</v>
      </c>
      <c r="C3" s="5">
        <v>36</v>
      </c>
      <c r="F3" s="8" t="s">
        <v>17</v>
      </c>
      <c r="G3" s="8" t="s">
        <v>11</v>
      </c>
    </row>
    <row r="4" spans="1:7" x14ac:dyDescent="0.25">
      <c r="A4" s="7">
        <v>41199</v>
      </c>
      <c r="B4" s="5" t="s">
        <v>145</v>
      </c>
      <c r="C4" s="5">
        <v>9</v>
      </c>
      <c r="F4" s="5" t="s">
        <v>146</v>
      </c>
      <c r="G4" s="5">
        <v>2</v>
      </c>
    </row>
    <row r="5" spans="1:7" x14ac:dyDescent="0.25">
      <c r="A5" s="7">
        <v>41199</v>
      </c>
      <c r="B5" s="5" t="s">
        <v>72</v>
      </c>
      <c r="C5" s="5">
        <v>30</v>
      </c>
      <c r="F5" s="5" t="s">
        <v>72</v>
      </c>
      <c r="G5" s="5">
        <v>18</v>
      </c>
    </row>
    <row r="6" spans="1:7" x14ac:dyDescent="0.25">
      <c r="A6" s="7">
        <v>41199</v>
      </c>
      <c r="B6" s="5" t="s">
        <v>145</v>
      </c>
      <c r="C6" s="5">
        <v>8</v>
      </c>
      <c r="F6" s="5" t="s">
        <v>145</v>
      </c>
      <c r="G6" s="5">
        <v>4</v>
      </c>
    </row>
    <row r="7" spans="1:7" x14ac:dyDescent="0.25">
      <c r="A7" s="7">
        <v>41199</v>
      </c>
      <c r="B7" s="5" t="s">
        <v>146</v>
      </c>
      <c r="C7" s="5">
        <v>6</v>
      </c>
      <c r="E7" t="s">
        <v>154</v>
      </c>
    </row>
    <row r="8" spans="1:7" ht="3.75" customHeight="1" x14ac:dyDescent="0.25"/>
    <row r="9" spans="1:7" x14ac:dyDescent="0.25">
      <c r="A9" s="8" t="s">
        <v>149</v>
      </c>
      <c r="B9" s="6">
        <f>SUM(C3:C7)</f>
        <v>89</v>
      </c>
      <c r="C9" t="s">
        <v>1529</v>
      </c>
    </row>
    <row r="10" spans="1:7" x14ac:dyDescent="0.25">
      <c r="A10" s="8" t="s">
        <v>147</v>
      </c>
      <c r="B10" s="6">
        <f>SUMPRODUCT(LOOKUP(B3:B7,F4:G6))</f>
        <v>46</v>
      </c>
      <c r="C10" t="s">
        <v>1534</v>
      </c>
    </row>
    <row r="11" spans="1:7" x14ac:dyDescent="0.25">
      <c r="A11" s="8" t="s">
        <v>148</v>
      </c>
      <c r="B11" s="6">
        <f>B9-B10</f>
        <v>43</v>
      </c>
      <c r="C11" t="s">
        <v>1531</v>
      </c>
    </row>
  </sheetData>
  <sortState ref="F4:G6">
    <sortCondition ref="F4"/>
  </sortState>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rgb="FF0000FF"/>
  </sheetPr>
  <dimension ref="A1:D7"/>
  <sheetViews>
    <sheetView zoomScale="175" zoomScaleNormal="175" workbookViewId="0">
      <selection activeCell="E3" sqref="E3"/>
    </sheetView>
  </sheetViews>
  <sheetFormatPr defaultRowHeight="15" x14ac:dyDescent="0.25"/>
  <cols>
    <col min="1" max="4" width="8.140625" customWidth="1"/>
  </cols>
  <sheetData>
    <row r="1" spans="1:4" x14ac:dyDescent="0.25">
      <c r="A1" s="8" t="s">
        <v>40</v>
      </c>
      <c r="B1" s="8" t="s">
        <v>8</v>
      </c>
      <c r="C1" s="8" t="s">
        <v>41</v>
      </c>
      <c r="D1" s="8" t="s">
        <v>42</v>
      </c>
    </row>
    <row r="2" spans="1:4" x14ac:dyDescent="0.25">
      <c r="A2" s="5" t="s">
        <v>44</v>
      </c>
      <c r="B2" s="19">
        <v>41183</v>
      </c>
      <c r="C2" s="5">
        <v>759</v>
      </c>
      <c r="D2" s="5">
        <v>762</v>
      </c>
    </row>
    <row r="3" spans="1:4" x14ac:dyDescent="0.25">
      <c r="A3" s="5" t="s">
        <v>44</v>
      </c>
      <c r="B3" s="19">
        <v>41184</v>
      </c>
      <c r="C3" s="5">
        <v>765</v>
      </c>
      <c r="D3" s="5">
        <v>757</v>
      </c>
    </row>
    <row r="4" spans="1:4" x14ac:dyDescent="0.25">
      <c r="A4" s="5" t="s">
        <v>44</v>
      </c>
      <c r="B4" s="19">
        <v>41185</v>
      </c>
      <c r="C4" s="5">
        <v>756</v>
      </c>
      <c r="D4" s="5">
        <v>763</v>
      </c>
    </row>
    <row r="5" spans="1:4" x14ac:dyDescent="0.25">
      <c r="A5" s="5" t="s">
        <v>44</v>
      </c>
      <c r="B5" s="19">
        <v>41186</v>
      </c>
      <c r="C5" s="5">
        <v>762</v>
      </c>
      <c r="D5" s="5">
        <v>768</v>
      </c>
    </row>
    <row r="7" spans="1:4" x14ac:dyDescent="0.25">
      <c r="A7" s="8" t="s">
        <v>45</v>
      </c>
      <c r="B7" s="6">
        <f t="array" ref="B7">MAX(D2:D5-C2:C5)</f>
        <v>7</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rgb="FF0000FF"/>
  </sheetPr>
  <dimension ref="A1:B4"/>
  <sheetViews>
    <sheetView zoomScale="175" zoomScaleNormal="175" workbookViewId="0">
      <selection activeCell="E3" sqref="E3"/>
    </sheetView>
  </sheetViews>
  <sheetFormatPr defaultRowHeight="15" x14ac:dyDescent="0.25"/>
  <cols>
    <col min="1" max="1" width="14.140625" bestFit="1" customWidth="1"/>
  </cols>
  <sheetData>
    <row r="1" spans="1:2" x14ac:dyDescent="0.25">
      <c r="A1" s="8" t="s">
        <v>17</v>
      </c>
      <c r="B1" s="8" t="s">
        <v>10</v>
      </c>
    </row>
    <row r="2" spans="1:2" x14ac:dyDescent="0.25">
      <c r="A2" s="14" t="s">
        <v>155</v>
      </c>
      <c r="B2" s="5">
        <v>37</v>
      </c>
    </row>
    <row r="3" spans="1:2" x14ac:dyDescent="0.25">
      <c r="A3" s="14" t="s">
        <v>72</v>
      </c>
      <c r="B3" s="5">
        <v>33</v>
      </c>
    </row>
    <row r="4" spans="1:2" x14ac:dyDescent="0.25">
      <c r="A4" s="14" t="s">
        <v>156</v>
      </c>
      <c r="B4" s="5">
        <v>18</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tabColor rgb="FF0000FF"/>
  </sheetPr>
  <dimension ref="A1:C9"/>
  <sheetViews>
    <sheetView zoomScale="175" zoomScaleNormal="175" workbookViewId="0">
      <selection activeCell="E3" sqref="E3"/>
    </sheetView>
  </sheetViews>
  <sheetFormatPr defaultRowHeight="15" x14ac:dyDescent="0.25"/>
  <cols>
    <col min="1" max="1" width="19.140625" customWidth="1"/>
    <col min="2" max="2" width="8.42578125" customWidth="1"/>
  </cols>
  <sheetData>
    <row r="1" spans="1:3" x14ac:dyDescent="0.25">
      <c r="A1" s="1" t="s">
        <v>167</v>
      </c>
      <c r="B1" s="18"/>
      <c r="C1" s="18"/>
    </row>
    <row r="2" spans="1:3" x14ac:dyDescent="0.25">
      <c r="A2" s="4" t="s">
        <v>157</v>
      </c>
      <c r="B2" s="4" t="s">
        <v>164</v>
      </c>
    </row>
    <row r="3" spans="1:3" x14ac:dyDescent="0.25">
      <c r="A3" s="5" t="s">
        <v>158</v>
      </c>
      <c r="B3" s="5">
        <v>84</v>
      </c>
    </row>
    <row r="4" spans="1:3" x14ac:dyDescent="0.25">
      <c r="A4" s="5" t="s">
        <v>159</v>
      </c>
      <c r="B4" s="5">
        <v>70</v>
      </c>
    </row>
    <row r="5" spans="1:3" x14ac:dyDescent="0.25">
      <c r="A5" s="5" t="s">
        <v>160</v>
      </c>
      <c r="B5" s="5">
        <v>69</v>
      </c>
    </row>
    <row r="6" spans="1:3" x14ac:dyDescent="0.25">
      <c r="A6" s="5" t="s">
        <v>161</v>
      </c>
      <c r="B6" s="5">
        <v>87</v>
      </c>
    </row>
    <row r="7" spans="1:3" x14ac:dyDescent="0.25">
      <c r="A7" s="5" t="s">
        <v>162</v>
      </c>
      <c r="B7" s="5">
        <v>70</v>
      </c>
    </row>
    <row r="8" spans="1:3" x14ac:dyDescent="0.25">
      <c r="A8" s="5" t="s">
        <v>163</v>
      </c>
      <c r="B8" s="5">
        <v>68</v>
      </c>
    </row>
    <row r="9" spans="1:3" x14ac:dyDescent="0.25">
      <c r="A9" s="8" t="s">
        <v>166</v>
      </c>
      <c r="B9" s="6">
        <f>SMALL(B3:B8,1)+SMALL(B3:B8,2)+SMALL(B3:B8,3)</f>
        <v>207</v>
      </c>
    </row>
  </sheetData>
  <conditionalFormatting sqref="B3:B8">
    <cfRule type="expression" dxfId="34" priority="3">
      <formula>B3&lt;=SMALL(D$7:D$12,3)</formula>
    </cfRule>
  </conditionalFormatting>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tabColor rgb="FF0000FF"/>
  </sheetPr>
  <dimension ref="A1:B14"/>
  <sheetViews>
    <sheetView zoomScale="133" zoomScaleNormal="133" workbookViewId="0">
      <selection activeCell="E3" sqref="E3"/>
    </sheetView>
  </sheetViews>
  <sheetFormatPr defaultRowHeight="15" x14ac:dyDescent="0.25"/>
  <cols>
    <col min="1" max="1" width="24.140625" customWidth="1"/>
    <col min="2" max="2" width="11" customWidth="1"/>
  </cols>
  <sheetData>
    <row r="1" spans="1:2" x14ac:dyDescent="0.25">
      <c r="A1" s="1" t="s">
        <v>167</v>
      </c>
      <c r="B1" s="18"/>
    </row>
    <row r="2" spans="1:2" x14ac:dyDescent="0.25">
      <c r="A2" s="4" t="s">
        <v>157</v>
      </c>
      <c r="B2" s="4" t="s">
        <v>164</v>
      </c>
    </row>
    <row r="3" spans="1:2" x14ac:dyDescent="0.25">
      <c r="A3" s="5" t="s">
        <v>158</v>
      </c>
      <c r="B3" s="5">
        <v>84</v>
      </c>
    </row>
    <row r="4" spans="1:2" x14ac:dyDescent="0.25">
      <c r="A4" s="5" t="s">
        <v>159</v>
      </c>
      <c r="B4" s="5">
        <v>70</v>
      </c>
    </row>
    <row r="5" spans="1:2" x14ac:dyDescent="0.25">
      <c r="A5" s="5" t="s">
        <v>160</v>
      </c>
      <c r="B5" s="5">
        <v>69</v>
      </c>
    </row>
    <row r="6" spans="1:2" x14ac:dyDescent="0.25">
      <c r="A6" s="5" t="s">
        <v>161</v>
      </c>
      <c r="B6" s="5">
        <v>87</v>
      </c>
    </row>
    <row r="7" spans="1:2" x14ac:dyDescent="0.25">
      <c r="A7" s="5" t="s">
        <v>162</v>
      </c>
      <c r="B7" s="5">
        <v>70</v>
      </c>
    </row>
    <row r="8" spans="1:2" x14ac:dyDescent="0.25">
      <c r="A8" s="5" t="s">
        <v>163</v>
      </c>
      <c r="B8" s="5">
        <v>68</v>
      </c>
    </row>
    <row r="9" spans="1:2" x14ac:dyDescent="0.25">
      <c r="A9" s="8" t="s">
        <v>166</v>
      </c>
      <c r="B9" s="6">
        <f>SUM(SMALL(B3:B8,{1,2,3}))</f>
        <v>207</v>
      </c>
    </row>
    <row r="13" spans="1:2" x14ac:dyDescent="0.25">
      <c r="A13" t="s">
        <v>208</v>
      </c>
    </row>
    <row r="14" spans="1:2" x14ac:dyDescent="0.25">
      <c r="A14" t="s">
        <v>207</v>
      </c>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698339A2-3C48-4D2F-A657-ABF47FC77287}">
            <xm:f>'7-(9)'!B3&lt;=SMALL('7-(9)'!D$7:D$12,3)</xm:f>
            <x14:dxf>
              <fill>
                <patternFill>
                  <bgColor rgb="FFFFFF99"/>
                </patternFill>
              </fill>
            </x14:dxf>
          </x14:cfRule>
          <xm:sqref>B3:B8</xm:sqref>
        </x14:conditionalFormatting>
      </x14:conditionalFormatting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rgb="FF0000FF"/>
  </sheetPr>
  <dimension ref="A1:D11"/>
  <sheetViews>
    <sheetView zoomScale="115" zoomScaleNormal="115" workbookViewId="0">
      <selection activeCell="E3" sqref="E3"/>
    </sheetView>
  </sheetViews>
  <sheetFormatPr defaultRowHeight="15" x14ac:dyDescent="0.25"/>
  <cols>
    <col min="1" max="1" width="24.140625" customWidth="1"/>
    <col min="2" max="2" width="11" customWidth="1"/>
    <col min="3" max="3" width="2" customWidth="1"/>
    <col min="4" max="7" width="9.140625" customWidth="1"/>
  </cols>
  <sheetData>
    <row r="1" spans="1:4" x14ac:dyDescent="0.25">
      <c r="A1" s="1" t="s">
        <v>167</v>
      </c>
      <c r="B1" s="18"/>
    </row>
    <row r="2" spans="1:4" x14ac:dyDescent="0.25">
      <c r="A2" s="4" t="s">
        <v>157</v>
      </c>
      <c r="B2" s="4" t="s">
        <v>164</v>
      </c>
    </row>
    <row r="3" spans="1:4" x14ac:dyDescent="0.25">
      <c r="A3" s="5" t="s">
        <v>158</v>
      </c>
      <c r="B3" s="5">
        <v>84</v>
      </c>
    </row>
    <row r="4" spans="1:4" x14ac:dyDescent="0.25">
      <c r="A4" s="5" t="s">
        <v>159</v>
      </c>
      <c r="B4" s="5">
        <v>70</v>
      </c>
    </row>
    <row r="5" spans="1:4" x14ac:dyDescent="0.25">
      <c r="A5" s="5" t="s">
        <v>160</v>
      </c>
      <c r="B5" s="5">
        <v>69</v>
      </c>
    </row>
    <row r="6" spans="1:4" x14ac:dyDescent="0.25">
      <c r="A6" s="5" t="s">
        <v>161</v>
      </c>
      <c r="B6" s="5">
        <v>87</v>
      </c>
      <c r="D6" s="26" t="s">
        <v>168</v>
      </c>
    </row>
    <row r="7" spans="1:4" x14ac:dyDescent="0.25">
      <c r="A7" s="5" t="s">
        <v>162</v>
      </c>
      <c r="B7" s="5">
        <v>70</v>
      </c>
      <c r="D7" s="5">
        <v>1</v>
      </c>
    </row>
    <row r="8" spans="1:4" x14ac:dyDescent="0.25">
      <c r="A8" s="5" t="s">
        <v>163</v>
      </c>
      <c r="B8" s="5">
        <v>68</v>
      </c>
      <c r="D8" s="5">
        <v>2</v>
      </c>
    </row>
    <row r="9" spans="1:4" x14ac:dyDescent="0.25">
      <c r="A9" s="8" t="s">
        <v>166</v>
      </c>
      <c r="B9" s="6">
        <f t="array" ref="B9">SUM(SMALL(B3:B8,D7:D9))</f>
        <v>207</v>
      </c>
      <c r="D9" s="5">
        <v>3</v>
      </c>
    </row>
    <row r="11" spans="1:4" x14ac:dyDescent="0.25">
      <c r="B11" s="6">
        <f>SUMPRODUCT(SMALL(B3:B8,D7:D9))</f>
        <v>207</v>
      </c>
      <c r="D11" t="s">
        <v>1535</v>
      </c>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8FB3B956-73A6-43B4-8826-982E4407FF03}">
            <xm:f>'7-(9)'!B3&lt;=SMALL('7-(9)'!D$7:D$12,3)</xm:f>
            <x14:dxf>
              <fill>
                <patternFill>
                  <bgColor rgb="FFFFFF99"/>
                </patternFill>
              </fill>
            </x14:dxf>
          </x14:cfRule>
          <xm:sqref>B3:B8</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tabColor rgb="FF0000FF"/>
  </sheetPr>
  <dimension ref="A1:C6"/>
  <sheetViews>
    <sheetView zoomScale="175" zoomScaleNormal="175" workbookViewId="0">
      <selection activeCell="E3" sqref="E3"/>
    </sheetView>
  </sheetViews>
  <sheetFormatPr defaultRowHeight="15" x14ac:dyDescent="0.25"/>
  <cols>
    <col min="1" max="1" width="7.7109375" customWidth="1"/>
    <col min="2" max="2" width="2.42578125" customWidth="1"/>
    <col min="3" max="3" width="30.42578125" customWidth="1"/>
  </cols>
  <sheetData>
    <row r="1" spans="1:3" x14ac:dyDescent="0.25">
      <c r="A1" s="8" t="s">
        <v>181</v>
      </c>
      <c r="C1" s="28" t="s">
        <v>182</v>
      </c>
    </row>
    <row r="2" spans="1:3" x14ac:dyDescent="0.25">
      <c r="A2" s="5">
        <v>3</v>
      </c>
      <c r="C2" s="6">
        <f>SUMIF(A2:A6,"&lt;="&amp;SMALL(A2:A6,3))</f>
        <v>7</v>
      </c>
    </row>
    <row r="3" spans="1:3" x14ac:dyDescent="0.25">
      <c r="A3" s="5">
        <v>2</v>
      </c>
    </row>
    <row r="4" spans="1:3" x14ac:dyDescent="0.25">
      <c r="A4" s="5">
        <v>1</v>
      </c>
    </row>
    <row r="5" spans="1:3" x14ac:dyDescent="0.25">
      <c r="A5" s="5">
        <v>2</v>
      </c>
    </row>
    <row r="6" spans="1:3" x14ac:dyDescent="0.25">
      <c r="A6" s="5">
        <v>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rgb="FF0000FF"/>
  </sheetPr>
  <dimension ref="A1:G8"/>
  <sheetViews>
    <sheetView zoomScale="130" zoomScaleNormal="130" workbookViewId="0">
      <selection activeCell="E3" sqref="E3"/>
    </sheetView>
  </sheetViews>
  <sheetFormatPr defaultRowHeight="15" x14ac:dyDescent="0.25"/>
  <cols>
    <col min="1" max="1" width="8" customWidth="1"/>
    <col min="6" max="6" width="9.140625" customWidth="1"/>
    <col min="7" max="7" width="14" customWidth="1"/>
  </cols>
  <sheetData>
    <row r="1" spans="1:7" x14ac:dyDescent="0.25">
      <c r="A1" s="20" t="s">
        <v>180</v>
      </c>
      <c r="B1" s="17"/>
      <c r="C1" s="17"/>
      <c r="D1" s="17"/>
      <c r="E1" s="17"/>
      <c r="F1" s="17"/>
      <c r="G1" s="18"/>
    </row>
    <row r="2" spans="1:7" x14ac:dyDescent="0.25">
      <c r="A2" s="8" t="s">
        <v>169</v>
      </c>
      <c r="B2" s="8" t="s">
        <v>170</v>
      </c>
      <c r="C2" s="8" t="s">
        <v>171</v>
      </c>
      <c r="D2" s="8" t="s">
        <v>172</v>
      </c>
      <c r="E2" s="8" t="s">
        <v>173</v>
      </c>
      <c r="F2" s="8" t="s">
        <v>174</v>
      </c>
      <c r="G2" s="8" t="s">
        <v>179</v>
      </c>
    </row>
    <row r="3" spans="1:7" x14ac:dyDescent="0.25">
      <c r="A3" s="5" t="s">
        <v>175</v>
      </c>
      <c r="B3" s="48">
        <v>34.81</v>
      </c>
      <c r="C3" s="48">
        <v>58.13</v>
      </c>
      <c r="D3" s="48">
        <v>43</v>
      </c>
      <c r="E3" s="48">
        <v>25.97</v>
      </c>
      <c r="F3" s="48">
        <v>57.57</v>
      </c>
      <c r="G3" s="49">
        <f>SUM(LARGE(B3:F3,{1;2;3}))</f>
        <v>158.69999999999999</v>
      </c>
    </row>
    <row r="4" spans="1:7" x14ac:dyDescent="0.25">
      <c r="A4" s="5" t="s">
        <v>176</v>
      </c>
      <c r="B4" s="48">
        <v>69.430000000000007</v>
      </c>
      <c r="C4" s="48">
        <v>37.299999999999997</v>
      </c>
      <c r="D4" s="48">
        <v>26.19</v>
      </c>
      <c r="E4" s="48">
        <v>37.299999999999997</v>
      </c>
      <c r="F4" s="48">
        <v>54.08</v>
      </c>
      <c r="G4" s="49">
        <f>SUM(LARGE(B4:F4,{1;2;3}))</f>
        <v>160.81</v>
      </c>
    </row>
    <row r="5" spans="1:7" x14ac:dyDescent="0.25">
      <c r="A5" s="5" t="s">
        <v>177</v>
      </c>
      <c r="B5" s="48">
        <v>35.36</v>
      </c>
      <c r="C5" s="48">
        <v>69</v>
      </c>
      <c r="D5" s="48">
        <v>39.880000000000003</v>
      </c>
      <c r="E5" s="48">
        <v>33.729999999999997</v>
      </c>
      <c r="F5" s="48">
        <v>46.38</v>
      </c>
      <c r="G5" s="49">
        <f>SUM(LARGE(B5:F5,{1;2;3}))</f>
        <v>155.26</v>
      </c>
    </row>
    <row r="6" spans="1:7" x14ac:dyDescent="0.25">
      <c r="A6" s="5" t="s">
        <v>178</v>
      </c>
      <c r="B6" s="48">
        <v>45.14</v>
      </c>
      <c r="C6" s="48">
        <v>26.63</v>
      </c>
      <c r="D6" s="48">
        <v>43.43</v>
      </c>
      <c r="E6" s="48">
        <v>39.369999999999997</v>
      </c>
      <c r="F6" s="48">
        <v>29.48</v>
      </c>
      <c r="G6" s="49">
        <f>SUM(LARGE(B6:F6,{1;2;3}))</f>
        <v>127.94</v>
      </c>
    </row>
    <row r="8" spans="1:7" ht="3.75" customHeight="1" x14ac:dyDescent="0.25"/>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rgb="FF0000FF"/>
  </sheetPr>
  <dimension ref="A1:F8"/>
  <sheetViews>
    <sheetView zoomScale="190" zoomScaleNormal="190" workbookViewId="0">
      <selection activeCell="E3" sqref="E3"/>
    </sheetView>
  </sheetViews>
  <sheetFormatPr defaultRowHeight="15" x14ac:dyDescent="0.25"/>
  <cols>
    <col min="1" max="1" width="9.5703125" bestFit="1" customWidth="1"/>
    <col min="2" max="2" width="7" bestFit="1" customWidth="1"/>
    <col min="3" max="3" width="1.85546875" customWidth="1"/>
    <col min="4" max="4" width="4.28515625" customWidth="1"/>
    <col min="5" max="5" width="9.7109375" bestFit="1" customWidth="1"/>
    <col min="6" max="6" width="59.85546875" customWidth="1"/>
  </cols>
  <sheetData>
    <row r="1" spans="1:6" x14ac:dyDescent="0.25">
      <c r="A1" s="8" t="s">
        <v>24</v>
      </c>
      <c r="B1" s="8" t="s">
        <v>91</v>
      </c>
    </row>
    <row r="2" spans="1:6" x14ac:dyDescent="0.25">
      <c r="A2" s="5" t="s">
        <v>198</v>
      </c>
      <c r="B2" s="55">
        <v>1465</v>
      </c>
      <c r="C2" s="58"/>
      <c r="D2" s="26" t="s">
        <v>168</v>
      </c>
      <c r="E2" s="8" t="str">
        <f>"Add Top "&amp;D3</f>
        <v>Add Top 3</v>
      </c>
      <c r="F2" s="59" t="s">
        <v>206</v>
      </c>
    </row>
    <row r="3" spans="1:6" x14ac:dyDescent="0.25">
      <c r="A3" s="5" t="s">
        <v>199</v>
      </c>
      <c r="B3" s="55">
        <v>733</v>
      </c>
      <c r="C3" s="58"/>
      <c r="D3" s="5">
        <v>3</v>
      </c>
      <c r="E3" s="56">
        <f ca="1">SUMPRODUCT(LARGE(B2:B8,ROW(INDIRECT("1:"&amp;D3))))</f>
        <v>4491</v>
      </c>
      <c r="F3" s="5" t="s">
        <v>1536</v>
      </c>
    </row>
    <row r="4" spans="1:6" x14ac:dyDescent="0.25">
      <c r="A4" s="5" t="s">
        <v>200</v>
      </c>
      <c r="B4" s="55">
        <v>1065</v>
      </c>
      <c r="C4" s="58"/>
    </row>
    <row r="5" spans="1:6" x14ac:dyDescent="0.25">
      <c r="A5" s="5" t="s">
        <v>201</v>
      </c>
      <c r="B5" s="55">
        <v>1528</v>
      </c>
      <c r="C5" s="58"/>
      <c r="D5" s="26" t="s">
        <v>168</v>
      </c>
      <c r="E5" s="8" t="str">
        <f>"Add Top "&amp;D6</f>
        <v>Add Top 3</v>
      </c>
      <c r="F5" s="59" t="s">
        <v>205</v>
      </c>
    </row>
    <row r="6" spans="1:6" x14ac:dyDescent="0.25">
      <c r="A6" s="5" t="s">
        <v>202</v>
      </c>
      <c r="B6" s="55">
        <v>1498</v>
      </c>
      <c r="C6" s="58"/>
      <c r="D6" s="5">
        <f>D3</f>
        <v>3</v>
      </c>
      <c r="E6" s="56">
        <f>SUMIF(B2:B8,"&gt;="&amp;LARGE(B2:B8,D6))</f>
        <v>5956</v>
      </c>
      <c r="F6" s="5" t="s">
        <v>1537</v>
      </c>
    </row>
    <row r="7" spans="1:6" x14ac:dyDescent="0.25">
      <c r="A7" s="5" t="s">
        <v>203</v>
      </c>
      <c r="B7" s="55">
        <v>1465</v>
      </c>
      <c r="C7" s="58"/>
    </row>
    <row r="8" spans="1:6" x14ac:dyDescent="0.25">
      <c r="A8" s="5" t="s">
        <v>204</v>
      </c>
      <c r="B8" s="55">
        <v>695</v>
      </c>
      <c r="C8" s="58"/>
    </row>
  </sheetData>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rgb="FF0000FF"/>
  </sheetPr>
  <dimension ref="A1:F8"/>
  <sheetViews>
    <sheetView zoomScale="190" zoomScaleNormal="190" workbookViewId="0">
      <selection activeCell="E3" sqref="E3"/>
    </sheetView>
  </sheetViews>
  <sheetFormatPr defaultRowHeight="15" x14ac:dyDescent="0.25"/>
  <cols>
    <col min="1" max="1" width="9.5703125" bestFit="1" customWidth="1"/>
    <col min="2" max="2" width="7" bestFit="1" customWidth="1"/>
    <col min="3" max="3" width="1.85546875" customWidth="1"/>
    <col min="4" max="4" width="4.28515625" customWidth="1"/>
    <col min="5" max="5" width="9.7109375" bestFit="1" customWidth="1"/>
    <col min="6" max="6" width="59.85546875" customWidth="1"/>
  </cols>
  <sheetData>
    <row r="1" spans="1:6" x14ac:dyDescent="0.25">
      <c r="A1" s="8" t="s">
        <v>24</v>
      </c>
      <c r="B1" s="8" t="s">
        <v>91</v>
      </c>
    </row>
    <row r="2" spans="1:6" x14ac:dyDescent="0.25">
      <c r="A2" s="5" t="s">
        <v>198</v>
      </c>
      <c r="B2" s="55">
        <v>1465</v>
      </c>
      <c r="C2" s="58"/>
      <c r="D2" s="26" t="s">
        <v>168</v>
      </c>
      <c r="E2" s="8" t="str">
        <f>"Add Top "&amp;D3</f>
        <v>Add Top 3</v>
      </c>
      <c r="F2" s="5" t="s">
        <v>1538</v>
      </c>
    </row>
    <row r="3" spans="1:6" x14ac:dyDescent="0.25">
      <c r="A3" s="5" t="s">
        <v>199</v>
      </c>
      <c r="B3" s="55">
        <v>733</v>
      </c>
      <c r="C3" s="58"/>
      <c r="D3" s="5">
        <v>3</v>
      </c>
      <c r="E3" s="56">
        <f ca="1">SUMPRODUCT(LARGE(B2:B8,ROW(INDIRECT("1:"&amp;D3))))</f>
        <v>4491</v>
      </c>
      <c r="F3" s="5" t="s">
        <v>1536</v>
      </c>
    </row>
    <row r="4" spans="1:6" x14ac:dyDescent="0.25">
      <c r="A4" s="5" t="s">
        <v>200</v>
      </c>
      <c r="B4" s="55">
        <v>1065</v>
      </c>
      <c r="C4" s="58"/>
    </row>
    <row r="5" spans="1:6" x14ac:dyDescent="0.25">
      <c r="A5" s="5" t="s">
        <v>201</v>
      </c>
      <c r="B5" s="55">
        <v>1528</v>
      </c>
      <c r="C5" s="58"/>
    </row>
    <row r="6" spans="1:6" x14ac:dyDescent="0.25">
      <c r="A6" s="5" t="s">
        <v>202</v>
      </c>
      <c r="B6" s="55">
        <v>1498</v>
      </c>
      <c r="C6" s="58"/>
    </row>
    <row r="7" spans="1:6" x14ac:dyDescent="0.25">
      <c r="A7" s="5" t="s">
        <v>203</v>
      </c>
      <c r="B7" s="55">
        <v>1465</v>
      </c>
      <c r="C7" s="58"/>
    </row>
    <row r="8" spans="1:6" x14ac:dyDescent="0.25">
      <c r="A8" s="5" t="s">
        <v>204</v>
      </c>
      <c r="B8" s="55">
        <v>695</v>
      </c>
      <c r="C8" s="58"/>
    </row>
  </sheetData>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rgb="FF0000FF"/>
  </sheetPr>
  <dimension ref="A1:C9"/>
  <sheetViews>
    <sheetView zoomScale="190" zoomScaleNormal="190" workbookViewId="0">
      <selection activeCell="E3" sqref="E3"/>
    </sheetView>
  </sheetViews>
  <sheetFormatPr defaultRowHeight="15" x14ac:dyDescent="0.25"/>
  <cols>
    <col min="1" max="1" width="10.140625" customWidth="1"/>
    <col min="2" max="2" width="7" bestFit="1" customWidth="1"/>
    <col min="3" max="3" width="1.85546875" customWidth="1"/>
    <col min="4" max="4" width="4.28515625" customWidth="1"/>
    <col min="5" max="5" width="9.7109375" bestFit="1" customWidth="1"/>
    <col min="6" max="6" width="59.85546875" customWidth="1"/>
  </cols>
  <sheetData>
    <row r="1" spans="1:3" x14ac:dyDescent="0.25">
      <c r="A1" s="61" t="s">
        <v>24</v>
      </c>
      <c r="B1" s="62" t="s">
        <v>91</v>
      </c>
    </row>
    <row r="2" spans="1:3" x14ac:dyDescent="0.25">
      <c r="A2" s="57" t="s">
        <v>198</v>
      </c>
      <c r="B2" s="60">
        <v>1465</v>
      </c>
      <c r="C2" s="58"/>
    </row>
    <row r="3" spans="1:3" hidden="1" x14ac:dyDescent="0.25">
      <c r="A3" s="57" t="s">
        <v>199</v>
      </c>
      <c r="B3" s="60">
        <v>733</v>
      </c>
      <c r="C3" s="58"/>
    </row>
    <row r="4" spans="1:3" hidden="1" x14ac:dyDescent="0.25">
      <c r="A4" s="57" t="s">
        <v>200</v>
      </c>
      <c r="B4" s="60">
        <v>1065</v>
      </c>
      <c r="C4" s="58"/>
    </row>
    <row r="5" spans="1:3" x14ac:dyDescent="0.25">
      <c r="A5" s="57" t="s">
        <v>201</v>
      </c>
      <c r="B5" s="60">
        <v>1528</v>
      </c>
      <c r="C5" s="58"/>
    </row>
    <row r="6" spans="1:3" x14ac:dyDescent="0.25">
      <c r="A6" s="57" t="s">
        <v>202</v>
      </c>
      <c r="B6" s="60">
        <v>1498</v>
      </c>
      <c r="C6" s="58"/>
    </row>
    <row r="7" spans="1:3" x14ac:dyDescent="0.25">
      <c r="A7" s="57" t="s">
        <v>203</v>
      </c>
      <c r="B7" s="60">
        <v>1465</v>
      </c>
      <c r="C7" s="58"/>
    </row>
    <row r="8" spans="1:3" hidden="1" x14ac:dyDescent="0.25">
      <c r="A8" s="63" t="s">
        <v>204</v>
      </c>
      <c r="B8" s="64">
        <v>695</v>
      </c>
      <c r="C8" s="58"/>
    </row>
    <row r="9" spans="1:3" x14ac:dyDescent="0.25">
      <c r="A9" s="63" t="s">
        <v>15</v>
      </c>
      <c r="B9" s="65">
        <f>SUBTOTAL(109,Table1[Sales])</f>
        <v>5956</v>
      </c>
    </row>
  </sheetData>
  <pageMargins left="0.7" right="0.7" top="0.75" bottom="0.75" header="0.3" footer="0.3"/>
  <pageSetup orientation="portrait" r:id="rId1"/>
  <tableParts count="1">
    <tablePart r:id="rId2"/>
  </tablePart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tabColor rgb="FF0000FF"/>
  </sheetPr>
  <dimension ref="A1:I7"/>
  <sheetViews>
    <sheetView zoomScale="145" zoomScaleNormal="145" workbookViewId="0">
      <selection activeCell="E3" sqref="E3"/>
    </sheetView>
  </sheetViews>
  <sheetFormatPr defaultRowHeight="15" x14ac:dyDescent="0.25"/>
  <cols>
    <col min="1" max="1" width="13.7109375" customWidth="1"/>
    <col min="2" max="2" width="11" bestFit="1" customWidth="1"/>
    <col min="3" max="3" width="14.7109375" bestFit="1" customWidth="1"/>
    <col min="4" max="4" width="9.5703125" customWidth="1"/>
    <col min="5" max="6" width="11.42578125" customWidth="1"/>
    <col min="8" max="8" width="33.85546875" customWidth="1"/>
    <col min="9" max="9" width="40.7109375" customWidth="1"/>
  </cols>
  <sheetData>
    <row r="1" spans="1:9" x14ac:dyDescent="0.25">
      <c r="A1" s="66" t="s">
        <v>221</v>
      </c>
      <c r="B1" s="67"/>
      <c r="C1" s="67"/>
      <c r="D1" s="67"/>
      <c r="H1" t="s">
        <v>214</v>
      </c>
      <c r="I1" t="s">
        <v>215</v>
      </c>
    </row>
    <row r="2" spans="1:9" x14ac:dyDescent="0.25">
      <c r="A2" s="8" t="s">
        <v>17</v>
      </c>
      <c r="B2" s="28" t="s">
        <v>70</v>
      </c>
      <c r="C2" s="28" t="s">
        <v>209</v>
      </c>
      <c r="D2" s="28" t="s">
        <v>213</v>
      </c>
      <c r="H2" t="s">
        <v>216</v>
      </c>
      <c r="I2" t="s">
        <v>217</v>
      </c>
    </row>
    <row r="3" spans="1:9" x14ac:dyDescent="0.25">
      <c r="A3" s="29" t="s">
        <v>155</v>
      </c>
      <c r="B3" s="69">
        <v>37</v>
      </c>
      <c r="C3" s="5" t="s">
        <v>210</v>
      </c>
      <c r="D3" s="6">
        <f>ROUND(B3*PRODUCT(1-MID(C3,{1,4,7,10},2)/100),2)</f>
        <v>20.25</v>
      </c>
      <c r="H3" t="s">
        <v>71</v>
      </c>
      <c r="I3" t="s">
        <v>218</v>
      </c>
    </row>
    <row r="4" spans="1:9" x14ac:dyDescent="0.25">
      <c r="A4" s="29" t="s">
        <v>72</v>
      </c>
      <c r="B4" s="69">
        <v>33</v>
      </c>
      <c r="C4" s="5" t="s">
        <v>211</v>
      </c>
      <c r="D4" s="6">
        <f>ROUND(B4*PRODUCT(1-MID(C4,{1,4,7,10},2)/100),2)</f>
        <v>20.170000000000002</v>
      </c>
      <c r="H4" t="s">
        <v>71</v>
      </c>
      <c r="I4" t="s">
        <v>219</v>
      </c>
    </row>
    <row r="5" spans="1:9" x14ac:dyDescent="0.25">
      <c r="A5" s="29" t="s">
        <v>156</v>
      </c>
      <c r="B5" s="69">
        <v>18</v>
      </c>
      <c r="C5" s="5" t="s">
        <v>212</v>
      </c>
      <c r="D5" s="6">
        <f>ROUND(B5*PRODUCT(1-MID(C5,{1,4,7,10},2)/100),2)</f>
        <v>9.7200000000000006</v>
      </c>
      <c r="H5" t="s">
        <v>71</v>
      </c>
      <c r="I5">
        <v>0.54720000000000002</v>
      </c>
    </row>
    <row r="6" spans="1:9" x14ac:dyDescent="0.25">
      <c r="H6" t="s">
        <v>63</v>
      </c>
      <c r="I6" t="s">
        <v>220</v>
      </c>
    </row>
    <row r="7" spans="1:9" x14ac:dyDescent="0.25">
      <c r="A7" s="68"/>
    </row>
  </sheetData>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tabColor rgb="FF0000FF"/>
  </sheetPr>
  <dimension ref="A1:I11"/>
  <sheetViews>
    <sheetView zoomScale="145" zoomScaleNormal="145" workbookViewId="0">
      <selection activeCell="E3" sqref="E3"/>
    </sheetView>
  </sheetViews>
  <sheetFormatPr defaultRowHeight="15" x14ac:dyDescent="0.25"/>
  <cols>
    <col min="1" max="1" width="17.28515625" customWidth="1"/>
    <col min="3" max="5" width="7.85546875" customWidth="1"/>
    <col min="6" max="6" width="13.5703125" customWidth="1"/>
  </cols>
  <sheetData>
    <row r="1" spans="1:9" x14ac:dyDescent="0.25">
      <c r="A1" s="4" t="s">
        <v>17</v>
      </c>
      <c r="B1" s="4" t="s">
        <v>184</v>
      </c>
      <c r="C1" s="50"/>
      <c r="F1" s="51" t="s">
        <v>16</v>
      </c>
      <c r="G1" s="47"/>
      <c r="I1" s="50"/>
    </row>
    <row r="2" spans="1:9" x14ac:dyDescent="0.25">
      <c r="A2" s="14" t="s">
        <v>72</v>
      </c>
      <c r="B2" s="6">
        <f>VLOOKUP(A2,$F$3:$G$5,2)</f>
        <v>33</v>
      </c>
      <c r="F2" s="8" t="s">
        <v>17</v>
      </c>
      <c r="G2" s="8" t="s">
        <v>10</v>
      </c>
    </row>
    <row r="3" spans="1:9" x14ac:dyDescent="0.25">
      <c r="A3" s="14" t="s">
        <v>156</v>
      </c>
      <c r="B3" s="6">
        <f>VLOOKUP(A3,$F$3:$G$5,2)</f>
        <v>18</v>
      </c>
      <c r="F3" s="14" t="s">
        <v>155</v>
      </c>
      <c r="G3" s="5">
        <v>37</v>
      </c>
    </row>
    <row r="4" spans="1:9" x14ac:dyDescent="0.25">
      <c r="A4" s="14" t="s">
        <v>72</v>
      </c>
      <c r="B4" s="6">
        <f>VLOOKUP(A4,$F$3:$G$5,2)</f>
        <v>33</v>
      </c>
      <c r="F4" s="14" t="s">
        <v>72</v>
      </c>
      <c r="G4" s="5">
        <v>33</v>
      </c>
    </row>
    <row r="5" spans="1:9" x14ac:dyDescent="0.25">
      <c r="A5" s="14" t="s">
        <v>155</v>
      </c>
      <c r="B5" s="6">
        <f>VLOOKUP(A5,$F$3:$G$5,2)</f>
        <v>37</v>
      </c>
      <c r="F5" s="14" t="s">
        <v>156</v>
      </c>
      <c r="G5" s="5">
        <v>18</v>
      </c>
    </row>
    <row r="10" spans="1:9" x14ac:dyDescent="0.25">
      <c r="A10" t="s">
        <v>186</v>
      </c>
    </row>
    <row r="11" spans="1:9" x14ac:dyDescent="0.25">
      <c r="A11" t="s">
        <v>185</v>
      </c>
    </row>
  </sheetData>
  <sortState ref="F4:G6">
    <sortCondition ref="F4"/>
  </sortState>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tabColor rgb="FF0000FF"/>
  </sheetPr>
  <dimension ref="A1:C11"/>
  <sheetViews>
    <sheetView zoomScale="145" zoomScaleNormal="145" workbookViewId="0">
      <selection activeCell="E3" sqref="E3"/>
    </sheetView>
  </sheetViews>
  <sheetFormatPr defaultRowHeight="15" x14ac:dyDescent="0.25"/>
  <cols>
    <col min="1" max="1" width="17.28515625" customWidth="1"/>
    <col min="3" max="5" width="7.85546875" customWidth="1"/>
    <col min="6" max="6" width="13.5703125" customWidth="1"/>
  </cols>
  <sheetData>
    <row r="1" spans="1:3" x14ac:dyDescent="0.25">
      <c r="A1" s="4" t="s">
        <v>17</v>
      </c>
      <c r="B1" s="4" t="s">
        <v>184</v>
      </c>
      <c r="C1" s="50"/>
    </row>
    <row r="2" spans="1:3" x14ac:dyDescent="0.25">
      <c r="A2" s="14" t="s">
        <v>72</v>
      </c>
      <c r="B2" s="6">
        <f>VLOOKUP(A2,{"Majestic Beaut",37;"Quad",33;"Sunshine",18},2)</f>
        <v>33</v>
      </c>
    </row>
    <row r="3" spans="1:3" x14ac:dyDescent="0.25">
      <c r="A3" s="14" t="s">
        <v>156</v>
      </c>
      <c r="B3" s="6">
        <f>VLOOKUP(A3,{"Majestic Beaut",37;"Quad",33;"Sunshine",18},2)</f>
        <v>18</v>
      </c>
    </row>
    <row r="4" spans="1:3" x14ac:dyDescent="0.25">
      <c r="A4" s="14" t="s">
        <v>72</v>
      </c>
      <c r="B4" s="6">
        <f>VLOOKUP(A4,{"Majestic Beaut",37;"Quad",33;"Sunshine",18},2)</f>
        <v>33</v>
      </c>
    </row>
    <row r="5" spans="1:3" x14ac:dyDescent="0.25">
      <c r="A5" s="14" t="s">
        <v>155</v>
      </c>
      <c r="B5" s="6">
        <f>VLOOKUP(A5,{"Majestic Beaut",37;"Quad",33;"Sunshine",18},2)</f>
        <v>37</v>
      </c>
    </row>
    <row r="10" spans="1:3" x14ac:dyDescent="0.25">
      <c r="A10" t="s">
        <v>186</v>
      </c>
    </row>
    <row r="11" spans="1:3" x14ac:dyDescent="0.25">
      <c r="A11" t="s">
        <v>185</v>
      </c>
    </row>
  </sheetData>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tabColor rgb="FF0000FF"/>
  </sheetPr>
  <dimension ref="A1:G5"/>
  <sheetViews>
    <sheetView zoomScale="145" zoomScaleNormal="145" workbookViewId="0">
      <selection activeCell="E3" sqref="E3"/>
    </sheetView>
  </sheetViews>
  <sheetFormatPr defaultRowHeight="15" x14ac:dyDescent="0.25"/>
  <cols>
    <col min="1" max="1" width="17.28515625" customWidth="1"/>
    <col min="3" max="5" width="7.85546875" customWidth="1"/>
    <col min="6" max="6" width="13.5703125" customWidth="1"/>
  </cols>
  <sheetData>
    <row r="1" spans="1:7" x14ac:dyDescent="0.25">
      <c r="A1" s="4" t="s">
        <v>17</v>
      </c>
      <c r="B1" s="4" t="s">
        <v>184</v>
      </c>
      <c r="C1" s="50"/>
      <c r="F1" s="51" t="s">
        <v>16</v>
      </c>
      <c r="G1" s="47"/>
    </row>
    <row r="2" spans="1:7" x14ac:dyDescent="0.25">
      <c r="A2" s="14" t="s">
        <v>72</v>
      </c>
      <c r="B2" s="6">
        <f>VLOOKUP(A2,{"Majestic Beaut",37;"Quad",33;"Sunshine",18},2)</f>
        <v>33</v>
      </c>
      <c r="F2" s="8" t="s">
        <v>17</v>
      </c>
      <c r="G2" s="8" t="s">
        <v>10</v>
      </c>
    </row>
    <row r="3" spans="1:7" x14ac:dyDescent="0.25">
      <c r="A3" s="14" t="s">
        <v>156</v>
      </c>
      <c r="B3" s="6">
        <f>VLOOKUP(A3,{"Majestic Beaut",37;"Quad",33;"Sunshine",18},2)</f>
        <v>18</v>
      </c>
      <c r="F3" s="14" t="s">
        <v>155</v>
      </c>
      <c r="G3" s="5">
        <v>37</v>
      </c>
    </row>
    <row r="4" spans="1:7" x14ac:dyDescent="0.25">
      <c r="A4" s="14" t="s">
        <v>72</v>
      </c>
      <c r="B4" s="6">
        <f>VLOOKUP(A4,{"Majestic Beaut",37;"Quad",33;"Sunshine",18},2)</f>
        <v>33</v>
      </c>
      <c r="F4" s="14" t="s">
        <v>72</v>
      </c>
      <c r="G4" s="5">
        <v>33</v>
      </c>
    </row>
    <row r="5" spans="1:7" x14ac:dyDescent="0.25">
      <c r="A5" s="14" t="s">
        <v>155</v>
      </c>
      <c r="B5" s="6">
        <f>VLOOKUP(A5,{"Majestic Beaut",37;"Quad",33;"Sunshine",18},2)</f>
        <v>37</v>
      </c>
      <c r="F5" s="14" t="s">
        <v>156</v>
      </c>
      <c r="G5" s="5">
        <v>18</v>
      </c>
    </row>
  </sheetData>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tabColor rgb="FF0000FF"/>
  </sheetPr>
  <dimension ref="A1:C5"/>
  <sheetViews>
    <sheetView zoomScale="145" zoomScaleNormal="145" workbookViewId="0">
      <selection activeCell="E3" sqref="E3"/>
    </sheetView>
  </sheetViews>
  <sheetFormatPr defaultRowHeight="15" x14ac:dyDescent="0.25"/>
  <cols>
    <col min="1" max="1" width="17.28515625" customWidth="1"/>
    <col min="3" max="5" width="7.85546875" customWidth="1"/>
    <col min="6" max="6" width="13.5703125" customWidth="1"/>
  </cols>
  <sheetData>
    <row r="1" spans="1:3" x14ac:dyDescent="0.25">
      <c r="A1" s="4" t="s">
        <v>17</v>
      </c>
      <c r="B1" s="4" t="s">
        <v>184</v>
      </c>
      <c r="C1" s="50"/>
    </row>
    <row r="2" spans="1:3" x14ac:dyDescent="0.25">
      <c r="A2" s="14" t="s">
        <v>72</v>
      </c>
      <c r="B2" s="6">
        <f>VLOOKUP(A2,BoomProductTableAN,2)</f>
        <v>33</v>
      </c>
    </row>
    <row r="3" spans="1:3" x14ac:dyDescent="0.25">
      <c r="A3" s="14" t="s">
        <v>156</v>
      </c>
      <c r="B3" s="6">
        <f>VLOOKUP(A3,BoomProductTableAN,2)</f>
        <v>18</v>
      </c>
    </row>
    <row r="4" spans="1:3" x14ac:dyDescent="0.25">
      <c r="A4" s="14" t="s">
        <v>72</v>
      </c>
      <c r="B4" s="6">
        <f>VLOOKUP(A4,BoomProductTableAN,2)</f>
        <v>33</v>
      </c>
    </row>
    <row r="5" spans="1:3" x14ac:dyDescent="0.25">
      <c r="A5" s="14" t="s">
        <v>155</v>
      </c>
      <c r="B5" s="6">
        <f>VLOOKUP(A5,BoomProductTableAN,2)</f>
        <v>37</v>
      </c>
    </row>
  </sheetData>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tabColor rgb="FF0000FF"/>
  </sheetPr>
  <dimension ref="A1:H7"/>
  <sheetViews>
    <sheetView zoomScale="190" zoomScaleNormal="190" workbookViewId="0">
      <selection activeCell="E3" sqref="E3"/>
    </sheetView>
  </sheetViews>
  <sheetFormatPr defaultRowHeight="15" x14ac:dyDescent="0.25"/>
  <cols>
    <col min="1" max="1" width="8.7109375" style="52" customWidth="1"/>
    <col min="2" max="2" width="10.28515625" style="52" customWidth="1"/>
    <col min="3" max="8" width="6.7109375" style="52" customWidth="1"/>
    <col min="9" max="16384" width="9.140625" style="52"/>
  </cols>
  <sheetData>
    <row r="1" spans="1:8" x14ac:dyDescent="0.25">
      <c r="A1" s="28" t="s">
        <v>17</v>
      </c>
      <c r="B1" s="28" t="s">
        <v>187</v>
      </c>
      <c r="C1" s="28" t="s">
        <v>196</v>
      </c>
      <c r="D1" s="28" t="s">
        <v>195</v>
      </c>
      <c r="E1" s="28" t="s">
        <v>189</v>
      </c>
      <c r="F1" s="54" t="s">
        <v>197</v>
      </c>
      <c r="G1" s="28" t="s">
        <v>190</v>
      </c>
      <c r="H1" s="28" t="s">
        <v>191</v>
      </c>
    </row>
    <row r="2" spans="1:8" x14ac:dyDescent="0.25">
      <c r="A2" s="5" t="s">
        <v>192</v>
      </c>
      <c r="B2" s="5">
        <v>0.95</v>
      </c>
      <c r="C2" s="5">
        <v>0.55000000000000004</v>
      </c>
      <c r="D2" s="5">
        <v>2</v>
      </c>
      <c r="E2" s="5">
        <v>1.75</v>
      </c>
      <c r="F2" s="5">
        <v>1</v>
      </c>
      <c r="G2" s="5">
        <v>1.5</v>
      </c>
      <c r="H2" s="5">
        <v>2.5</v>
      </c>
    </row>
    <row r="3" spans="1:8" x14ac:dyDescent="0.25">
      <c r="A3" s="5" t="s">
        <v>72</v>
      </c>
      <c r="B3" s="5">
        <v>1.35</v>
      </c>
      <c r="C3" s="5">
        <v>0.75</v>
      </c>
      <c r="D3" s="5">
        <v>2.15</v>
      </c>
      <c r="E3" s="5">
        <v>3</v>
      </c>
      <c r="F3" s="5">
        <v>1.45</v>
      </c>
      <c r="G3" s="5">
        <v>2</v>
      </c>
      <c r="H3" s="5">
        <v>4</v>
      </c>
    </row>
    <row r="4" spans="1:8" x14ac:dyDescent="0.25">
      <c r="A4" s="5" t="s">
        <v>156</v>
      </c>
      <c r="B4" s="5">
        <v>0.4</v>
      </c>
      <c r="C4" s="5">
        <v>0.35</v>
      </c>
      <c r="D4" s="5">
        <v>2</v>
      </c>
      <c r="E4" s="5">
        <v>1.4</v>
      </c>
      <c r="F4" s="5">
        <v>0.75</v>
      </c>
      <c r="G4" s="5">
        <v>1.3</v>
      </c>
      <c r="H4" s="5">
        <v>1.75</v>
      </c>
    </row>
    <row r="5" spans="1:8" ht="3" customHeight="1" x14ac:dyDescent="0.25"/>
    <row r="6" spans="1:8" x14ac:dyDescent="0.25">
      <c r="A6" s="28" t="s">
        <v>17</v>
      </c>
      <c r="B6" s="8" t="s">
        <v>194</v>
      </c>
    </row>
    <row r="7" spans="1:8" x14ac:dyDescent="0.25">
      <c r="A7" s="39" t="s">
        <v>72</v>
      </c>
      <c r="B7" s="53">
        <f>SUM(VLOOKUP(A7,A2:H4,{2,4,5,7,8}))</f>
        <v>1.35</v>
      </c>
      <c r="C7" s="52" t="s">
        <v>1539</v>
      </c>
    </row>
  </sheetData>
  <dataValidations count="1">
    <dataValidation type="list" allowBlank="1" showInputMessage="1" showErrorMessage="1" sqref="A7">
      <formula1>$A$2:$A$4</formula1>
    </dataValidation>
  </dataValidations>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tabColor rgb="FF0000FF"/>
  </sheetPr>
  <dimension ref="A1:H7"/>
  <sheetViews>
    <sheetView zoomScale="190" zoomScaleNormal="190" workbookViewId="0">
      <selection activeCell="E3" sqref="E3"/>
    </sheetView>
  </sheetViews>
  <sheetFormatPr defaultRowHeight="15" x14ac:dyDescent="0.25"/>
  <cols>
    <col min="1" max="1" width="8.7109375" style="52" customWidth="1"/>
    <col min="2" max="8" width="10.28515625" style="52" customWidth="1"/>
    <col min="9" max="16384" width="9.140625" style="52"/>
  </cols>
  <sheetData>
    <row r="1" spans="1:8" x14ac:dyDescent="0.25">
      <c r="A1" s="28" t="s">
        <v>17</v>
      </c>
      <c r="B1" s="28" t="s">
        <v>187</v>
      </c>
      <c r="C1" s="28" t="s">
        <v>183</v>
      </c>
      <c r="D1" s="28" t="s">
        <v>188</v>
      </c>
      <c r="E1" s="28" t="s">
        <v>189</v>
      </c>
      <c r="F1" s="54" t="s">
        <v>193</v>
      </c>
      <c r="G1" s="28" t="s">
        <v>190</v>
      </c>
      <c r="H1" s="28" t="s">
        <v>191</v>
      </c>
    </row>
    <row r="2" spans="1:8" x14ac:dyDescent="0.25">
      <c r="A2" s="5" t="s">
        <v>192</v>
      </c>
      <c r="B2" s="5">
        <v>0.95</v>
      </c>
      <c r="C2" s="5">
        <v>0.55000000000000004</v>
      </c>
      <c r="D2" s="5">
        <v>2</v>
      </c>
      <c r="E2" s="5">
        <v>1.75</v>
      </c>
      <c r="F2" s="5">
        <v>1</v>
      </c>
      <c r="G2" s="5">
        <v>1.5</v>
      </c>
      <c r="H2" s="5">
        <v>2.5</v>
      </c>
    </row>
    <row r="3" spans="1:8" x14ac:dyDescent="0.25">
      <c r="A3" s="5" t="s">
        <v>72</v>
      </c>
      <c r="B3" s="5">
        <v>1.35</v>
      </c>
      <c r="C3" s="5">
        <v>0.75</v>
      </c>
      <c r="D3" s="5">
        <v>2.15</v>
      </c>
      <c r="E3" s="5">
        <v>3</v>
      </c>
      <c r="F3" s="5">
        <v>1.45</v>
      </c>
      <c r="G3" s="5">
        <v>2</v>
      </c>
      <c r="H3" s="5">
        <v>4</v>
      </c>
    </row>
    <row r="4" spans="1:8" x14ac:dyDescent="0.25">
      <c r="A4" s="5" t="s">
        <v>156</v>
      </c>
      <c r="B4" s="5">
        <v>0.4</v>
      </c>
      <c r="C4" s="5">
        <v>0.35</v>
      </c>
      <c r="D4" s="5">
        <v>2</v>
      </c>
      <c r="E4" s="5">
        <v>1.4</v>
      </c>
      <c r="F4" s="5">
        <v>0.75</v>
      </c>
      <c r="G4" s="5">
        <v>1.3</v>
      </c>
      <c r="H4" s="5">
        <v>1.75</v>
      </c>
    </row>
    <row r="5" spans="1:8" ht="3" customHeight="1" x14ac:dyDescent="0.25"/>
    <row r="6" spans="1:8" x14ac:dyDescent="0.25">
      <c r="A6" s="28" t="s">
        <v>17</v>
      </c>
      <c r="B6" s="8" t="s">
        <v>194</v>
      </c>
    </row>
    <row r="7" spans="1:8" x14ac:dyDescent="0.25">
      <c r="A7" s="39" t="s">
        <v>72</v>
      </c>
      <c r="B7" s="53">
        <f t="array" ref="B7">SUM(VLOOKUP(A7,A2:H4,{2,4,5,7,8}))</f>
        <v>12.5</v>
      </c>
      <c r="C7" s="52" t="s">
        <v>1540</v>
      </c>
    </row>
  </sheetData>
  <dataValidations count="1">
    <dataValidation type="list" allowBlank="1" showInputMessage="1" showErrorMessage="1" sqref="A7">
      <formula1>$A$2:$A$4</formula1>
    </dataValidation>
  </dataValidations>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tabColor rgb="FF0000FF"/>
  </sheetPr>
  <dimension ref="A1:H7"/>
  <sheetViews>
    <sheetView zoomScale="190" zoomScaleNormal="190" workbookViewId="0">
      <selection activeCell="E3" sqref="E3"/>
    </sheetView>
  </sheetViews>
  <sheetFormatPr defaultRowHeight="15" x14ac:dyDescent="0.25"/>
  <cols>
    <col min="1" max="1" width="8.7109375" style="52" customWidth="1"/>
    <col min="2" max="8" width="10.28515625" style="52" customWidth="1"/>
    <col min="9" max="16384" width="9.140625" style="52"/>
  </cols>
  <sheetData>
    <row r="1" spans="1:8" x14ac:dyDescent="0.25">
      <c r="A1" s="28" t="s">
        <v>17</v>
      </c>
      <c r="B1" s="28" t="s">
        <v>187</v>
      </c>
      <c r="C1" s="28" t="s">
        <v>183</v>
      </c>
      <c r="D1" s="28" t="s">
        <v>188</v>
      </c>
      <c r="E1" s="28" t="s">
        <v>189</v>
      </c>
      <c r="F1" s="54" t="s">
        <v>193</v>
      </c>
      <c r="G1" s="28" t="s">
        <v>190</v>
      </c>
      <c r="H1" s="28" t="s">
        <v>191</v>
      </c>
    </row>
    <row r="2" spans="1:8" x14ac:dyDescent="0.25">
      <c r="A2" s="5" t="s">
        <v>192</v>
      </c>
      <c r="B2" s="5">
        <v>0.95</v>
      </c>
      <c r="C2" s="5">
        <v>0.55000000000000004</v>
      </c>
      <c r="D2" s="5">
        <v>2</v>
      </c>
      <c r="E2" s="5">
        <v>1.75</v>
      </c>
      <c r="F2" s="5">
        <v>1</v>
      </c>
      <c r="G2" s="5">
        <v>1.5</v>
      </c>
      <c r="H2" s="5">
        <v>2.5</v>
      </c>
    </row>
    <row r="3" spans="1:8" x14ac:dyDescent="0.25">
      <c r="A3" s="5" t="s">
        <v>72</v>
      </c>
      <c r="B3" s="5">
        <v>1.35</v>
      </c>
      <c r="C3" s="5">
        <v>0.75</v>
      </c>
      <c r="D3" s="5">
        <v>2.15</v>
      </c>
      <c r="E3" s="5">
        <v>3</v>
      </c>
      <c r="F3" s="5">
        <v>1.45</v>
      </c>
      <c r="G3" s="5">
        <v>2</v>
      </c>
      <c r="H3" s="5">
        <v>4</v>
      </c>
    </row>
    <row r="4" spans="1:8" x14ac:dyDescent="0.25">
      <c r="A4" s="5" t="s">
        <v>156</v>
      </c>
      <c r="B4" s="5">
        <v>0.4</v>
      </c>
      <c r="C4" s="5">
        <v>0.35</v>
      </c>
      <c r="D4" s="5">
        <v>2</v>
      </c>
      <c r="E4" s="5">
        <v>1.4</v>
      </c>
      <c r="F4" s="5">
        <v>0.75</v>
      </c>
      <c r="G4" s="5">
        <v>1.3</v>
      </c>
      <c r="H4" s="5">
        <v>1.75</v>
      </c>
    </row>
    <row r="5" spans="1:8" ht="3" customHeight="1" x14ac:dyDescent="0.25"/>
    <row r="6" spans="1:8" x14ac:dyDescent="0.25">
      <c r="A6" s="28" t="s">
        <v>17</v>
      </c>
      <c r="B6" s="8" t="s">
        <v>194</v>
      </c>
    </row>
    <row r="7" spans="1:8" x14ac:dyDescent="0.25">
      <c r="A7" s="39" t="s">
        <v>72</v>
      </c>
      <c r="B7" s="53">
        <f>SUMPRODUCT(VLOOKUP(A7,A2:H4,{2,4,5,7,8}))</f>
        <v>12.5</v>
      </c>
      <c r="C7" s="52" t="s">
        <v>1541</v>
      </c>
    </row>
  </sheetData>
  <dataValidations count="1">
    <dataValidation type="list" allowBlank="1" showInputMessage="1" showErrorMessage="1" sqref="A7">
      <formula1>$A$2:$A$4</formula1>
    </dataValidation>
  </dataValidations>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tabColor rgb="FF0000FF"/>
  </sheetPr>
  <dimension ref="A1:C9"/>
  <sheetViews>
    <sheetView zoomScale="175" zoomScaleNormal="175" workbookViewId="0">
      <selection activeCell="E3" sqref="E3"/>
    </sheetView>
  </sheetViews>
  <sheetFormatPr defaultRowHeight="15" x14ac:dyDescent="0.25"/>
  <cols>
    <col min="1" max="1" width="15.5703125" style="52" bestFit="1" customWidth="1"/>
    <col min="2" max="2" width="10" style="52" bestFit="1" customWidth="1"/>
    <col min="3" max="3" width="12.7109375" style="52" bestFit="1" customWidth="1"/>
    <col min="4" max="16384" width="9.140625" style="52"/>
  </cols>
  <sheetData>
    <row r="1" spans="1:3" x14ac:dyDescent="0.25">
      <c r="A1" s="8" t="s">
        <v>222</v>
      </c>
      <c r="B1" s="8" t="s">
        <v>223</v>
      </c>
      <c r="C1" s="8" t="s">
        <v>224</v>
      </c>
    </row>
    <row r="2" spans="1:3" x14ac:dyDescent="0.25">
      <c r="A2" s="5" t="s">
        <v>225</v>
      </c>
      <c r="B2" s="5" t="s">
        <v>226</v>
      </c>
      <c r="C2" s="6" t="b">
        <f>OR(B2={"V.P.";"President";"Admin"})</f>
        <v>1</v>
      </c>
    </row>
    <row r="3" spans="1:3" x14ac:dyDescent="0.25">
      <c r="A3" s="5" t="s">
        <v>227</v>
      </c>
      <c r="B3" s="5" t="s">
        <v>228</v>
      </c>
      <c r="C3" s="6" t="b">
        <f>OR(B3={"V.P.";"President";"Admin"})</f>
        <v>0</v>
      </c>
    </row>
    <row r="4" spans="1:3" x14ac:dyDescent="0.25">
      <c r="A4" s="5" t="s">
        <v>230</v>
      </c>
      <c r="B4" s="5" t="s">
        <v>229</v>
      </c>
      <c r="C4" s="6" t="b">
        <f>OR(B4={"V.P.";"President";"Admin"})</f>
        <v>1</v>
      </c>
    </row>
    <row r="5" spans="1:3" x14ac:dyDescent="0.25">
      <c r="A5" s="5" t="s">
        <v>231</v>
      </c>
      <c r="B5" s="5" t="s">
        <v>183</v>
      </c>
      <c r="C5" s="6" t="b">
        <f>OR(B5={"V.P.";"President";"Admin"})</f>
        <v>1</v>
      </c>
    </row>
    <row r="6" spans="1:3" x14ac:dyDescent="0.25">
      <c r="A6" s="5" t="s">
        <v>232</v>
      </c>
      <c r="B6" s="5" t="s">
        <v>233</v>
      </c>
      <c r="C6" s="6" t="b">
        <f>OR(B6={"V.P.";"President";"Admin"})</f>
        <v>0</v>
      </c>
    </row>
    <row r="7" spans="1:3" x14ac:dyDescent="0.25">
      <c r="A7" s="5" t="s">
        <v>234</v>
      </c>
      <c r="B7" s="5" t="s">
        <v>235</v>
      </c>
      <c r="C7" s="6" t="b">
        <f>OR(B7={"V.P.";"President";"Admin"})</f>
        <v>0</v>
      </c>
    </row>
    <row r="8" spans="1:3" x14ac:dyDescent="0.25">
      <c r="A8" s="5" t="s">
        <v>236</v>
      </c>
      <c r="B8" s="5" t="s">
        <v>233</v>
      </c>
      <c r="C8" s="6" t="b">
        <f>OR(B8={"V.P.";"President";"Admin"})</f>
        <v>0</v>
      </c>
    </row>
    <row r="9" spans="1:3" x14ac:dyDescent="0.25">
      <c r="A9" s="5" t="s">
        <v>237</v>
      </c>
      <c r="B9" s="5" t="s">
        <v>238</v>
      </c>
      <c r="C9" s="6" t="b">
        <f>OR(B9={"V.P.";"President";"Admin"})</f>
        <v>0</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tabColor rgb="FF0000FF"/>
  </sheetPr>
  <dimension ref="A1:A2"/>
  <sheetViews>
    <sheetView zoomScale="175" zoomScaleNormal="175" workbookViewId="0">
      <selection activeCell="E3" sqref="E3"/>
    </sheetView>
  </sheetViews>
  <sheetFormatPr defaultRowHeight="15" x14ac:dyDescent="0.25"/>
  <cols>
    <col min="1" max="1" width="17.85546875" style="52" customWidth="1"/>
    <col min="2" max="16384" width="9.140625" style="52"/>
  </cols>
  <sheetData>
    <row r="1" spans="1:1" x14ac:dyDescent="0.25">
      <c r="A1" s="8" t="s">
        <v>239</v>
      </c>
    </row>
    <row r="2" spans="1:1" x14ac:dyDescent="0.25">
      <c r="A2" s="70">
        <f>PRODUCT(1-{0.155,0.1,0.05,0.1525})</f>
        <v>0.61229756249999989</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tabColor rgb="FF0000FF"/>
  </sheetPr>
  <dimension ref="A1:D9"/>
  <sheetViews>
    <sheetView zoomScale="175" zoomScaleNormal="175" workbookViewId="0">
      <selection activeCell="E3" sqref="E3"/>
    </sheetView>
  </sheetViews>
  <sheetFormatPr defaultRowHeight="15" x14ac:dyDescent="0.25"/>
  <cols>
    <col min="1" max="3" width="7" style="52" customWidth="1"/>
    <col min="4" max="4" width="11.85546875" style="52" bestFit="1" customWidth="1"/>
    <col min="5" max="16384" width="9.140625" style="52"/>
  </cols>
  <sheetData>
    <row r="1" spans="1:4" x14ac:dyDescent="0.25">
      <c r="A1" s="8" t="s">
        <v>240</v>
      </c>
      <c r="B1" s="8" t="s">
        <v>241</v>
      </c>
      <c r="C1" s="8" t="s">
        <v>242</v>
      </c>
      <c r="D1" s="8" t="s">
        <v>243</v>
      </c>
    </row>
    <row r="2" spans="1:4" x14ac:dyDescent="0.25">
      <c r="A2" s="39">
        <v>10000</v>
      </c>
      <c r="B2" s="39">
        <v>26000</v>
      </c>
      <c r="C2" s="39">
        <v>40000</v>
      </c>
      <c r="D2" s="53">
        <f t="array" ref="D2">SUM(A2:C2*{0.01,0.015,0.03})</f>
        <v>1690</v>
      </c>
    </row>
    <row r="3" spans="1:4" x14ac:dyDescent="0.25">
      <c r="A3" s="39">
        <v>10000</v>
      </c>
      <c r="B3" s="39">
        <v>27000</v>
      </c>
      <c r="C3" s="39">
        <v>34000</v>
      </c>
      <c r="D3" s="53">
        <f t="array" ref="D3">SUM(A3:C3*{0.01,0.015,0.03})</f>
        <v>1525</v>
      </c>
    </row>
    <row r="4" spans="1:4" x14ac:dyDescent="0.25">
      <c r="A4" s="39">
        <v>29000</v>
      </c>
      <c r="B4" s="39">
        <v>35000</v>
      </c>
      <c r="C4" s="39">
        <v>34000</v>
      </c>
      <c r="D4" s="53">
        <f t="array" ref="D4">SUM(A4:C4*{0.01,0.015,0.03})</f>
        <v>1835</v>
      </c>
    </row>
    <row r="5" spans="1:4" x14ac:dyDescent="0.25">
      <c r="A5" s="39">
        <v>20000</v>
      </c>
      <c r="B5" s="39">
        <v>13000</v>
      </c>
      <c r="C5" s="39">
        <v>11000</v>
      </c>
      <c r="D5" s="53">
        <f t="array" ref="D5">SUM(A5:C5*{0.01,0.015,0.03})</f>
        <v>725</v>
      </c>
    </row>
    <row r="8" spans="1:4" x14ac:dyDescent="0.25">
      <c r="B8"/>
    </row>
    <row r="9" spans="1:4" x14ac:dyDescent="0.25">
      <c r="B9"/>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tabColor rgb="FF0000FF"/>
  </sheetPr>
  <dimension ref="A1:A2"/>
  <sheetViews>
    <sheetView zoomScale="190" zoomScaleNormal="190" workbookViewId="0">
      <selection activeCell="E3" sqref="E3"/>
    </sheetView>
  </sheetViews>
  <sheetFormatPr defaultRowHeight="15" x14ac:dyDescent="0.25"/>
  <cols>
    <col min="1" max="1" width="27.7109375" style="52" customWidth="1"/>
    <col min="2" max="16384" width="9.140625" style="52"/>
  </cols>
  <sheetData>
    <row r="1" spans="1:1" x14ac:dyDescent="0.25">
      <c r="A1" s="8" t="s">
        <v>244</v>
      </c>
    </row>
    <row r="2" spans="1:1" x14ac:dyDescent="0.25">
      <c r="A2" s="53">
        <f>SUM({2,3,1}*{0.1,0.15,0.3})</f>
        <v>0.95</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tabColor rgb="FF0000FF"/>
  </sheetPr>
  <dimension ref="A1:B6"/>
  <sheetViews>
    <sheetView zoomScale="175" zoomScaleNormal="175" workbookViewId="0">
      <selection activeCell="E3" sqref="E3"/>
    </sheetView>
  </sheetViews>
  <sheetFormatPr defaultRowHeight="15" x14ac:dyDescent="0.25"/>
  <cols>
    <col min="1" max="1" width="6.140625" bestFit="1" customWidth="1"/>
    <col min="2" max="2" width="21.5703125" bestFit="1" customWidth="1"/>
  </cols>
  <sheetData>
    <row r="1" spans="1:2" x14ac:dyDescent="0.25">
      <c r="A1" s="8" t="s">
        <v>245</v>
      </c>
      <c r="B1" s="8" t="s">
        <v>139</v>
      </c>
    </row>
    <row r="2" spans="1:2" x14ac:dyDescent="0.25">
      <c r="A2" s="6">
        <f t="array" ref="A2:A6">ROW(A2:A6)-ROW(A2)+1</f>
        <v>1</v>
      </c>
      <c r="B2" s="5" t="s">
        <v>246</v>
      </c>
    </row>
    <row r="3" spans="1:2" x14ac:dyDescent="0.25">
      <c r="A3" s="6">
        <v>2</v>
      </c>
      <c r="B3" s="5" t="s">
        <v>249</v>
      </c>
    </row>
    <row r="4" spans="1:2" x14ac:dyDescent="0.25">
      <c r="A4" s="6">
        <v>3</v>
      </c>
      <c r="B4" s="5" t="s">
        <v>250</v>
      </c>
    </row>
    <row r="5" spans="1:2" x14ac:dyDescent="0.25">
      <c r="A5" s="6">
        <v>4</v>
      </c>
      <c r="B5" s="5" t="s">
        <v>247</v>
      </c>
    </row>
    <row r="6" spans="1:2" x14ac:dyDescent="0.25">
      <c r="A6" s="6">
        <v>5</v>
      </c>
      <c r="B6" s="5" t="s">
        <v>248</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tabColor rgb="FF0000FF"/>
  </sheetPr>
  <dimension ref="A1:B5"/>
  <sheetViews>
    <sheetView zoomScale="220" zoomScaleNormal="220" workbookViewId="0">
      <selection activeCell="E3" sqref="E3"/>
    </sheetView>
  </sheetViews>
  <sheetFormatPr defaultRowHeight="15" x14ac:dyDescent="0.25"/>
  <cols>
    <col min="2" max="2" width="21.5703125" bestFit="1" customWidth="1"/>
  </cols>
  <sheetData>
    <row r="1" spans="1:2" x14ac:dyDescent="0.25">
      <c r="A1" s="6">
        <f t="array" ref="A1:A5">ROW(A1:A5)</f>
        <v>1</v>
      </c>
      <c r="B1" s="5" t="s">
        <v>246</v>
      </c>
    </row>
    <row r="2" spans="1:2" x14ac:dyDescent="0.25">
      <c r="A2" s="6">
        <v>2</v>
      </c>
      <c r="B2" s="5" t="s">
        <v>249</v>
      </c>
    </row>
    <row r="3" spans="1:2" x14ac:dyDescent="0.25">
      <c r="A3" s="6">
        <v>3</v>
      </c>
      <c r="B3" s="5" t="s">
        <v>250</v>
      </c>
    </row>
    <row r="4" spans="1:2" x14ac:dyDescent="0.25">
      <c r="A4" s="6">
        <v>4</v>
      </c>
      <c r="B4" s="5" t="s">
        <v>247</v>
      </c>
    </row>
    <row r="5" spans="1:2" x14ac:dyDescent="0.25">
      <c r="A5" s="6">
        <v>5</v>
      </c>
      <c r="B5" s="5" t="s">
        <v>248</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tabColor rgb="FF0000FF"/>
  </sheetPr>
  <dimension ref="A2:B6"/>
  <sheetViews>
    <sheetView zoomScale="205" zoomScaleNormal="205" workbookViewId="0">
      <selection activeCell="E3" sqref="E3"/>
    </sheetView>
  </sheetViews>
  <sheetFormatPr defaultRowHeight="15" x14ac:dyDescent="0.25"/>
  <cols>
    <col min="2" max="2" width="21.5703125" bestFit="1" customWidth="1"/>
  </cols>
  <sheetData>
    <row r="2" spans="1:2" x14ac:dyDescent="0.25">
      <c r="A2" s="6">
        <f t="array" ref="A2:A6">ROW(A2:A6)</f>
        <v>2</v>
      </c>
      <c r="B2" s="5" t="s">
        <v>246</v>
      </c>
    </row>
    <row r="3" spans="1:2" x14ac:dyDescent="0.25">
      <c r="A3" s="6">
        <v>3</v>
      </c>
      <c r="B3" s="5" t="s">
        <v>249</v>
      </c>
    </row>
    <row r="4" spans="1:2" x14ac:dyDescent="0.25">
      <c r="A4" s="6">
        <v>4</v>
      </c>
      <c r="B4" s="5" t="s">
        <v>250</v>
      </c>
    </row>
    <row r="5" spans="1:2" x14ac:dyDescent="0.25">
      <c r="A5" s="6">
        <v>5</v>
      </c>
      <c r="B5" s="5" t="s">
        <v>247</v>
      </c>
    </row>
    <row r="6" spans="1:2" x14ac:dyDescent="0.25">
      <c r="A6" s="6">
        <v>6</v>
      </c>
      <c r="B6" s="5" t="s">
        <v>248</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tabColor rgb="FF0000FF"/>
  </sheetPr>
  <dimension ref="A1:B6"/>
  <sheetViews>
    <sheetView zoomScale="175" zoomScaleNormal="175" workbookViewId="0">
      <selection activeCell="E3" sqref="E3"/>
    </sheetView>
  </sheetViews>
  <sheetFormatPr defaultRowHeight="15" x14ac:dyDescent="0.25"/>
  <cols>
    <col min="2" max="2" width="21.5703125" bestFit="1" customWidth="1"/>
  </cols>
  <sheetData>
    <row r="1" spans="1:2" x14ac:dyDescent="0.25">
      <c r="A1" s="8" t="s">
        <v>245</v>
      </c>
      <c r="B1" s="8" t="s">
        <v>139</v>
      </c>
    </row>
    <row r="2" spans="1:2" x14ac:dyDescent="0.25">
      <c r="A2" s="6">
        <f t="array" ref="A2:A6">{1;2;3;4;5}</f>
        <v>1</v>
      </c>
      <c r="B2" s="5" t="s">
        <v>246</v>
      </c>
    </row>
    <row r="3" spans="1:2" x14ac:dyDescent="0.25">
      <c r="A3" s="6">
        <v>2</v>
      </c>
      <c r="B3" s="5" t="s">
        <v>249</v>
      </c>
    </row>
    <row r="4" spans="1:2" x14ac:dyDescent="0.25">
      <c r="A4" s="6">
        <v>3</v>
      </c>
      <c r="B4" s="5" t="s">
        <v>250</v>
      </c>
    </row>
    <row r="5" spans="1:2" x14ac:dyDescent="0.25">
      <c r="A5" s="6">
        <v>4</v>
      </c>
      <c r="B5" s="5" t="s">
        <v>247</v>
      </c>
    </row>
    <row r="6" spans="1:2" x14ac:dyDescent="0.25">
      <c r="A6" s="6">
        <v>5</v>
      </c>
      <c r="B6" s="5" t="s">
        <v>248</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tabColor rgb="FF0000FF"/>
  </sheetPr>
  <dimension ref="A1:B6"/>
  <sheetViews>
    <sheetView zoomScale="160" zoomScaleNormal="160" workbookViewId="0">
      <selection activeCell="E3" sqref="E3"/>
    </sheetView>
  </sheetViews>
  <sheetFormatPr defaultRowHeight="15" x14ac:dyDescent="0.25"/>
  <cols>
    <col min="2" max="2" width="21.5703125" bestFit="1" customWidth="1"/>
  </cols>
  <sheetData>
    <row r="1" spans="1:2" x14ac:dyDescent="0.25">
      <c r="A1" s="8" t="s">
        <v>245</v>
      </c>
      <c r="B1" s="8" t="s">
        <v>139</v>
      </c>
    </row>
    <row r="2" spans="1:2" x14ac:dyDescent="0.25">
      <c r="A2" s="6">
        <f t="array" ref="A2:A6">ROW(A2:A6)-1</f>
        <v>1</v>
      </c>
      <c r="B2" s="5" t="s">
        <v>246</v>
      </c>
    </row>
    <row r="3" spans="1:2" x14ac:dyDescent="0.25">
      <c r="A3" s="6">
        <v>2</v>
      </c>
      <c r="B3" s="5" t="s">
        <v>249</v>
      </c>
    </row>
    <row r="4" spans="1:2" x14ac:dyDescent="0.25">
      <c r="A4" s="6">
        <v>3</v>
      </c>
      <c r="B4" s="5" t="s">
        <v>250</v>
      </c>
    </row>
    <row r="5" spans="1:2" x14ac:dyDescent="0.25">
      <c r="A5" s="6">
        <v>4</v>
      </c>
      <c r="B5" s="5" t="s">
        <v>247</v>
      </c>
    </row>
    <row r="6" spans="1:2" x14ac:dyDescent="0.25">
      <c r="A6" s="6">
        <v>5</v>
      </c>
      <c r="B6" s="5" t="s">
        <v>248</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tabColor rgb="FF0000FF"/>
  </sheetPr>
  <dimension ref="A1:F2"/>
  <sheetViews>
    <sheetView zoomScale="190" zoomScaleNormal="190" workbookViewId="0">
      <selection activeCell="E3" sqref="E3"/>
    </sheetView>
  </sheetViews>
  <sheetFormatPr defaultRowHeight="15" x14ac:dyDescent="0.25"/>
  <cols>
    <col min="1" max="1" width="5.5703125" bestFit="1" customWidth="1"/>
    <col min="2" max="2" width="9.7109375" bestFit="1" customWidth="1"/>
    <col min="3" max="6" width="8.7109375" bestFit="1" customWidth="1"/>
    <col min="7" max="9" width="5.85546875" bestFit="1" customWidth="1"/>
  </cols>
  <sheetData>
    <row r="1" spans="1:6" x14ac:dyDescent="0.25">
      <c r="A1" s="8" t="s">
        <v>251</v>
      </c>
      <c r="B1" s="6">
        <f t="array" ref="B1:F1">COLUMN(B1:F1)-COLUMN(B1)+1</f>
        <v>1</v>
      </c>
      <c r="C1" s="6">
        <v>2</v>
      </c>
      <c r="D1" s="6">
        <v>3</v>
      </c>
      <c r="E1" s="6">
        <v>4</v>
      </c>
      <c r="F1" s="6">
        <v>5</v>
      </c>
    </row>
    <row r="2" spans="1:6" x14ac:dyDescent="0.25">
      <c r="A2" s="8" t="s">
        <v>91</v>
      </c>
      <c r="B2" s="5" t="s">
        <v>252</v>
      </c>
      <c r="C2" s="5" t="s">
        <v>253</v>
      </c>
      <c r="D2" s="5" t="s">
        <v>254</v>
      </c>
      <c r="E2" s="5" t="s">
        <v>255</v>
      </c>
      <c r="F2" s="5" t="s">
        <v>256</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tabColor rgb="FF0000FF"/>
  </sheetPr>
  <dimension ref="A1:C11"/>
  <sheetViews>
    <sheetView zoomScale="190" zoomScaleNormal="190" workbookViewId="0">
      <selection activeCell="E3" sqref="E3"/>
    </sheetView>
  </sheetViews>
  <sheetFormatPr defaultRowHeight="15" x14ac:dyDescent="0.25"/>
  <sheetData>
    <row r="1" spans="1:3" x14ac:dyDescent="0.25">
      <c r="A1">
        <v>1</v>
      </c>
      <c r="C1">
        <v>1</v>
      </c>
    </row>
    <row r="2" spans="1:3" x14ac:dyDescent="0.25">
      <c r="A2">
        <v>2</v>
      </c>
      <c r="C2">
        <v>2</v>
      </c>
    </row>
    <row r="3" spans="1:3" x14ac:dyDescent="0.25">
      <c r="C3">
        <v>3</v>
      </c>
    </row>
    <row r="4" spans="1:3" x14ac:dyDescent="0.25">
      <c r="C4">
        <v>4</v>
      </c>
    </row>
    <row r="5" spans="1:3" x14ac:dyDescent="0.25">
      <c r="C5">
        <v>5</v>
      </c>
    </row>
    <row r="6" spans="1:3" x14ac:dyDescent="0.25">
      <c r="C6">
        <v>6</v>
      </c>
    </row>
    <row r="7" spans="1:3" x14ac:dyDescent="0.25">
      <c r="C7">
        <v>7</v>
      </c>
    </row>
    <row r="8" spans="1:3" x14ac:dyDescent="0.25">
      <c r="C8">
        <v>8</v>
      </c>
    </row>
    <row r="9" spans="1:3" x14ac:dyDescent="0.25">
      <c r="C9">
        <v>9</v>
      </c>
    </row>
    <row r="10" spans="1:3" x14ac:dyDescent="0.25">
      <c r="C10">
        <v>10</v>
      </c>
    </row>
    <row r="11" spans="1:3" x14ac:dyDescent="0.25">
      <c r="C11">
        <v>11</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tabColor rgb="FF0000FF"/>
  </sheetPr>
  <dimension ref="A1:I13"/>
  <sheetViews>
    <sheetView zoomScale="160" zoomScaleNormal="160" workbookViewId="0">
      <selection activeCell="E3" sqref="E3"/>
    </sheetView>
  </sheetViews>
  <sheetFormatPr defaultRowHeight="15" x14ac:dyDescent="0.25"/>
  <sheetData>
    <row r="1" spans="1:9" x14ac:dyDescent="0.25">
      <c r="A1">
        <v>1</v>
      </c>
      <c r="D1">
        <v>1</v>
      </c>
    </row>
    <row r="2" spans="1:9" x14ac:dyDescent="0.25">
      <c r="D2">
        <v>2</v>
      </c>
    </row>
    <row r="3" spans="1:9" x14ac:dyDescent="0.25">
      <c r="D3">
        <v>3</v>
      </c>
    </row>
    <row r="4" spans="1:9" x14ac:dyDescent="0.25">
      <c r="D4">
        <v>4</v>
      </c>
    </row>
    <row r="5" spans="1:9" x14ac:dyDescent="0.25">
      <c r="D5">
        <v>5</v>
      </c>
    </row>
    <row r="6" spans="1:9" x14ac:dyDescent="0.25">
      <c r="D6">
        <v>6</v>
      </c>
    </row>
    <row r="7" spans="1:9" x14ac:dyDescent="0.25">
      <c r="D7">
        <v>7</v>
      </c>
    </row>
    <row r="8" spans="1:9" x14ac:dyDescent="0.25">
      <c r="D8">
        <v>8</v>
      </c>
    </row>
    <row r="9" spans="1:9" x14ac:dyDescent="0.25">
      <c r="D9">
        <v>9</v>
      </c>
    </row>
    <row r="13" spans="1:9" x14ac:dyDescent="0.25">
      <c r="D13">
        <v>1</v>
      </c>
      <c r="E13">
        <v>2</v>
      </c>
      <c r="F13">
        <v>3</v>
      </c>
      <c r="G13">
        <v>4</v>
      </c>
      <c r="H13">
        <v>5</v>
      </c>
      <c r="I13">
        <v>6</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tabColor rgb="FF0000FF"/>
  </sheetPr>
  <dimension ref="A1:A361"/>
  <sheetViews>
    <sheetView zoomScale="115" zoomScaleNormal="115" workbookViewId="0">
      <selection activeCell="E3" sqref="E3"/>
    </sheetView>
  </sheetViews>
  <sheetFormatPr defaultRowHeight="15" x14ac:dyDescent="0.25"/>
  <sheetData>
    <row r="1" spans="1:1" x14ac:dyDescent="0.25">
      <c r="A1">
        <v>0</v>
      </c>
    </row>
    <row r="2" spans="1:1" x14ac:dyDescent="0.25">
      <c r="A2">
        <v>1</v>
      </c>
    </row>
    <row r="3" spans="1:1" x14ac:dyDescent="0.25">
      <c r="A3">
        <v>2</v>
      </c>
    </row>
    <row r="4" spans="1:1" x14ac:dyDescent="0.25">
      <c r="A4">
        <v>3</v>
      </c>
    </row>
    <row r="5" spans="1:1" x14ac:dyDescent="0.25">
      <c r="A5">
        <v>4</v>
      </c>
    </row>
    <row r="6" spans="1:1" x14ac:dyDescent="0.25">
      <c r="A6">
        <v>5</v>
      </c>
    </row>
    <row r="7" spans="1:1" x14ac:dyDescent="0.25">
      <c r="A7">
        <v>6</v>
      </c>
    </row>
    <row r="8" spans="1:1" x14ac:dyDescent="0.25">
      <c r="A8">
        <v>7</v>
      </c>
    </row>
    <row r="9" spans="1:1" x14ac:dyDescent="0.25">
      <c r="A9">
        <v>8</v>
      </c>
    </row>
    <row r="10" spans="1:1" x14ac:dyDescent="0.25">
      <c r="A10">
        <v>9</v>
      </c>
    </row>
    <row r="11" spans="1:1" x14ac:dyDescent="0.25">
      <c r="A11">
        <v>10</v>
      </c>
    </row>
    <row r="12" spans="1:1" x14ac:dyDescent="0.25">
      <c r="A12">
        <v>11</v>
      </c>
    </row>
    <row r="13" spans="1:1" x14ac:dyDescent="0.25">
      <c r="A13">
        <v>12</v>
      </c>
    </row>
    <row r="14" spans="1:1" x14ac:dyDescent="0.25">
      <c r="A14">
        <v>13</v>
      </c>
    </row>
    <row r="15" spans="1:1" x14ac:dyDescent="0.25">
      <c r="A15">
        <v>14</v>
      </c>
    </row>
    <row r="16" spans="1:1" x14ac:dyDescent="0.25">
      <c r="A16">
        <v>15</v>
      </c>
    </row>
    <row r="17" spans="1:1" x14ac:dyDescent="0.25">
      <c r="A17">
        <v>16</v>
      </c>
    </row>
    <row r="18" spans="1:1" x14ac:dyDescent="0.25">
      <c r="A18">
        <v>17</v>
      </c>
    </row>
    <row r="19" spans="1:1" x14ac:dyDescent="0.25">
      <c r="A19">
        <v>18</v>
      </c>
    </row>
    <row r="20" spans="1:1" x14ac:dyDescent="0.25">
      <c r="A20">
        <v>19</v>
      </c>
    </row>
    <row r="21" spans="1:1" x14ac:dyDescent="0.25">
      <c r="A21">
        <v>20</v>
      </c>
    </row>
    <row r="22" spans="1:1" x14ac:dyDescent="0.25">
      <c r="A22">
        <v>21</v>
      </c>
    </row>
    <row r="23" spans="1:1" x14ac:dyDescent="0.25">
      <c r="A23">
        <v>22</v>
      </c>
    </row>
    <row r="24" spans="1:1" x14ac:dyDescent="0.25">
      <c r="A24">
        <v>23</v>
      </c>
    </row>
    <row r="25" spans="1:1" x14ac:dyDescent="0.25">
      <c r="A25">
        <v>24</v>
      </c>
    </row>
    <row r="26" spans="1:1" x14ac:dyDescent="0.25">
      <c r="A26">
        <v>25</v>
      </c>
    </row>
    <row r="27" spans="1:1" x14ac:dyDescent="0.25">
      <c r="A27">
        <v>26</v>
      </c>
    </row>
    <row r="28" spans="1:1" x14ac:dyDescent="0.25">
      <c r="A28">
        <v>27</v>
      </c>
    </row>
    <row r="29" spans="1:1" x14ac:dyDescent="0.25">
      <c r="A29">
        <v>28</v>
      </c>
    </row>
    <row r="30" spans="1:1" x14ac:dyDescent="0.25">
      <c r="A30">
        <v>29</v>
      </c>
    </row>
    <row r="31" spans="1:1" x14ac:dyDescent="0.25">
      <c r="A31">
        <v>30</v>
      </c>
    </row>
    <row r="32" spans="1:1" x14ac:dyDescent="0.25">
      <c r="A32">
        <v>31</v>
      </c>
    </row>
    <row r="33" spans="1:1" x14ac:dyDescent="0.25">
      <c r="A33">
        <v>32</v>
      </c>
    </row>
    <row r="34" spans="1:1" x14ac:dyDescent="0.25">
      <c r="A34">
        <v>33</v>
      </c>
    </row>
    <row r="35" spans="1:1" x14ac:dyDescent="0.25">
      <c r="A35">
        <v>34</v>
      </c>
    </row>
    <row r="36" spans="1:1" x14ac:dyDescent="0.25">
      <c r="A36">
        <v>35</v>
      </c>
    </row>
    <row r="37" spans="1:1" x14ac:dyDescent="0.25">
      <c r="A37">
        <v>36</v>
      </c>
    </row>
    <row r="38" spans="1:1" x14ac:dyDescent="0.25">
      <c r="A38">
        <v>37</v>
      </c>
    </row>
    <row r="39" spans="1:1" x14ac:dyDescent="0.25">
      <c r="A39">
        <v>38</v>
      </c>
    </row>
    <row r="40" spans="1:1" x14ac:dyDescent="0.25">
      <c r="A40">
        <v>39</v>
      </c>
    </row>
    <row r="41" spans="1:1" x14ac:dyDescent="0.25">
      <c r="A41">
        <v>40</v>
      </c>
    </row>
    <row r="42" spans="1:1" x14ac:dyDescent="0.25">
      <c r="A42">
        <v>41</v>
      </c>
    </row>
    <row r="43" spans="1:1" x14ac:dyDescent="0.25">
      <c r="A43">
        <v>42</v>
      </c>
    </row>
    <row r="44" spans="1:1" x14ac:dyDescent="0.25">
      <c r="A44">
        <v>43</v>
      </c>
    </row>
    <row r="45" spans="1:1" x14ac:dyDescent="0.25">
      <c r="A45">
        <v>44</v>
      </c>
    </row>
    <row r="46" spans="1:1" x14ac:dyDescent="0.25">
      <c r="A46">
        <v>45</v>
      </c>
    </row>
    <row r="47" spans="1:1" x14ac:dyDescent="0.25">
      <c r="A47">
        <v>46</v>
      </c>
    </row>
    <row r="48" spans="1:1" x14ac:dyDescent="0.25">
      <c r="A48">
        <v>47</v>
      </c>
    </row>
    <row r="49" spans="1:1" x14ac:dyDescent="0.25">
      <c r="A49">
        <v>48</v>
      </c>
    </row>
    <row r="50" spans="1:1" x14ac:dyDescent="0.25">
      <c r="A50">
        <v>49</v>
      </c>
    </row>
    <row r="51" spans="1:1" x14ac:dyDescent="0.25">
      <c r="A51">
        <v>50</v>
      </c>
    </row>
    <row r="52" spans="1:1" x14ac:dyDescent="0.25">
      <c r="A52">
        <v>51</v>
      </c>
    </row>
    <row r="53" spans="1:1" x14ac:dyDescent="0.25">
      <c r="A53">
        <v>52</v>
      </c>
    </row>
    <row r="54" spans="1:1" x14ac:dyDescent="0.25">
      <c r="A54">
        <v>53</v>
      </c>
    </row>
    <row r="55" spans="1:1" x14ac:dyDescent="0.25">
      <c r="A55">
        <v>54</v>
      </c>
    </row>
    <row r="56" spans="1:1" x14ac:dyDescent="0.25">
      <c r="A56">
        <v>55</v>
      </c>
    </row>
    <row r="57" spans="1:1" x14ac:dyDescent="0.25">
      <c r="A57">
        <v>56</v>
      </c>
    </row>
    <row r="58" spans="1:1" x14ac:dyDescent="0.25">
      <c r="A58">
        <v>57</v>
      </c>
    </row>
    <row r="59" spans="1:1" x14ac:dyDescent="0.25">
      <c r="A59">
        <v>58</v>
      </c>
    </row>
    <row r="60" spans="1:1" x14ac:dyDescent="0.25">
      <c r="A60">
        <v>59</v>
      </c>
    </row>
    <row r="61" spans="1:1" x14ac:dyDescent="0.25">
      <c r="A61">
        <v>60</v>
      </c>
    </row>
    <row r="62" spans="1:1" x14ac:dyDescent="0.25">
      <c r="A62">
        <v>61</v>
      </c>
    </row>
    <row r="63" spans="1:1" x14ac:dyDescent="0.25">
      <c r="A63">
        <v>62</v>
      </c>
    </row>
    <row r="64" spans="1:1" x14ac:dyDescent="0.25">
      <c r="A64">
        <v>63</v>
      </c>
    </row>
    <row r="65" spans="1:1" x14ac:dyDescent="0.25">
      <c r="A65">
        <v>64</v>
      </c>
    </row>
    <row r="66" spans="1:1" x14ac:dyDescent="0.25">
      <c r="A66">
        <v>65</v>
      </c>
    </row>
    <row r="67" spans="1:1" x14ac:dyDescent="0.25">
      <c r="A67">
        <v>66</v>
      </c>
    </row>
    <row r="68" spans="1:1" x14ac:dyDescent="0.25">
      <c r="A68">
        <v>67</v>
      </c>
    </row>
    <row r="69" spans="1:1" x14ac:dyDescent="0.25">
      <c r="A69">
        <v>68</v>
      </c>
    </row>
    <row r="70" spans="1:1" x14ac:dyDescent="0.25">
      <c r="A70">
        <v>69</v>
      </c>
    </row>
    <row r="71" spans="1:1" x14ac:dyDescent="0.25">
      <c r="A71">
        <v>70</v>
      </c>
    </row>
    <row r="72" spans="1:1" x14ac:dyDescent="0.25">
      <c r="A72">
        <v>71</v>
      </c>
    </row>
    <row r="73" spans="1:1" x14ac:dyDescent="0.25">
      <c r="A73">
        <v>72</v>
      </c>
    </row>
    <row r="74" spans="1:1" x14ac:dyDescent="0.25">
      <c r="A74">
        <v>73</v>
      </c>
    </row>
    <row r="75" spans="1:1" x14ac:dyDescent="0.25">
      <c r="A75">
        <v>74</v>
      </c>
    </row>
    <row r="76" spans="1:1" x14ac:dyDescent="0.25">
      <c r="A76">
        <v>75</v>
      </c>
    </row>
    <row r="77" spans="1:1" x14ac:dyDescent="0.25">
      <c r="A77">
        <v>76</v>
      </c>
    </row>
    <row r="78" spans="1:1" x14ac:dyDescent="0.25">
      <c r="A78">
        <v>77</v>
      </c>
    </row>
    <row r="79" spans="1:1" x14ac:dyDescent="0.25">
      <c r="A79">
        <v>78</v>
      </c>
    </row>
    <row r="80" spans="1:1" x14ac:dyDescent="0.25">
      <c r="A80">
        <v>79</v>
      </c>
    </row>
    <row r="81" spans="1:1" x14ac:dyDescent="0.25">
      <c r="A81">
        <v>80</v>
      </c>
    </row>
    <row r="82" spans="1:1" x14ac:dyDescent="0.25">
      <c r="A82">
        <v>81</v>
      </c>
    </row>
    <row r="83" spans="1:1" x14ac:dyDescent="0.25">
      <c r="A83">
        <v>82</v>
      </c>
    </row>
    <row r="84" spans="1:1" x14ac:dyDescent="0.25">
      <c r="A84">
        <v>83</v>
      </c>
    </row>
    <row r="85" spans="1:1" x14ac:dyDescent="0.25">
      <c r="A85">
        <v>84</v>
      </c>
    </row>
    <row r="86" spans="1:1" x14ac:dyDescent="0.25">
      <c r="A86">
        <v>85</v>
      </c>
    </row>
    <row r="87" spans="1:1" x14ac:dyDescent="0.25">
      <c r="A87">
        <v>86</v>
      </c>
    </row>
    <row r="88" spans="1:1" x14ac:dyDescent="0.25">
      <c r="A88">
        <v>87</v>
      </c>
    </row>
    <row r="89" spans="1:1" x14ac:dyDescent="0.25">
      <c r="A89">
        <v>88</v>
      </c>
    </row>
    <row r="90" spans="1:1" x14ac:dyDescent="0.25">
      <c r="A90">
        <v>89</v>
      </c>
    </row>
    <row r="91" spans="1:1" x14ac:dyDescent="0.25">
      <c r="A91">
        <v>90</v>
      </c>
    </row>
    <row r="92" spans="1:1" x14ac:dyDescent="0.25">
      <c r="A92">
        <v>91</v>
      </c>
    </row>
    <row r="93" spans="1:1" x14ac:dyDescent="0.25">
      <c r="A93">
        <v>92</v>
      </c>
    </row>
    <row r="94" spans="1:1" x14ac:dyDescent="0.25">
      <c r="A94">
        <v>93</v>
      </c>
    </row>
    <row r="95" spans="1:1" x14ac:dyDescent="0.25">
      <c r="A95">
        <v>94</v>
      </c>
    </row>
    <row r="96" spans="1:1" x14ac:dyDescent="0.25">
      <c r="A96">
        <v>95</v>
      </c>
    </row>
    <row r="97" spans="1:1" x14ac:dyDescent="0.25">
      <c r="A97">
        <v>96</v>
      </c>
    </row>
    <row r="98" spans="1:1" x14ac:dyDescent="0.25">
      <c r="A98">
        <v>97</v>
      </c>
    </row>
    <row r="99" spans="1:1" x14ac:dyDescent="0.25">
      <c r="A99">
        <v>98</v>
      </c>
    </row>
    <row r="100" spans="1:1" x14ac:dyDescent="0.25">
      <c r="A100">
        <v>99</v>
      </c>
    </row>
    <row r="101" spans="1:1" x14ac:dyDescent="0.25">
      <c r="A101">
        <v>100</v>
      </c>
    </row>
    <row r="102" spans="1:1" x14ac:dyDescent="0.25">
      <c r="A102">
        <v>101</v>
      </c>
    </row>
    <row r="103" spans="1:1" x14ac:dyDescent="0.25">
      <c r="A103">
        <v>102</v>
      </c>
    </row>
    <row r="104" spans="1:1" x14ac:dyDescent="0.25">
      <c r="A104">
        <v>103</v>
      </c>
    </row>
    <row r="105" spans="1:1" x14ac:dyDescent="0.25">
      <c r="A105">
        <v>104</v>
      </c>
    </row>
    <row r="106" spans="1:1" x14ac:dyDescent="0.25">
      <c r="A106">
        <v>105</v>
      </c>
    </row>
    <row r="107" spans="1:1" x14ac:dyDescent="0.25">
      <c r="A107">
        <v>106</v>
      </c>
    </row>
    <row r="108" spans="1:1" x14ac:dyDescent="0.25">
      <c r="A108">
        <v>107</v>
      </c>
    </row>
    <row r="109" spans="1:1" x14ac:dyDescent="0.25">
      <c r="A109">
        <v>108</v>
      </c>
    </row>
    <row r="110" spans="1:1" x14ac:dyDescent="0.25">
      <c r="A110">
        <v>109</v>
      </c>
    </row>
    <row r="111" spans="1:1" x14ac:dyDescent="0.25">
      <c r="A111">
        <v>110</v>
      </c>
    </row>
    <row r="112" spans="1:1" x14ac:dyDescent="0.25">
      <c r="A112">
        <v>111</v>
      </c>
    </row>
    <row r="113" spans="1:1" x14ac:dyDescent="0.25">
      <c r="A113">
        <v>112</v>
      </c>
    </row>
    <row r="114" spans="1:1" x14ac:dyDescent="0.25">
      <c r="A114">
        <v>113</v>
      </c>
    </row>
    <row r="115" spans="1:1" x14ac:dyDescent="0.25">
      <c r="A115">
        <v>114</v>
      </c>
    </row>
    <row r="116" spans="1:1" x14ac:dyDescent="0.25">
      <c r="A116">
        <v>115</v>
      </c>
    </row>
    <row r="117" spans="1:1" x14ac:dyDescent="0.25">
      <c r="A117">
        <v>116</v>
      </c>
    </row>
    <row r="118" spans="1:1" x14ac:dyDescent="0.25">
      <c r="A118">
        <v>117</v>
      </c>
    </row>
    <row r="119" spans="1:1" x14ac:dyDescent="0.25">
      <c r="A119">
        <v>118</v>
      </c>
    </row>
    <row r="120" spans="1:1" x14ac:dyDescent="0.25">
      <c r="A120">
        <v>119</v>
      </c>
    </row>
    <row r="121" spans="1:1" x14ac:dyDescent="0.25">
      <c r="A121">
        <v>120</v>
      </c>
    </row>
    <row r="122" spans="1:1" x14ac:dyDescent="0.25">
      <c r="A122">
        <v>121</v>
      </c>
    </row>
    <row r="123" spans="1:1" x14ac:dyDescent="0.25">
      <c r="A123">
        <v>122</v>
      </c>
    </row>
    <row r="124" spans="1:1" x14ac:dyDescent="0.25">
      <c r="A124">
        <v>123</v>
      </c>
    </row>
    <row r="125" spans="1:1" x14ac:dyDescent="0.25">
      <c r="A125">
        <v>124</v>
      </c>
    </row>
    <row r="126" spans="1:1" x14ac:dyDescent="0.25">
      <c r="A126">
        <v>125</v>
      </c>
    </row>
    <row r="127" spans="1:1" x14ac:dyDescent="0.25">
      <c r="A127">
        <v>126</v>
      </c>
    </row>
    <row r="128" spans="1:1" x14ac:dyDescent="0.25">
      <c r="A128">
        <v>127</v>
      </c>
    </row>
    <row r="129" spans="1:1" x14ac:dyDescent="0.25">
      <c r="A129">
        <v>128</v>
      </c>
    </row>
    <row r="130" spans="1:1" x14ac:dyDescent="0.25">
      <c r="A130">
        <v>129</v>
      </c>
    </row>
    <row r="131" spans="1:1" x14ac:dyDescent="0.25">
      <c r="A131">
        <v>130</v>
      </c>
    </row>
    <row r="132" spans="1:1" x14ac:dyDescent="0.25">
      <c r="A132">
        <v>131</v>
      </c>
    </row>
    <row r="133" spans="1:1" x14ac:dyDescent="0.25">
      <c r="A133">
        <v>132</v>
      </c>
    </row>
    <row r="134" spans="1:1" x14ac:dyDescent="0.25">
      <c r="A134">
        <v>133</v>
      </c>
    </row>
    <row r="135" spans="1:1" x14ac:dyDescent="0.25">
      <c r="A135">
        <v>134</v>
      </c>
    </row>
    <row r="136" spans="1:1" x14ac:dyDescent="0.25">
      <c r="A136">
        <v>135</v>
      </c>
    </row>
    <row r="137" spans="1:1" x14ac:dyDescent="0.25">
      <c r="A137">
        <v>136</v>
      </c>
    </row>
    <row r="138" spans="1:1" x14ac:dyDescent="0.25">
      <c r="A138">
        <v>137</v>
      </c>
    </row>
    <row r="139" spans="1:1" x14ac:dyDescent="0.25">
      <c r="A139">
        <v>138</v>
      </c>
    </row>
    <row r="140" spans="1:1" x14ac:dyDescent="0.25">
      <c r="A140">
        <v>139</v>
      </c>
    </row>
    <row r="141" spans="1:1" x14ac:dyDescent="0.25">
      <c r="A141">
        <v>140</v>
      </c>
    </row>
    <row r="142" spans="1:1" x14ac:dyDescent="0.25">
      <c r="A142">
        <v>141</v>
      </c>
    </row>
    <row r="143" spans="1:1" x14ac:dyDescent="0.25">
      <c r="A143">
        <v>142</v>
      </c>
    </row>
    <row r="144" spans="1:1" x14ac:dyDescent="0.25">
      <c r="A144">
        <v>143</v>
      </c>
    </row>
    <row r="145" spans="1:1" x14ac:dyDescent="0.25">
      <c r="A145">
        <v>144</v>
      </c>
    </row>
    <row r="146" spans="1:1" x14ac:dyDescent="0.25">
      <c r="A146">
        <v>145</v>
      </c>
    </row>
    <row r="147" spans="1:1" x14ac:dyDescent="0.25">
      <c r="A147">
        <v>146</v>
      </c>
    </row>
    <row r="148" spans="1:1" x14ac:dyDescent="0.25">
      <c r="A148">
        <v>147</v>
      </c>
    </row>
    <row r="149" spans="1:1" x14ac:dyDescent="0.25">
      <c r="A149">
        <v>148</v>
      </c>
    </row>
    <row r="150" spans="1:1" x14ac:dyDescent="0.25">
      <c r="A150">
        <v>149</v>
      </c>
    </row>
    <row r="151" spans="1:1" x14ac:dyDescent="0.25">
      <c r="A151">
        <v>150</v>
      </c>
    </row>
    <row r="152" spans="1:1" x14ac:dyDescent="0.25">
      <c r="A152">
        <v>151</v>
      </c>
    </row>
    <row r="153" spans="1:1" x14ac:dyDescent="0.25">
      <c r="A153">
        <v>152</v>
      </c>
    </row>
    <row r="154" spans="1:1" x14ac:dyDescent="0.25">
      <c r="A154">
        <v>153</v>
      </c>
    </row>
    <row r="155" spans="1:1" x14ac:dyDescent="0.25">
      <c r="A155">
        <v>154</v>
      </c>
    </row>
    <row r="156" spans="1:1" x14ac:dyDescent="0.25">
      <c r="A156">
        <v>155</v>
      </c>
    </row>
    <row r="157" spans="1:1" x14ac:dyDescent="0.25">
      <c r="A157">
        <v>156</v>
      </c>
    </row>
    <row r="158" spans="1:1" x14ac:dyDescent="0.25">
      <c r="A158">
        <v>157</v>
      </c>
    </row>
    <row r="159" spans="1:1" x14ac:dyDescent="0.25">
      <c r="A159">
        <v>158</v>
      </c>
    </row>
    <row r="160" spans="1:1" x14ac:dyDescent="0.25">
      <c r="A160">
        <v>159</v>
      </c>
    </row>
    <row r="161" spans="1:1" x14ac:dyDescent="0.25">
      <c r="A161">
        <v>160</v>
      </c>
    </row>
    <row r="162" spans="1:1" x14ac:dyDescent="0.25">
      <c r="A162">
        <v>161</v>
      </c>
    </row>
    <row r="163" spans="1:1" x14ac:dyDescent="0.25">
      <c r="A163">
        <v>162</v>
      </c>
    </row>
    <row r="164" spans="1:1" x14ac:dyDescent="0.25">
      <c r="A164">
        <v>163</v>
      </c>
    </row>
    <row r="165" spans="1:1" x14ac:dyDescent="0.25">
      <c r="A165">
        <v>164</v>
      </c>
    </row>
    <row r="166" spans="1:1" x14ac:dyDescent="0.25">
      <c r="A166">
        <v>165</v>
      </c>
    </row>
    <row r="167" spans="1:1" x14ac:dyDescent="0.25">
      <c r="A167">
        <v>166</v>
      </c>
    </row>
    <row r="168" spans="1:1" x14ac:dyDescent="0.25">
      <c r="A168">
        <v>167</v>
      </c>
    </row>
    <row r="169" spans="1:1" x14ac:dyDescent="0.25">
      <c r="A169">
        <v>168</v>
      </c>
    </row>
    <row r="170" spans="1:1" x14ac:dyDescent="0.25">
      <c r="A170">
        <v>169</v>
      </c>
    </row>
    <row r="171" spans="1:1" x14ac:dyDescent="0.25">
      <c r="A171">
        <v>170</v>
      </c>
    </row>
    <row r="172" spans="1:1" x14ac:dyDescent="0.25">
      <c r="A172">
        <v>171</v>
      </c>
    </row>
    <row r="173" spans="1:1" x14ac:dyDescent="0.25">
      <c r="A173">
        <v>172</v>
      </c>
    </row>
    <row r="174" spans="1:1" x14ac:dyDescent="0.25">
      <c r="A174">
        <v>173</v>
      </c>
    </row>
    <row r="175" spans="1:1" x14ac:dyDescent="0.25">
      <c r="A175">
        <v>174</v>
      </c>
    </row>
    <row r="176" spans="1:1" x14ac:dyDescent="0.25">
      <c r="A176">
        <v>175</v>
      </c>
    </row>
    <row r="177" spans="1:1" x14ac:dyDescent="0.25">
      <c r="A177">
        <v>176</v>
      </c>
    </row>
    <row r="178" spans="1:1" x14ac:dyDescent="0.25">
      <c r="A178">
        <v>177</v>
      </c>
    </row>
    <row r="179" spans="1:1" x14ac:dyDescent="0.25">
      <c r="A179">
        <v>178</v>
      </c>
    </row>
    <row r="180" spans="1:1" x14ac:dyDescent="0.25">
      <c r="A180">
        <v>179</v>
      </c>
    </row>
    <row r="181" spans="1:1" x14ac:dyDescent="0.25">
      <c r="A181">
        <v>180</v>
      </c>
    </row>
    <row r="182" spans="1:1" x14ac:dyDescent="0.25">
      <c r="A182">
        <v>181</v>
      </c>
    </row>
    <row r="183" spans="1:1" x14ac:dyDescent="0.25">
      <c r="A183">
        <v>182</v>
      </c>
    </row>
    <row r="184" spans="1:1" x14ac:dyDescent="0.25">
      <c r="A184">
        <v>183</v>
      </c>
    </row>
    <row r="185" spans="1:1" x14ac:dyDescent="0.25">
      <c r="A185">
        <v>184</v>
      </c>
    </row>
    <row r="186" spans="1:1" x14ac:dyDescent="0.25">
      <c r="A186">
        <v>185</v>
      </c>
    </row>
    <row r="187" spans="1:1" x14ac:dyDescent="0.25">
      <c r="A187">
        <v>186</v>
      </c>
    </row>
    <row r="188" spans="1:1" x14ac:dyDescent="0.25">
      <c r="A188">
        <v>187</v>
      </c>
    </row>
    <row r="189" spans="1:1" x14ac:dyDescent="0.25">
      <c r="A189">
        <v>188</v>
      </c>
    </row>
    <row r="190" spans="1:1" x14ac:dyDescent="0.25">
      <c r="A190">
        <v>189</v>
      </c>
    </row>
    <row r="191" spans="1:1" x14ac:dyDescent="0.25">
      <c r="A191">
        <v>190</v>
      </c>
    </row>
    <row r="192" spans="1:1" x14ac:dyDescent="0.25">
      <c r="A192">
        <v>191</v>
      </c>
    </row>
    <row r="193" spans="1:1" x14ac:dyDescent="0.25">
      <c r="A193">
        <v>192</v>
      </c>
    </row>
    <row r="194" spans="1:1" x14ac:dyDescent="0.25">
      <c r="A194">
        <v>193</v>
      </c>
    </row>
    <row r="195" spans="1:1" x14ac:dyDescent="0.25">
      <c r="A195">
        <v>194</v>
      </c>
    </row>
    <row r="196" spans="1:1" x14ac:dyDescent="0.25">
      <c r="A196">
        <v>195</v>
      </c>
    </row>
    <row r="197" spans="1:1" x14ac:dyDescent="0.25">
      <c r="A197">
        <v>196</v>
      </c>
    </row>
    <row r="198" spans="1:1" x14ac:dyDescent="0.25">
      <c r="A198">
        <v>197</v>
      </c>
    </row>
    <row r="199" spans="1:1" x14ac:dyDescent="0.25">
      <c r="A199">
        <v>198</v>
      </c>
    </row>
    <row r="200" spans="1:1" x14ac:dyDescent="0.25">
      <c r="A200">
        <v>199</v>
      </c>
    </row>
    <row r="201" spans="1:1" x14ac:dyDescent="0.25">
      <c r="A201">
        <v>200</v>
      </c>
    </row>
    <row r="202" spans="1:1" x14ac:dyDescent="0.25">
      <c r="A202">
        <v>201</v>
      </c>
    </row>
    <row r="203" spans="1:1" x14ac:dyDescent="0.25">
      <c r="A203">
        <v>202</v>
      </c>
    </row>
    <row r="204" spans="1:1" x14ac:dyDescent="0.25">
      <c r="A204">
        <v>203</v>
      </c>
    </row>
    <row r="205" spans="1:1" x14ac:dyDescent="0.25">
      <c r="A205">
        <v>204</v>
      </c>
    </row>
    <row r="206" spans="1:1" x14ac:dyDescent="0.25">
      <c r="A206">
        <v>205</v>
      </c>
    </row>
    <row r="207" spans="1:1" x14ac:dyDescent="0.25">
      <c r="A207">
        <v>206</v>
      </c>
    </row>
    <row r="208" spans="1:1" x14ac:dyDescent="0.25">
      <c r="A208">
        <v>207</v>
      </c>
    </row>
    <row r="209" spans="1:1" x14ac:dyDescent="0.25">
      <c r="A209">
        <v>208</v>
      </c>
    </row>
    <row r="210" spans="1:1" x14ac:dyDescent="0.25">
      <c r="A210">
        <v>209</v>
      </c>
    </row>
    <row r="211" spans="1:1" x14ac:dyDescent="0.25">
      <c r="A211">
        <v>210</v>
      </c>
    </row>
    <row r="212" spans="1:1" x14ac:dyDescent="0.25">
      <c r="A212">
        <v>211</v>
      </c>
    </row>
    <row r="213" spans="1:1" x14ac:dyDescent="0.25">
      <c r="A213">
        <v>212</v>
      </c>
    </row>
    <row r="214" spans="1:1" x14ac:dyDescent="0.25">
      <c r="A214">
        <v>213</v>
      </c>
    </row>
    <row r="215" spans="1:1" x14ac:dyDescent="0.25">
      <c r="A215">
        <v>214</v>
      </c>
    </row>
    <row r="216" spans="1:1" x14ac:dyDescent="0.25">
      <c r="A216">
        <v>215</v>
      </c>
    </row>
    <row r="217" spans="1:1" x14ac:dyDescent="0.25">
      <c r="A217">
        <v>216</v>
      </c>
    </row>
    <row r="218" spans="1:1" x14ac:dyDescent="0.25">
      <c r="A218">
        <v>217</v>
      </c>
    </row>
    <row r="219" spans="1:1" x14ac:dyDescent="0.25">
      <c r="A219">
        <v>218</v>
      </c>
    </row>
    <row r="220" spans="1:1" x14ac:dyDescent="0.25">
      <c r="A220">
        <v>219</v>
      </c>
    </row>
    <row r="221" spans="1:1" x14ac:dyDescent="0.25">
      <c r="A221">
        <v>220</v>
      </c>
    </row>
    <row r="222" spans="1:1" x14ac:dyDescent="0.25">
      <c r="A222">
        <v>221</v>
      </c>
    </row>
    <row r="223" spans="1:1" x14ac:dyDescent="0.25">
      <c r="A223">
        <v>222</v>
      </c>
    </row>
    <row r="224" spans="1:1" x14ac:dyDescent="0.25">
      <c r="A224">
        <v>223</v>
      </c>
    </row>
    <row r="225" spans="1:1" x14ac:dyDescent="0.25">
      <c r="A225">
        <v>224</v>
      </c>
    </row>
    <row r="226" spans="1:1" x14ac:dyDescent="0.25">
      <c r="A226">
        <v>225</v>
      </c>
    </row>
    <row r="227" spans="1:1" x14ac:dyDescent="0.25">
      <c r="A227">
        <v>226</v>
      </c>
    </row>
    <row r="228" spans="1:1" x14ac:dyDescent="0.25">
      <c r="A228">
        <v>227</v>
      </c>
    </row>
    <row r="229" spans="1:1" x14ac:dyDescent="0.25">
      <c r="A229">
        <v>228</v>
      </c>
    </row>
    <row r="230" spans="1:1" x14ac:dyDescent="0.25">
      <c r="A230">
        <v>229</v>
      </c>
    </row>
    <row r="231" spans="1:1" x14ac:dyDescent="0.25">
      <c r="A231">
        <v>230</v>
      </c>
    </row>
    <row r="232" spans="1:1" x14ac:dyDescent="0.25">
      <c r="A232">
        <v>231</v>
      </c>
    </row>
    <row r="233" spans="1:1" x14ac:dyDescent="0.25">
      <c r="A233">
        <v>232</v>
      </c>
    </row>
    <row r="234" spans="1:1" x14ac:dyDescent="0.25">
      <c r="A234">
        <v>233</v>
      </c>
    </row>
    <row r="235" spans="1:1" x14ac:dyDescent="0.25">
      <c r="A235">
        <v>234</v>
      </c>
    </row>
    <row r="236" spans="1:1" x14ac:dyDescent="0.25">
      <c r="A236">
        <v>235</v>
      </c>
    </row>
    <row r="237" spans="1:1" x14ac:dyDescent="0.25">
      <c r="A237">
        <v>236</v>
      </c>
    </row>
    <row r="238" spans="1:1" x14ac:dyDescent="0.25">
      <c r="A238">
        <v>237</v>
      </c>
    </row>
    <row r="239" spans="1:1" x14ac:dyDescent="0.25">
      <c r="A239">
        <v>238</v>
      </c>
    </row>
    <row r="240" spans="1:1" x14ac:dyDescent="0.25">
      <c r="A240">
        <v>239</v>
      </c>
    </row>
    <row r="241" spans="1:1" x14ac:dyDescent="0.25">
      <c r="A241">
        <v>240</v>
      </c>
    </row>
    <row r="242" spans="1:1" x14ac:dyDescent="0.25">
      <c r="A242">
        <v>241</v>
      </c>
    </row>
    <row r="243" spans="1:1" x14ac:dyDescent="0.25">
      <c r="A243">
        <v>242</v>
      </c>
    </row>
    <row r="244" spans="1:1" x14ac:dyDescent="0.25">
      <c r="A244">
        <v>243</v>
      </c>
    </row>
    <row r="245" spans="1:1" x14ac:dyDescent="0.25">
      <c r="A245">
        <v>244</v>
      </c>
    </row>
    <row r="246" spans="1:1" x14ac:dyDescent="0.25">
      <c r="A246">
        <v>245</v>
      </c>
    </row>
    <row r="247" spans="1:1" x14ac:dyDescent="0.25">
      <c r="A247">
        <v>246</v>
      </c>
    </row>
    <row r="248" spans="1:1" x14ac:dyDescent="0.25">
      <c r="A248">
        <v>247</v>
      </c>
    </row>
    <row r="249" spans="1:1" x14ac:dyDescent="0.25">
      <c r="A249">
        <v>248</v>
      </c>
    </row>
    <row r="250" spans="1:1" x14ac:dyDescent="0.25">
      <c r="A250">
        <v>249</v>
      </c>
    </row>
    <row r="251" spans="1:1" x14ac:dyDescent="0.25">
      <c r="A251">
        <v>250</v>
      </c>
    </row>
    <row r="252" spans="1:1" x14ac:dyDescent="0.25">
      <c r="A252">
        <v>251</v>
      </c>
    </row>
    <row r="253" spans="1:1" x14ac:dyDescent="0.25">
      <c r="A253">
        <v>252</v>
      </c>
    </row>
    <row r="254" spans="1:1" x14ac:dyDescent="0.25">
      <c r="A254">
        <v>253</v>
      </c>
    </row>
    <row r="255" spans="1:1" x14ac:dyDescent="0.25">
      <c r="A255">
        <v>254</v>
      </c>
    </row>
    <row r="256" spans="1:1" x14ac:dyDescent="0.25">
      <c r="A256">
        <v>255</v>
      </c>
    </row>
    <row r="257" spans="1:1" x14ac:dyDescent="0.25">
      <c r="A257">
        <v>256</v>
      </c>
    </row>
    <row r="258" spans="1:1" x14ac:dyDescent="0.25">
      <c r="A258">
        <v>257</v>
      </c>
    </row>
    <row r="259" spans="1:1" x14ac:dyDescent="0.25">
      <c r="A259">
        <v>258</v>
      </c>
    </row>
    <row r="260" spans="1:1" x14ac:dyDescent="0.25">
      <c r="A260">
        <v>259</v>
      </c>
    </row>
    <row r="261" spans="1:1" x14ac:dyDescent="0.25">
      <c r="A261">
        <v>260</v>
      </c>
    </row>
    <row r="262" spans="1:1" x14ac:dyDescent="0.25">
      <c r="A262">
        <v>261</v>
      </c>
    </row>
    <row r="263" spans="1:1" x14ac:dyDescent="0.25">
      <c r="A263">
        <v>262</v>
      </c>
    </row>
    <row r="264" spans="1:1" x14ac:dyDescent="0.25">
      <c r="A264">
        <v>263</v>
      </c>
    </row>
    <row r="265" spans="1:1" x14ac:dyDescent="0.25">
      <c r="A265">
        <v>264</v>
      </c>
    </row>
    <row r="266" spans="1:1" x14ac:dyDescent="0.25">
      <c r="A266">
        <v>265</v>
      </c>
    </row>
    <row r="267" spans="1:1" x14ac:dyDescent="0.25">
      <c r="A267">
        <v>266</v>
      </c>
    </row>
    <row r="268" spans="1:1" x14ac:dyDescent="0.25">
      <c r="A268">
        <v>267</v>
      </c>
    </row>
    <row r="269" spans="1:1" x14ac:dyDescent="0.25">
      <c r="A269">
        <v>268</v>
      </c>
    </row>
    <row r="270" spans="1:1" x14ac:dyDescent="0.25">
      <c r="A270">
        <v>269</v>
      </c>
    </row>
    <row r="271" spans="1:1" x14ac:dyDescent="0.25">
      <c r="A271">
        <v>270</v>
      </c>
    </row>
    <row r="272" spans="1:1" x14ac:dyDescent="0.25">
      <c r="A272">
        <v>271</v>
      </c>
    </row>
    <row r="273" spans="1:1" x14ac:dyDescent="0.25">
      <c r="A273">
        <v>272</v>
      </c>
    </row>
    <row r="274" spans="1:1" x14ac:dyDescent="0.25">
      <c r="A274">
        <v>273</v>
      </c>
    </row>
    <row r="275" spans="1:1" x14ac:dyDescent="0.25">
      <c r="A275">
        <v>274</v>
      </c>
    </row>
    <row r="276" spans="1:1" x14ac:dyDescent="0.25">
      <c r="A276">
        <v>275</v>
      </c>
    </row>
    <row r="277" spans="1:1" x14ac:dyDescent="0.25">
      <c r="A277">
        <v>276</v>
      </c>
    </row>
    <row r="278" spans="1:1" x14ac:dyDescent="0.25">
      <c r="A278">
        <v>277</v>
      </c>
    </row>
    <row r="279" spans="1:1" x14ac:dyDescent="0.25">
      <c r="A279">
        <v>278</v>
      </c>
    </row>
    <row r="280" spans="1:1" x14ac:dyDescent="0.25">
      <c r="A280">
        <v>279</v>
      </c>
    </row>
    <row r="281" spans="1:1" x14ac:dyDescent="0.25">
      <c r="A281">
        <v>280</v>
      </c>
    </row>
    <row r="282" spans="1:1" x14ac:dyDescent="0.25">
      <c r="A282">
        <v>281</v>
      </c>
    </row>
    <row r="283" spans="1:1" x14ac:dyDescent="0.25">
      <c r="A283">
        <v>282</v>
      </c>
    </row>
    <row r="284" spans="1:1" x14ac:dyDescent="0.25">
      <c r="A284">
        <v>283</v>
      </c>
    </row>
    <row r="285" spans="1:1" x14ac:dyDescent="0.25">
      <c r="A285">
        <v>284</v>
      </c>
    </row>
    <row r="286" spans="1:1" x14ac:dyDescent="0.25">
      <c r="A286">
        <v>285</v>
      </c>
    </row>
    <row r="287" spans="1:1" x14ac:dyDescent="0.25">
      <c r="A287">
        <v>286</v>
      </c>
    </row>
    <row r="288" spans="1:1" x14ac:dyDescent="0.25">
      <c r="A288">
        <v>287</v>
      </c>
    </row>
    <row r="289" spans="1:1" x14ac:dyDescent="0.25">
      <c r="A289">
        <v>288</v>
      </c>
    </row>
    <row r="290" spans="1:1" x14ac:dyDescent="0.25">
      <c r="A290">
        <v>289</v>
      </c>
    </row>
    <row r="291" spans="1:1" x14ac:dyDescent="0.25">
      <c r="A291">
        <v>290</v>
      </c>
    </row>
    <row r="292" spans="1:1" x14ac:dyDescent="0.25">
      <c r="A292">
        <v>291</v>
      </c>
    </row>
    <row r="293" spans="1:1" x14ac:dyDescent="0.25">
      <c r="A293">
        <v>292</v>
      </c>
    </row>
    <row r="294" spans="1:1" x14ac:dyDescent="0.25">
      <c r="A294">
        <v>293</v>
      </c>
    </row>
    <row r="295" spans="1:1" x14ac:dyDescent="0.25">
      <c r="A295">
        <v>294</v>
      </c>
    </row>
    <row r="296" spans="1:1" x14ac:dyDescent="0.25">
      <c r="A296">
        <v>295</v>
      </c>
    </row>
    <row r="297" spans="1:1" x14ac:dyDescent="0.25">
      <c r="A297">
        <v>296</v>
      </c>
    </row>
    <row r="298" spans="1:1" x14ac:dyDescent="0.25">
      <c r="A298">
        <v>297</v>
      </c>
    </row>
    <row r="299" spans="1:1" x14ac:dyDescent="0.25">
      <c r="A299">
        <v>298</v>
      </c>
    </row>
    <row r="300" spans="1:1" x14ac:dyDescent="0.25">
      <c r="A300">
        <v>299</v>
      </c>
    </row>
    <row r="301" spans="1:1" x14ac:dyDescent="0.25">
      <c r="A301">
        <v>300</v>
      </c>
    </row>
    <row r="302" spans="1:1" x14ac:dyDescent="0.25">
      <c r="A302">
        <v>301</v>
      </c>
    </row>
    <row r="303" spans="1:1" x14ac:dyDescent="0.25">
      <c r="A303">
        <v>302</v>
      </c>
    </row>
    <row r="304" spans="1:1" x14ac:dyDescent="0.25">
      <c r="A304">
        <v>303</v>
      </c>
    </row>
    <row r="305" spans="1:1" x14ac:dyDescent="0.25">
      <c r="A305">
        <v>304</v>
      </c>
    </row>
    <row r="306" spans="1:1" x14ac:dyDescent="0.25">
      <c r="A306">
        <v>305</v>
      </c>
    </row>
    <row r="307" spans="1:1" x14ac:dyDescent="0.25">
      <c r="A307">
        <v>306</v>
      </c>
    </row>
    <row r="308" spans="1:1" x14ac:dyDescent="0.25">
      <c r="A308">
        <v>307</v>
      </c>
    </row>
    <row r="309" spans="1:1" x14ac:dyDescent="0.25">
      <c r="A309">
        <v>308</v>
      </c>
    </row>
    <row r="310" spans="1:1" x14ac:dyDescent="0.25">
      <c r="A310">
        <v>309</v>
      </c>
    </row>
    <row r="311" spans="1:1" x14ac:dyDescent="0.25">
      <c r="A311">
        <v>310</v>
      </c>
    </row>
    <row r="312" spans="1:1" x14ac:dyDescent="0.25">
      <c r="A312">
        <v>311</v>
      </c>
    </row>
    <row r="313" spans="1:1" x14ac:dyDescent="0.25">
      <c r="A313">
        <v>312</v>
      </c>
    </row>
    <row r="314" spans="1:1" x14ac:dyDescent="0.25">
      <c r="A314">
        <v>313</v>
      </c>
    </row>
    <row r="315" spans="1:1" x14ac:dyDescent="0.25">
      <c r="A315">
        <v>314</v>
      </c>
    </row>
    <row r="316" spans="1:1" x14ac:dyDescent="0.25">
      <c r="A316">
        <v>315</v>
      </c>
    </row>
    <row r="317" spans="1:1" x14ac:dyDescent="0.25">
      <c r="A317">
        <v>316</v>
      </c>
    </row>
    <row r="318" spans="1:1" x14ac:dyDescent="0.25">
      <c r="A318">
        <v>317</v>
      </c>
    </row>
    <row r="319" spans="1:1" x14ac:dyDescent="0.25">
      <c r="A319">
        <v>318</v>
      </c>
    </row>
    <row r="320" spans="1:1" x14ac:dyDescent="0.25">
      <c r="A320">
        <v>319</v>
      </c>
    </row>
    <row r="321" spans="1:1" x14ac:dyDescent="0.25">
      <c r="A321">
        <v>320</v>
      </c>
    </row>
    <row r="322" spans="1:1" x14ac:dyDescent="0.25">
      <c r="A322">
        <v>321</v>
      </c>
    </row>
    <row r="323" spans="1:1" x14ac:dyDescent="0.25">
      <c r="A323">
        <v>322</v>
      </c>
    </row>
    <row r="324" spans="1:1" x14ac:dyDescent="0.25">
      <c r="A324">
        <v>323</v>
      </c>
    </row>
    <row r="325" spans="1:1" x14ac:dyDescent="0.25">
      <c r="A325">
        <v>324</v>
      </c>
    </row>
    <row r="326" spans="1:1" x14ac:dyDescent="0.25">
      <c r="A326">
        <v>325</v>
      </c>
    </row>
    <row r="327" spans="1:1" x14ac:dyDescent="0.25">
      <c r="A327">
        <v>326</v>
      </c>
    </row>
    <row r="328" spans="1:1" x14ac:dyDescent="0.25">
      <c r="A328">
        <v>327</v>
      </c>
    </row>
    <row r="329" spans="1:1" x14ac:dyDescent="0.25">
      <c r="A329">
        <v>328</v>
      </c>
    </row>
    <row r="330" spans="1:1" x14ac:dyDescent="0.25">
      <c r="A330">
        <v>329</v>
      </c>
    </row>
    <row r="331" spans="1:1" x14ac:dyDescent="0.25">
      <c r="A331">
        <v>330</v>
      </c>
    </row>
    <row r="332" spans="1:1" x14ac:dyDescent="0.25">
      <c r="A332">
        <v>331</v>
      </c>
    </row>
    <row r="333" spans="1:1" x14ac:dyDescent="0.25">
      <c r="A333">
        <v>332</v>
      </c>
    </row>
    <row r="334" spans="1:1" x14ac:dyDescent="0.25">
      <c r="A334">
        <v>333</v>
      </c>
    </row>
    <row r="335" spans="1:1" x14ac:dyDescent="0.25">
      <c r="A335">
        <v>334</v>
      </c>
    </row>
    <row r="336" spans="1:1" x14ac:dyDescent="0.25">
      <c r="A336">
        <v>335</v>
      </c>
    </row>
    <row r="337" spans="1:1" x14ac:dyDescent="0.25">
      <c r="A337">
        <v>336</v>
      </c>
    </row>
    <row r="338" spans="1:1" x14ac:dyDescent="0.25">
      <c r="A338">
        <v>337</v>
      </c>
    </row>
    <row r="339" spans="1:1" x14ac:dyDescent="0.25">
      <c r="A339">
        <v>338</v>
      </c>
    </row>
    <row r="340" spans="1:1" x14ac:dyDescent="0.25">
      <c r="A340">
        <v>339</v>
      </c>
    </row>
    <row r="341" spans="1:1" x14ac:dyDescent="0.25">
      <c r="A341">
        <v>340</v>
      </c>
    </row>
    <row r="342" spans="1:1" x14ac:dyDescent="0.25">
      <c r="A342">
        <v>341</v>
      </c>
    </row>
    <row r="343" spans="1:1" x14ac:dyDescent="0.25">
      <c r="A343">
        <v>342</v>
      </c>
    </row>
    <row r="344" spans="1:1" x14ac:dyDescent="0.25">
      <c r="A344">
        <v>343</v>
      </c>
    </row>
    <row r="345" spans="1:1" x14ac:dyDescent="0.25">
      <c r="A345">
        <v>344</v>
      </c>
    </row>
    <row r="346" spans="1:1" x14ac:dyDescent="0.25">
      <c r="A346">
        <v>345</v>
      </c>
    </row>
    <row r="347" spans="1:1" x14ac:dyDescent="0.25">
      <c r="A347">
        <v>346</v>
      </c>
    </row>
    <row r="348" spans="1:1" x14ac:dyDescent="0.25">
      <c r="A348">
        <v>347</v>
      </c>
    </row>
    <row r="349" spans="1:1" x14ac:dyDescent="0.25">
      <c r="A349">
        <v>348</v>
      </c>
    </row>
    <row r="350" spans="1:1" x14ac:dyDescent="0.25">
      <c r="A350">
        <v>349</v>
      </c>
    </row>
    <row r="351" spans="1:1" x14ac:dyDescent="0.25">
      <c r="A351">
        <v>350</v>
      </c>
    </row>
    <row r="352" spans="1:1" x14ac:dyDescent="0.25">
      <c r="A352">
        <v>351</v>
      </c>
    </row>
    <row r="353" spans="1:1" x14ac:dyDescent="0.25">
      <c r="A353">
        <v>352</v>
      </c>
    </row>
    <row r="354" spans="1:1" x14ac:dyDescent="0.25">
      <c r="A354">
        <v>353</v>
      </c>
    </row>
    <row r="355" spans="1:1" x14ac:dyDescent="0.25">
      <c r="A355">
        <v>354</v>
      </c>
    </row>
    <row r="356" spans="1:1" x14ac:dyDescent="0.25">
      <c r="A356">
        <v>355</v>
      </c>
    </row>
    <row r="357" spans="1:1" x14ac:dyDescent="0.25">
      <c r="A357">
        <v>356</v>
      </c>
    </row>
    <row r="358" spans="1:1" x14ac:dyDescent="0.25">
      <c r="A358">
        <v>357</v>
      </c>
    </row>
    <row r="359" spans="1:1" x14ac:dyDescent="0.25">
      <c r="A359">
        <v>358</v>
      </c>
    </row>
    <row r="360" spans="1:1" x14ac:dyDescent="0.25">
      <c r="A360">
        <v>359</v>
      </c>
    </row>
    <row r="361" spans="1:1" x14ac:dyDescent="0.25">
      <c r="A361">
        <v>360</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tabColor rgb="FF0000FF"/>
  </sheetPr>
  <dimension ref="A1:B6"/>
  <sheetViews>
    <sheetView zoomScale="175" zoomScaleNormal="175" workbookViewId="0">
      <selection activeCell="E3" sqref="E3"/>
    </sheetView>
  </sheetViews>
  <sheetFormatPr defaultRowHeight="15" x14ac:dyDescent="0.25"/>
  <cols>
    <col min="1" max="1" width="9.85546875" customWidth="1"/>
    <col min="2" max="2" width="19.140625" bestFit="1" customWidth="1"/>
    <col min="3" max="6" width="9.85546875" customWidth="1"/>
  </cols>
  <sheetData>
    <row r="1" spans="1:2" x14ac:dyDescent="0.25">
      <c r="A1" s="8" t="s">
        <v>245</v>
      </c>
      <c r="B1" s="8" t="s">
        <v>139</v>
      </c>
    </row>
    <row r="2" spans="1:2" x14ac:dyDescent="0.25">
      <c r="A2" s="6">
        <f>ROWS(A$2:A2)</f>
        <v>1</v>
      </c>
      <c r="B2" s="5" t="s">
        <v>246</v>
      </c>
    </row>
    <row r="3" spans="1:2" x14ac:dyDescent="0.25">
      <c r="A3" s="6">
        <f>ROWS(A$2:A3)</f>
        <v>2</v>
      </c>
      <c r="B3" s="5" t="s">
        <v>249</v>
      </c>
    </row>
    <row r="4" spans="1:2" x14ac:dyDescent="0.25">
      <c r="A4" s="6">
        <f>ROWS(A$2:A4)</f>
        <v>3</v>
      </c>
      <c r="B4" s="5" t="s">
        <v>250</v>
      </c>
    </row>
    <row r="5" spans="1:2" x14ac:dyDescent="0.25">
      <c r="A5" s="6">
        <f>ROWS(A$2:A5)</f>
        <v>4</v>
      </c>
      <c r="B5" s="5" t="s">
        <v>247</v>
      </c>
    </row>
    <row r="6" spans="1:2" x14ac:dyDescent="0.25">
      <c r="A6" s="6">
        <f>ROWS(A$2:A6)</f>
        <v>5</v>
      </c>
      <c r="B6" s="5" t="s">
        <v>248</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tabColor rgb="FF0000FF"/>
  </sheetPr>
  <dimension ref="A1:F2"/>
  <sheetViews>
    <sheetView zoomScale="190" zoomScaleNormal="190" workbookViewId="0">
      <selection activeCell="E3" sqref="E3"/>
    </sheetView>
  </sheetViews>
  <sheetFormatPr defaultRowHeight="15" x14ac:dyDescent="0.25"/>
  <sheetData>
    <row r="1" spans="1:6" x14ac:dyDescent="0.25">
      <c r="A1" s="8" t="s">
        <v>251</v>
      </c>
      <c r="B1" s="6">
        <f>COLUMNS($B1:B1)</f>
        <v>1</v>
      </c>
      <c r="C1" s="6">
        <f>COLUMNS($B1:C1)</f>
        <v>2</v>
      </c>
      <c r="D1" s="6">
        <f>COLUMNS($B1:D1)</f>
        <v>3</v>
      </c>
      <c r="E1" s="6">
        <f>COLUMNS($B1:E1)</f>
        <v>4</v>
      </c>
      <c r="F1" s="6">
        <f>COLUMNS($B1:F1)</f>
        <v>5</v>
      </c>
    </row>
    <row r="2" spans="1:6" x14ac:dyDescent="0.25">
      <c r="A2" s="8" t="s">
        <v>91</v>
      </c>
      <c r="B2" s="5" t="s">
        <v>252</v>
      </c>
      <c r="C2" s="5" t="s">
        <v>253</v>
      </c>
      <c r="D2" s="5" t="s">
        <v>254</v>
      </c>
      <c r="E2" s="5" t="s">
        <v>255</v>
      </c>
      <c r="F2" s="5" t="s">
        <v>256</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tabColor rgb="FF0000FF"/>
  </sheetPr>
  <dimension ref="A1:I12"/>
  <sheetViews>
    <sheetView zoomScale="130" zoomScaleNormal="130" workbookViewId="0">
      <selection activeCell="E3" sqref="E3"/>
    </sheetView>
  </sheetViews>
  <sheetFormatPr defaultRowHeight="15" x14ac:dyDescent="0.25"/>
  <cols>
    <col min="6" max="6" width="17.7109375" customWidth="1"/>
    <col min="7" max="7" width="21.28515625" customWidth="1"/>
    <col min="8" max="8" width="25.42578125" customWidth="1"/>
    <col min="9" max="9" width="27.85546875" customWidth="1"/>
  </cols>
  <sheetData>
    <row r="1" spans="1:9" x14ac:dyDescent="0.25">
      <c r="A1">
        <f>INT((ROWS(A1:A$1)-1)/3)+1</f>
        <v>1</v>
      </c>
      <c r="F1" s="71" t="str">
        <f ca="1">" "&amp;_xlfn.FORMULATEXT(F2)</f>
        <v xml:space="preserve"> =ROWS(A$1:A1)-1</v>
      </c>
      <c r="G1" s="71" t="str">
        <f ca="1">" "&amp;_xlfn.FORMULATEXT(G2)</f>
        <v xml:space="preserve"> =(ROWS(A$1:A1)-1)/3</v>
      </c>
      <c r="H1" s="71" t="str">
        <f ca="1">" "&amp;_xlfn.FORMULATEXT(H2)</f>
        <v xml:space="preserve"> =INT((ROWS(A$1:A1)-1)/3)</v>
      </c>
      <c r="I1" s="71" t="str">
        <f ca="1">" "&amp;_xlfn.FORMULATEXT(I2)</f>
        <v xml:space="preserve"> =INT((ROWS(A$1:A1)-1)/3)+1</v>
      </c>
    </row>
    <row r="2" spans="1:9" x14ac:dyDescent="0.25">
      <c r="A2">
        <f>INT((ROWS(A$1:A2)-1)/3)+1</f>
        <v>1</v>
      </c>
      <c r="F2" s="50">
        <f>ROWS(A$1:A1)-1</f>
        <v>0</v>
      </c>
      <c r="G2" s="50">
        <f>(ROWS(A$1:A1)-1)/3</f>
        <v>0</v>
      </c>
      <c r="H2" s="50">
        <f>INT((ROWS(A$1:A1)-1)/3)</f>
        <v>0</v>
      </c>
      <c r="I2" s="50">
        <f>INT((ROWS(A$1:A1)-1)/3)+1</f>
        <v>1</v>
      </c>
    </row>
    <row r="3" spans="1:9" x14ac:dyDescent="0.25">
      <c r="A3">
        <f>INT((ROWS(A$1:A3)-1)/3)+1</f>
        <v>1</v>
      </c>
      <c r="F3" s="50">
        <f>ROWS(A$1:A2)-1</f>
        <v>1</v>
      </c>
      <c r="G3" s="50">
        <f>(ROWS(A$1:A2)-1)/3</f>
        <v>0.33333333333333331</v>
      </c>
      <c r="H3" s="50">
        <f>INT((ROWS(A$1:A2)-1)/3)</f>
        <v>0</v>
      </c>
      <c r="I3" s="50">
        <f>INT((ROWS(A$1:A2)-1)/3)+1</f>
        <v>1</v>
      </c>
    </row>
    <row r="4" spans="1:9" x14ac:dyDescent="0.25">
      <c r="A4">
        <f>INT((ROWS(A$1:A4)-1)/3)+1</f>
        <v>2</v>
      </c>
      <c r="F4" s="50">
        <f>ROWS(A$1:A3)-1</f>
        <v>2</v>
      </c>
      <c r="G4" s="50">
        <f>(ROWS(A$1:A3)-1)/3</f>
        <v>0.66666666666666663</v>
      </c>
      <c r="H4" s="50">
        <f>INT((ROWS(A$1:A3)-1)/3)</f>
        <v>0</v>
      </c>
      <c r="I4" s="50">
        <f>INT((ROWS(A$1:A3)-1)/3)+1</f>
        <v>1</v>
      </c>
    </row>
    <row r="5" spans="1:9" x14ac:dyDescent="0.25">
      <c r="A5">
        <f>INT((ROWS(A$1:A5)-1)/3)+1</f>
        <v>2</v>
      </c>
      <c r="F5" s="50">
        <f>ROWS(A$1:A4)-1</f>
        <v>3</v>
      </c>
      <c r="G5" s="50">
        <f>(ROWS(A$1:A4)-1)/3</f>
        <v>1</v>
      </c>
      <c r="H5" s="50">
        <f>INT((ROWS(A$1:A4)-1)/3)</f>
        <v>1</v>
      </c>
      <c r="I5" s="50">
        <f>INT((ROWS(A$1:A4)-1)/3)+1</f>
        <v>2</v>
      </c>
    </row>
    <row r="6" spans="1:9" x14ac:dyDescent="0.25">
      <c r="A6">
        <f>INT((ROWS(A$1:A6)-1)/3)+1</f>
        <v>2</v>
      </c>
      <c r="F6" s="50">
        <f>ROWS(A$1:A5)-1</f>
        <v>4</v>
      </c>
      <c r="G6" s="50">
        <f>(ROWS(A$1:A5)-1)/3</f>
        <v>1.3333333333333333</v>
      </c>
      <c r="H6" s="50">
        <f>INT((ROWS(A$1:A5)-1)/3)</f>
        <v>1</v>
      </c>
      <c r="I6" s="50">
        <f>INT((ROWS(A$1:A5)-1)/3)+1</f>
        <v>2</v>
      </c>
    </row>
    <row r="7" spans="1:9" x14ac:dyDescent="0.25">
      <c r="A7">
        <f>INT((ROWS(A$1:A7)-1)/3)+1</f>
        <v>3</v>
      </c>
      <c r="F7" s="50">
        <f>ROWS(A$1:A6)-1</f>
        <v>5</v>
      </c>
      <c r="G7" s="50">
        <f>(ROWS(A$1:A6)-1)/3</f>
        <v>1.6666666666666667</v>
      </c>
      <c r="H7" s="50">
        <f>INT((ROWS(A$1:A6)-1)/3)</f>
        <v>1</v>
      </c>
      <c r="I7" s="50">
        <f>INT((ROWS(A$1:A6)-1)/3)+1</f>
        <v>2</v>
      </c>
    </row>
    <row r="8" spans="1:9" x14ac:dyDescent="0.25">
      <c r="A8">
        <f>INT((ROWS(A$1:A8)-1)/3)+1</f>
        <v>3</v>
      </c>
      <c r="F8" s="50">
        <f>ROWS(A$1:A7)-1</f>
        <v>6</v>
      </c>
      <c r="G8" s="50">
        <f>(ROWS(A$1:A7)-1)/3</f>
        <v>2</v>
      </c>
      <c r="H8" s="50">
        <f>INT((ROWS(A$1:A7)-1)/3)</f>
        <v>2</v>
      </c>
      <c r="I8" s="50">
        <f>INT((ROWS(A$1:A7)-1)/3)+1</f>
        <v>3</v>
      </c>
    </row>
    <row r="9" spans="1:9" x14ac:dyDescent="0.25">
      <c r="A9">
        <f>INT((ROWS(A$1:A9)-1)/3)+1</f>
        <v>3</v>
      </c>
      <c r="F9" s="50">
        <f>ROWS(A$1:A8)-1</f>
        <v>7</v>
      </c>
      <c r="G9" s="50">
        <f>(ROWS(A$1:A8)-1)/3</f>
        <v>2.3333333333333335</v>
      </c>
      <c r="H9" s="50">
        <f>INT((ROWS(A$1:A8)-1)/3)</f>
        <v>2</v>
      </c>
      <c r="I9" s="50">
        <f>INT((ROWS(A$1:A8)-1)/3)+1</f>
        <v>3</v>
      </c>
    </row>
    <row r="10" spans="1:9" x14ac:dyDescent="0.25">
      <c r="A10">
        <f>INT((ROWS(A$1:A10)-1)/3)+1</f>
        <v>4</v>
      </c>
      <c r="F10" s="50">
        <f>ROWS(A$1:A9)-1</f>
        <v>8</v>
      </c>
      <c r="G10" s="50">
        <f>(ROWS(A$1:A9)-1)/3</f>
        <v>2.6666666666666665</v>
      </c>
      <c r="H10" s="50">
        <f>INT((ROWS(A$1:A9)-1)/3)</f>
        <v>2</v>
      </c>
      <c r="I10" s="50">
        <f>INT((ROWS(A$1:A9)-1)/3)+1</f>
        <v>3</v>
      </c>
    </row>
    <row r="11" spans="1:9" x14ac:dyDescent="0.25">
      <c r="A11">
        <f>INT((ROWS(A$1:A11)-1)/3)+1</f>
        <v>4</v>
      </c>
      <c r="F11" s="50">
        <f>ROWS(A$1:A10)-1</f>
        <v>9</v>
      </c>
      <c r="G11" s="50">
        <f>(ROWS(A$1:A10)-1)/3</f>
        <v>3</v>
      </c>
      <c r="H11" s="50">
        <f>INT((ROWS(A$1:A10)-1)/3)</f>
        <v>3</v>
      </c>
      <c r="I11" s="50">
        <f>INT((ROWS(A$1:A10)-1)/3)+1</f>
        <v>4</v>
      </c>
    </row>
    <row r="12" spans="1:9" x14ac:dyDescent="0.25">
      <c r="A12">
        <f>INT((ROWS(A$1:A12)-1)/3)+1</f>
        <v>4</v>
      </c>
      <c r="F12" s="50">
        <f>ROWS(A$1:A11)-1</f>
        <v>10</v>
      </c>
      <c r="G12" s="50">
        <f>(ROWS(A$1:A11)-1)/3</f>
        <v>3.3333333333333335</v>
      </c>
      <c r="H12" s="50">
        <f>INT((ROWS(A$1:A11)-1)/3)</f>
        <v>3</v>
      </c>
      <c r="I12" s="50">
        <f>INT((ROWS(A$1:A11)-1)/3)+1</f>
        <v>4</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tabColor rgb="FF0000FF"/>
  </sheetPr>
  <dimension ref="A1:H12"/>
  <sheetViews>
    <sheetView zoomScale="175" zoomScaleNormal="175" workbookViewId="0">
      <selection activeCell="E3" sqref="E3"/>
    </sheetView>
  </sheetViews>
  <sheetFormatPr defaultRowHeight="15" x14ac:dyDescent="0.25"/>
  <cols>
    <col min="6" max="6" width="18.42578125" customWidth="1"/>
    <col min="7" max="7" width="25.28515625" customWidth="1"/>
    <col min="8" max="8" width="27.7109375" customWidth="1"/>
  </cols>
  <sheetData>
    <row r="1" spans="1:8" x14ac:dyDescent="0.25">
      <c r="A1">
        <f>MOD(ROWS(A$1:A1)-1,3)+1</f>
        <v>1</v>
      </c>
      <c r="F1" s="23" t="str">
        <f ca="1">" "&amp;_xlfn.FORMULATEXT(F2)</f>
        <v xml:space="preserve"> =ROWS(A$1:A1)-1</v>
      </c>
      <c r="G1" s="23" t="str">
        <f ca="1">" "&amp;_xlfn.FORMULATEXT(G2)</f>
        <v xml:space="preserve"> =MOD(ROWS(A$1:A1)-1,3)</v>
      </c>
      <c r="H1" s="23" t="str">
        <f ca="1">" "&amp;_xlfn.FORMULATEXT(H2)</f>
        <v xml:space="preserve"> =MOD(ROWS(A$1:A1)-1,3)+1</v>
      </c>
    </row>
    <row r="2" spans="1:8" x14ac:dyDescent="0.25">
      <c r="A2">
        <f>MOD(ROWS(A$1:A2)-1,3)+1</f>
        <v>2</v>
      </c>
      <c r="F2">
        <f>ROWS(A$1:A1)-1</f>
        <v>0</v>
      </c>
      <c r="G2">
        <f>MOD(ROWS(A$1:A1)-1,3)</f>
        <v>0</v>
      </c>
      <c r="H2">
        <f>MOD(ROWS(A$1:A1)-1,3)+1</f>
        <v>1</v>
      </c>
    </row>
    <row r="3" spans="1:8" x14ac:dyDescent="0.25">
      <c r="A3">
        <f>MOD(ROWS(A$1:A3)-1,3)+1</f>
        <v>3</v>
      </c>
      <c r="F3">
        <f>ROWS(A$1:A2)-1</f>
        <v>1</v>
      </c>
      <c r="G3">
        <f>MOD(ROWS(A$1:A2)-1,3)</f>
        <v>1</v>
      </c>
      <c r="H3">
        <f>MOD(ROWS(A$1:A2)-1,3)+1</f>
        <v>2</v>
      </c>
    </row>
    <row r="4" spans="1:8" x14ac:dyDescent="0.25">
      <c r="A4">
        <f>MOD(ROWS(A$1:A4)-1,3)+1</f>
        <v>1</v>
      </c>
      <c r="F4">
        <f>ROWS(A$1:A3)-1</f>
        <v>2</v>
      </c>
      <c r="G4">
        <f>MOD(ROWS(A$1:A3)-1,3)</f>
        <v>2</v>
      </c>
      <c r="H4">
        <f>MOD(ROWS(A$1:A3)-1,3)+1</f>
        <v>3</v>
      </c>
    </row>
    <row r="5" spans="1:8" x14ac:dyDescent="0.25">
      <c r="A5">
        <f>MOD(ROWS(A$1:A5)-1,3)+1</f>
        <v>2</v>
      </c>
      <c r="F5">
        <f>ROWS(A$1:A4)-1</f>
        <v>3</v>
      </c>
      <c r="G5">
        <f>MOD(ROWS(A$1:A4)-1,3)</f>
        <v>0</v>
      </c>
      <c r="H5">
        <f>MOD(ROWS(A$1:A4)-1,3)+1</f>
        <v>1</v>
      </c>
    </row>
    <row r="6" spans="1:8" x14ac:dyDescent="0.25">
      <c r="A6">
        <f>MOD(ROWS(A$1:A6)-1,3)+1</f>
        <v>3</v>
      </c>
      <c r="F6">
        <f>ROWS(A$1:A5)-1</f>
        <v>4</v>
      </c>
      <c r="G6">
        <f>MOD(ROWS(A$1:A5)-1,3)</f>
        <v>1</v>
      </c>
      <c r="H6">
        <f>MOD(ROWS(A$1:A5)-1,3)+1</f>
        <v>2</v>
      </c>
    </row>
    <row r="7" spans="1:8" x14ac:dyDescent="0.25">
      <c r="A7">
        <f>MOD(ROWS(A$1:A7)-1,3)+1</f>
        <v>1</v>
      </c>
      <c r="F7">
        <f>ROWS(A$1:A6)-1</f>
        <v>5</v>
      </c>
      <c r="G7">
        <f>MOD(ROWS(A$1:A6)-1,3)</f>
        <v>2</v>
      </c>
      <c r="H7">
        <f>MOD(ROWS(A$1:A6)-1,3)+1</f>
        <v>3</v>
      </c>
    </row>
    <row r="8" spans="1:8" x14ac:dyDescent="0.25">
      <c r="A8">
        <f>MOD(ROWS(A$1:A8)-1,3)+1</f>
        <v>2</v>
      </c>
      <c r="F8">
        <f>ROWS(A$1:A7)-1</f>
        <v>6</v>
      </c>
      <c r="G8">
        <f>MOD(ROWS(A$1:A7)-1,3)</f>
        <v>0</v>
      </c>
      <c r="H8">
        <f>MOD(ROWS(A$1:A7)-1,3)+1</f>
        <v>1</v>
      </c>
    </row>
    <row r="9" spans="1:8" x14ac:dyDescent="0.25">
      <c r="A9">
        <f>MOD(ROWS(A$1:A9)-1,3)+1</f>
        <v>3</v>
      </c>
      <c r="F9">
        <f>ROWS(A$1:A8)-1</f>
        <v>7</v>
      </c>
      <c r="G9">
        <f>MOD(ROWS(A$1:A8)-1,3)</f>
        <v>1</v>
      </c>
      <c r="H9">
        <f>MOD(ROWS(A$1:A8)-1,3)+1</f>
        <v>2</v>
      </c>
    </row>
    <row r="10" spans="1:8" x14ac:dyDescent="0.25">
      <c r="A10">
        <f>MOD(ROWS(A$1:A10)-1,3)+1</f>
        <v>1</v>
      </c>
      <c r="F10">
        <f>ROWS(A$1:A9)-1</f>
        <v>8</v>
      </c>
      <c r="G10">
        <f>MOD(ROWS(A$1:A9)-1,3)</f>
        <v>2</v>
      </c>
      <c r="H10">
        <f>MOD(ROWS(A$1:A9)-1,3)+1</f>
        <v>3</v>
      </c>
    </row>
    <row r="11" spans="1:8" x14ac:dyDescent="0.25">
      <c r="A11">
        <f>MOD(ROWS(A$1:A11)-1,3)+1</f>
        <v>2</v>
      </c>
      <c r="F11">
        <f>ROWS(A$1:A10)-1</f>
        <v>9</v>
      </c>
      <c r="G11">
        <f>MOD(ROWS(A$1:A10)-1,3)</f>
        <v>0</v>
      </c>
      <c r="H11">
        <f>MOD(ROWS(A$1:A10)-1,3)+1</f>
        <v>1</v>
      </c>
    </row>
    <row r="12" spans="1:8" x14ac:dyDescent="0.25">
      <c r="A12">
        <f>MOD(ROWS(A$1:A12)-1,3)+1</f>
        <v>3</v>
      </c>
      <c r="F12">
        <f>ROWS(A$1:A11)-1</f>
        <v>10</v>
      </c>
      <c r="G12">
        <f>MOD(ROWS(A$1:A11)-1,3)</f>
        <v>1</v>
      </c>
      <c r="H12">
        <f>MOD(ROWS(A$1:A11)-1,3)+1</f>
        <v>2</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tabColor rgb="FF0000FF"/>
  </sheetPr>
  <dimension ref="A1:E9"/>
  <sheetViews>
    <sheetView zoomScale="190" zoomScaleNormal="190" workbookViewId="0">
      <selection activeCell="E3" sqref="E3"/>
    </sheetView>
  </sheetViews>
  <sheetFormatPr defaultRowHeight="15" x14ac:dyDescent="0.25"/>
  <cols>
    <col min="1" max="1" width="14" customWidth="1"/>
    <col min="2" max="2" width="2.5703125" customWidth="1"/>
    <col min="3" max="3" width="5.5703125" bestFit="1" customWidth="1"/>
    <col min="4" max="4" width="4.42578125" bestFit="1" customWidth="1"/>
    <col min="5" max="5" width="7.85546875" bestFit="1" customWidth="1"/>
  </cols>
  <sheetData>
    <row r="1" spans="1:5" x14ac:dyDescent="0.25">
      <c r="A1" s="6">
        <f>INDEX($C$2:$E$4,INT((ROWS(A$1:A1)-1)/3)+1,MOD((ROWS(A$1:A1)-1),3)+1)</f>
        <v>697</v>
      </c>
      <c r="C1" s="8" t="s">
        <v>91</v>
      </c>
      <c r="D1" s="8" t="s">
        <v>257</v>
      </c>
      <c r="E1" s="8" t="s">
        <v>17</v>
      </c>
    </row>
    <row r="2" spans="1:5" x14ac:dyDescent="0.25">
      <c r="A2" s="6" t="str">
        <f>INDEX($C$2:$E$4,INT((ROWS(A$1:A2)-1)/3)+1,MOD((ROWS(A$1:A2)-1),3)+1)</f>
        <v>Jo</v>
      </c>
      <c r="C2" s="5">
        <v>697</v>
      </c>
      <c r="D2" s="5" t="s">
        <v>258</v>
      </c>
      <c r="E2" s="5" t="s">
        <v>260</v>
      </c>
    </row>
    <row r="3" spans="1:5" x14ac:dyDescent="0.25">
      <c r="A3" s="6" t="str">
        <f>INDEX($C$2:$E$4,INT((ROWS(A$1:A3)-1)/3)+1,MOD((ROWS(A$1:A3)-1),3)+1)</f>
        <v>Pro 1</v>
      </c>
      <c r="C3" s="5">
        <v>568</v>
      </c>
      <c r="D3" s="5" t="s">
        <v>259</v>
      </c>
      <c r="E3" s="5" t="s">
        <v>260</v>
      </c>
    </row>
    <row r="4" spans="1:5" x14ac:dyDescent="0.25">
      <c r="A4" s="6">
        <f>INDEX($C$2:$E$4,INT((ROWS(A$1:A4)-1)/3)+1,MOD((ROWS(A$1:A4)-1),3)+1)</f>
        <v>568</v>
      </c>
      <c r="C4" s="5">
        <v>510</v>
      </c>
      <c r="D4" s="5" t="s">
        <v>258</v>
      </c>
      <c r="E4" s="5" t="s">
        <v>261</v>
      </c>
    </row>
    <row r="5" spans="1:5" x14ac:dyDescent="0.25">
      <c r="A5" s="6" t="str">
        <f>INDEX($C$2:$E$4,INT((ROWS(A$1:A5)-1)/3)+1,MOD((ROWS(A$1:A5)-1),3)+1)</f>
        <v>Mo</v>
      </c>
    </row>
    <row r="6" spans="1:5" x14ac:dyDescent="0.25">
      <c r="A6" s="6" t="str">
        <f>INDEX($C$2:$E$4,INT((ROWS(A$1:A6)-1)/3)+1,MOD((ROWS(A$1:A6)-1),3)+1)</f>
        <v>Pro 1</v>
      </c>
    </row>
    <row r="7" spans="1:5" x14ac:dyDescent="0.25">
      <c r="A7" s="6">
        <f>INDEX($C$2:$E$4,INT((ROWS(A$1:A7)-1)/3)+1,MOD((ROWS(A$1:A7)-1),3)+1)</f>
        <v>510</v>
      </c>
    </row>
    <row r="8" spans="1:5" x14ac:dyDescent="0.25">
      <c r="A8" s="6" t="str">
        <f>INDEX($C$2:$E$4,INT((ROWS(A$1:A8)-1)/3)+1,MOD((ROWS(A$1:A8)-1),3)+1)</f>
        <v>Jo</v>
      </c>
    </row>
    <row r="9" spans="1:5" x14ac:dyDescent="0.25">
      <c r="A9" s="6" t="str">
        <f>INDEX($C$2:$E$4,INT((ROWS(A$1:A9)-1)/3)+1,MOD((ROWS(A$1:A9)-1),3)+1)</f>
        <v>Pro 3</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tabColor rgb="FF0000FF"/>
  </sheetPr>
  <dimension ref="A1:C4"/>
  <sheetViews>
    <sheetView zoomScale="190" zoomScaleNormal="190" workbookViewId="0">
      <selection activeCell="E3" sqref="E3"/>
    </sheetView>
  </sheetViews>
  <sheetFormatPr defaultRowHeight="15" x14ac:dyDescent="0.25"/>
  <cols>
    <col min="1" max="1" width="11.85546875" bestFit="1" customWidth="1"/>
    <col min="2" max="2" width="11.42578125" bestFit="1" customWidth="1"/>
    <col min="3" max="3" width="10.7109375" bestFit="1" customWidth="1"/>
    <col min="4" max="4" width="14.7109375" customWidth="1"/>
  </cols>
  <sheetData>
    <row r="1" spans="1:3" x14ac:dyDescent="0.25">
      <c r="A1" s="8" t="s">
        <v>8</v>
      </c>
      <c r="B1" s="8" t="s">
        <v>91</v>
      </c>
      <c r="C1" s="8" t="s">
        <v>262</v>
      </c>
    </row>
    <row r="2" spans="1:3" x14ac:dyDescent="0.25">
      <c r="A2" s="7">
        <v>42009</v>
      </c>
      <c r="B2" s="5">
        <v>110859</v>
      </c>
      <c r="C2" s="27">
        <f>CEILING(MONTH(A2),3)/3</f>
        <v>1</v>
      </c>
    </row>
    <row r="3" spans="1:3" x14ac:dyDescent="0.25">
      <c r="A3" s="7">
        <v>42345</v>
      </c>
      <c r="B3" s="5">
        <v>110258</v>
      </c>
      <c r="C3" s="27">
        <f>CEILING(MONTH(A3),3)/3</f>
        <v>4</v>
      </c>
    </row>
    <row r="4" spans="1:3" x14ac:dyDescent="0.25">
      <c r="A4" s="7">
        <v>42203</v>
      </c>
      <c r="B4" s="5">
        <v>70423</v>
      </c>
      <c r="C4" s="27">
        <f>CEILING(MONTH(A4),3)/3</f>
        <v>3</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tabColor rgb="FF0000FF"/>
  </sheetPr>
  <dimension ref="A1:G4"/>
  <sheetViews>
    <sheetView zoomScale="175" zoomScaleNormal="175" workbookViewId="0">
      <selection activeCell="E3" sqref="E3"/>
    </sheetView>
  </sheetViews>
  <sheetFormatPr defaultRowHeight="15" x14ac:dyDescent="0.25"/>
  <cols>
    <col min="1" max="1" width="11.85546875" bestFit="1" customWidth="1"/>
    <col min="2" max="2" width="11.42578125" bestFit="1" customWidth="1"/>
    <col min="3" max="3" width="10.7109375" bestFit="1" customWidth="1"/>
    <col min="4" max="4" width="14.7109375" customWidth="1"/>
    <col min="5" max="5" width="17.5703125" bestFit="1" customWidth="1"/>
    <col min="6" max="6" width="27.7109375" bestFit="1" customWidth="1"/>
    <col min="7" max="7" width="29.7109375" bestFit="1" customWidth="1"/>
  </cols>
  <sheetData>
    <row r="1" spans="1:7" x14ac:dyDescent="0.25">
      <c r="A1" s="8" t="s">
        <v>8</v>
      </c>
      <c r="B1" s="8" t="s">
        <v>91</v>
      </c>
      <c r="C1" s="8" t="s">
        <v>262</v>
      </c>
      <c r="E1" s="23" t="str">
        <f ca="1">" "&amp;_xlfn.FORMULATEXT(E2)</f>
        <v xml:space="preserve"> {=MONTH(A2:A4)}</v>
      </c>
      <c r="F1" s="23" t="str">
        <f ca="1">" "&amp;_xlfn.FORMULATEXT(F2)</f>
        <v xml:space="preserve"> {=CEILING(MONTH(A2:A4),3)}</v>
      </c>
      <c r="G1" s="23" t="str">
        <f ca="1">" "&amp;_xlfn.FORMULATEXT(G2)</f>
        <v xml:space="preserve"> {=CEILING(MONTH(A2:A4),3)/3}</v>
      </c>
    </row>
    <row r="2" spans="1:7" x14ac:dyDescent="0.25">
      <c r="A2" s="7">
        <v>42009</v>
      </c>
      <c r="B2" s="5">
        <v>110859</v>
      </c>
      <c r="C2" s="27">
        <f t="array" ref="C2:C4">CEILING(MONTH(A2:A4),3)/3</f>
        <v>1</v>
      </c>
      <c r="E2">
        <f t="array" ref="E2:E4">MONTH(A2:A4)</f>
        <v>1</v>
      </c>
      <c r="F2">
        <f t="array" ref="F2:F4">CEILING(MONTH(A2:A4),3)</f>
        <v>3</v>
      </c>
      <c r="G2">
        <f t="array" ref="G2:G4">CEILING(MONTH(A2:A4),3)/3</f>
        <v>1</v>
      </c>
    </row>
    <row r="3" spans="1:7" x14ac:dyDescent="0.25">
      <c r="A3" s="7">
        <v>42345</v>
      </c>
      <c r="B3" s="5">
        <v>110258</v>
      </c>
      <c r="C3" s="27">
        <v>4</v>
      </c>
      <c r="E3">
        <v>12</v>
      </c>
      <c r="F3">
        <v>12</v>
      </c>
      <c r="G3">
        <v>4</v>
      </c>
    </row>
    <row r="4" spans="1:7" x14ac:dyDescent="0.25">
      <c r="A4" s="7">
        <v>42203</v>
      </c>
      <c r="B4" s="5">
        <v>70423</v>
      </c>
      <c r="C4" s="27">
        <v>3</v>
      </c>
      <c r="E4">
        <v>7</v>
      </c>
      <c r="F4">
        <v>9</v>
      </c>
      <c r="G4">
        <v>3</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tabColor rgb="FF0000FF"/>
  </sheetPr>
  <dimension ref="A1:E4"/>
  <sheetViews>
    <sheetView zoomScale="145" zoomScaleNormal="145" workbookViewId="0">
      <selection activeCell="E3" sqref="E3"/>
    </sheetView>
  </sheetViews>
  <sheetFormatPr defaultRowHeight="15" x14ac:dyDescent="0.25"/>
  <cols>
    <col min="1" max="1" width="14.140625" bestFit="1" customWidth="1"/>
    <col min="3" max="3" width="3" customWidth="1"/>
    <col min="4" max="4" width="14" customWidth="1"/>
    <col min="5" max="5" width="11.140625" customWidth="1"/>
  </cols>
  <sheetData>
    <row r="1" spans="1:5" x14ac:dyDescent="0.25">
      <c r="A1" s="8" t="s">
        <v>17</v>
      </c>
      <c r="B1" s="8" t="s">
        <v>10</v>
      </c>
      <c r="D1" s="8" t="s">
        <v>17</v>
      </c>
      <c r="E1" s="8" t="s">
        <v>10</v>
      </c>
    </row>
    <row r="2" spans="1:5" x14ac:dyDescent="0.25">
      <c r="A2" s="14" t="str">
        <f t="array" ref="A2:B4">{"Majestic Beaut",37;"Quad",33;"Sunshine",18}</f>
        <v>Majestic Beaut</v>
      </c>
      <c r="B2" s="5">
        <v>37</v>
      </c>
      <c r="D2" s="5" t="s">
        <v>156</v>
      </c>
      <c r="E2" s="6">
        <f>VLOOKUP(D2,A2:B4,2)</f>
        <v>18</v>
      </c>
    </row>
    <row r="3" spans="1:5" x14ac:dyDescent="0.25">
      <c r="A3" s="14" t="str">
        <v>Quad</v>
      </c>
      <c r="B3" s="5">
        <v>33</v>
      </c>
    </row>
    <row r="4" spans="1:5" x14ac:dyDescent="0.25">
      <c r="A4" s="14" t="str">
        <v>Sunshine</v>
      </c>
      <c r="B4" s="5">
        <v>18</v>
      </c>
    </row>
  </sheetData>
  <dataValidations count="1">
    <dataValidation type="list" allowBlank="1" showInputMessage="1" showErrorMessage="1" sqref="D2">
      <formula1>$A$2:$A$4</formula1>
    </dataValidation>
  </dataValidations>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tabColor rgb="FF0000FF"/>
  </sheetPr>
  <dimension ref="A1:D10"/>
  <sheetViews>
    <sheetView zoomScale="190" zoomScaleNormal="190" workbookViewId="0">
      <selection activeCell="E3" sqref="E3"/>
    </sheetView>
  </sheetViews>
  <sheetFormatPr defaultRowHeight="15" x14ac:dyDescent="0.25"/>
  <sheetData>
    <row r="1" spans="1:4" x14ac:dyDescent="0.25">
      <c r="A1" s="23" t="s">
        <v>267</v>
      </c>
    </row>
    <row r="2" spans="1:4" x14ac:dyDescent="0.25">
      <c r="A2" t="s">
        <v>12</v>
      </c>
      <c r="B2" t="s">
        <v>13</v>
      </c>
      <c r="C2" t="s">
        <v>14</v>
      </c>
      <c r="D2" t="s">
        <v>264</v>
      </c>
    </row>
    <row r="3" spans="1:4" x14ac:dyDescent="0.25">
      <c r="A3">
        <v>151</v>
      </c>
      <c r="B3">
        <v>83</v>
      </c>
      <c r="C3">
        <v>168</v>
      </c>
      <c r="D3">
        <v>116</v>
      </c>
    </row>
    <row r="4" spans="1:4" x14ac:dyDescent="0.25">
      <c r="A4">
        <v>140</v>
      </c>
      <c r="B4">
        <v>68</v>
      </c>
      <c r="C4">
        <v>118</v>
      </c>
      <c r="D4">
        <v>49</v>
      </c>
    </row>
    <row r="6" spans="1:4" x14ac:dyDescent="0.25">
      <c r="A6" s="23" t="s">
        <v>265</v>
      </c>
      <c r="B6" s="23"/>
      <c r="C6" s="23"/>
      <c r="D6" s="23"/>
    </row>
    <row r="7" spans="1:4" x14ac:dyDescent="0.25">
      <c r="A7" s="53" t="str">
        <f t="array" ref="A7:C10">TRANSPOSE(A2:D4)</f>
        <v>Product 1</v>
      </c>
      <c r="B7" s="6">
        <v>151</v>
      </c>
      <c r="C7" s="6">
        <v>140</v>
      </c>
    </row>
    <row r="8" spans="1:4" x14ac:dyDescent="0.25">
      <c r="A8" s="53" t="str">
        <v>Product 2</v>
      </c>
      <c r="B8" s="6">
        <v>83</v>
      </c>
      <c r="C8" s="6">
        <v>68</v>
      </c>
    </row>
    <row r="9" spans="1:4" x14ac:dyDescent="0.25">
      <c r="A9" s="53" t="str">
        <v>Product 3</v>
      </c>
      <c r="B9" s="6">
        <v>168</v>
      </c>
      <c r="C9" s="6">
        <v>118</v>
      </c>
    </row>
    <row r="10" spans="1:4" x14ac:dyDescent="0.25">
      <c r="A10" s="53" t="str">
        <v>Product 4</v>
      </c>
      <c r="B10" s="6">
        <v>116</v>
      </c>
      <c r="C10" s="6">
        <v>49</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tabColor rgb="FF0000FF"/>
  </sheetPr>
  <dimension ref="A1:D10"/>
  <sheetViews>
    <sheetView zoomScale="145" zoomScaleNormal="145" workbookViewId="0">
      <selection activeCell="E3" sqref="E3"/>
    </sheetView>
  </sheetViews>
  <sheetFormatPr defaultRowHeight="15" x14ac:dyDescent="0.25"/>
  <sheetData>
    <row r="1" spans="1:4" x14ac:dyDescent="0.25">
      <c r="A1" s="23" t="s">
        <v>263</v>
      </c>
    </row>
    <row r="2" spans="1:4" x14ac:dyDescent="0.25">
      <c r="A2" t="s">
        <v>12</v>
      </c>
      <c r="B2" t="s">
        <v>13</v>
      </c>
      <c r="C2" t="s">
        <v>14</v>
      </c>
      <c r="D2" t="s">
        <v>264</v>
      </c>
    </row>
    <row r="3" spans="1:4" x14ac:dyDescent="0.25">
      <c r="A3">
        <v>214</v>
      </c>
      <c r="B3">
        <v>164</v>
      </c>
      <c r="C3">
        <v>57</v>
      </c>
      <c r="D3">
        <v>383</v>
      </c>
    </row>
    <row r="4" spans="1:4" x14ac:dyDescent="0.25">
      <c r="A4">
        <v>392</v>
      </c>
      <c r="B4">
        <v>46</v>
      </c>
      <c r="C4">
        <v>127</v>
      </c>
      <c r="D4">
        <v>297</v>
      </c>
    </row>
    <row r="6" spans="1:4" x14ac:dyDescent="0.25">
      <c r="A6" s="23" t="s">
        <v>265</v>
      </c>
      <c r="B6" s="23"/>
      <c r="C6" s="23"/>
      <c r="D6" s="23"/>
    </row>
    <row r="7" spans="1:4" x14ac:dyDescent="0.25">
      <c r="A7" s="53" t="str">
        <f t="array" ref="A7:C10">TRANSPOSE(A2:D4)</f>
        <v>Product 1</v>
      </c>
      <c r="B7" s="6">
        <v>214</v>
      </c>
      <c r="C7" s="6">
        <v>392</v>
      </c>
    </row>
    <row r="8" spans="1:4" x14ac:dyDescent="0.25">
      <c r="A8" s="53" t="str">
        <v>Product 2</v>
      </c>
      <c r="B8" s="6">
        <v>164</v>
      </c>
      <c r="C8" s="6">
        <v>46</v>
      </c>
    </row>
    <row r="9" spans="1:4" x14ac:dyDescent="0.25">
      <c r="A9" s="53" t="str">
        <v>Product 3</v>
      </c>
      <c r="B9" s="6">
        <v>57</v>
      </c>
      <c r="C9" s="6">
        <v>127</v>
      </c>
    </row>
    <row r="10" spans="1:4" x14ac:dyDescent="0.25">
      <c r="A10" s="53" t="str">
        <v>Product 4</v>
      </c>
      <c r="B10" s="6">
        <v>383</v>
      </c>
      <c r="C10" s="6">
        <v>297</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tabColor rgb="FF0000FF"/>
  </sheetPr>
  <dimension ref="A1:D9"/>
  <sheetViews>
    <sheetView zoomScale="145" zoomScaleNormal="145" workbookViewId="0">
      <selection activeCell="E3" sqref="E3"/>
    </sheetView>
  </sheetViews>
  <sheetFormatPr defaultRowHeight="15" x14ac:dyDescent="0.25"/>
  <cols>
    <col min="6" max="24" width="9.140625" customWidth="1"/>
  </cols>
  <sheetData>
    <row r="1" spans="1:4" x14ac:dyDescent="0.25">
      <c r="A1" s="5"/>
      <c r="B1" s="38" t="s">
        <v>12</v>
      </c>
      <c r="C1" s="38" t="s">
        <v>13</v>
      </c>
      <c r="D1" s="38" t="s">
        <v>14</v>
      </c>
    </row>
    <row r="2" spans="1:4" x14ac:dyDescent="0.25">
      <c r="A2" s="38" t="s">
        <v>240</v>
      </c>
      <c r="B2" s="5">
        <v>151</v>
      </c>
      <c r="C2" s="5">
        <v>59</v>
      </c>
      <c r="D2" s="5">
        <v>168</v>
      </c>
    </row>
    <row r="3" spans="1:4" x14ac:dyDescent="0.25">
      <c r="A3" s="38" t="s">
        <v>241</v>
      </c>
      <c r="B3" s="5">
        <v>140</v>
      </c>
      <c r="C3" s="5">
        <v>68</v>
      </c>
      <c r="D3" s="5">
        <v>118</v>
      </c>
    </row>
    <row r="4" spans="1:4" x14ac:dyDescent="0.25">
      <c r="A4" s="23"/>
    </row>
    <row r="5" spans="1:4" x14ac:dyDescent="0.25">
      <c r="A5" s="6">
        <f t="array" ref="A5:C7">TRANSPOSE(A1:D3)</f>
        <v>0</v>
      </c>
      <c r="B5" s="6" t="str">
        <v>Day 1</v>
      </c>
      <c r="C5" s="6" t="str">
        <v>Day 2</v>
      </c>
    </row>
    <row r="6" spans="1:4" x14ac:dyDescent="0.25">
      <c r="A6" s="6" t="str">
        <v>Product 1</v>
      </c>
      <c r="B6" s="6">
        <v>151</v>
      </c>
      <c r="C6" s="6">
        <v>140</v>
      </c>
    </row>
    <row r="7" spans="1:4" x14ac:dyDescent="0.25">
      <c r="A7" s="6" t="str">
        <v>Product 2</v>
      </c>
      <c r="B7" s="6">
        <v>59</v>
      </c>
      <c r="C7" s="6">
        <v>68</v>
      </c>
    </row>
    <row r="9" spans="1:4" x14ac:dyDescent="0.25">
      <c r="A9" s="23" t="s">
        <v>266</v>
      </c>
    </row>
  </sheetData>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tabColor rgb="FF0000FF"/>
  </sheetPr>
  <dimension ref="A1:D9"/>
  <sheetViews>
    <sheetView zoomScale="145" zoomScaleNormal="145" workbookViewId="0">
      <selection activeCell="E3" sqref="E3"/>
    </sheetView>
  </sheetViews>
  <sheetFormatPr defaultRowHeight="15" x14ac:dyDescent="0.25"/>
  <sheetData>
    <row r="1" spans="1:4" x14ac:dyDescent="0.25">
      <c r="A1" s="5"/>
      <c r="B1" s="38" t="s">
        <v>12</v>
      </c>
      <c r="C1" s="38" t="s">
        <v>13</v>
      </c>
      <c r="D1" s="38" t="s">
        <v>14</v>
      </c>
    </row>
    <row r="2" spans="1:4" x14ac:dyDescent="0.25">
      <c r="A2" s="38" t="s">
        <v>240</v>
      </c>
      <c r="B2" s="5">
        <v>151</v>
      </c>
      <c r="C2" s="5">
        <v>59</v>
      </c>
      <c r="D2" s="5">
        <v>168</v>
      </c>
    </row>
    <row r="3" spans="1:4" x14ac:dyDescent="0.25">
      <c r="A3" s="38" t="s">
        <v>241</v>
      </c>
      <c r="B3" s="5">
        <v>140</v>
      </c>
      <c r="C3" s="5">
        <v>68</v>
      </c>
      <c r="D3" s="5">
        <v>118</v>
      </c>
    </row>
    <row r="4" spans="1:4" x14ac:dyDescent="0.25">
      <c r="A4" s="23"/>
    </row>
    <row r="5" spans="1:4" x14ac:dyDescent="0.25">
      <c r="A5" s="6" t="str">
        <f t="array" ref="A5:C7">TRANSPOSE(IF(ISBLANK(A1:D3),"",A1:D3))</f>
        <v/>
      </c>
      <c r="B5" s="6" t="str">
        <v>Day 1</v>
      </c>
      <c r="C5" s="6" t="str">
        <v>Day 2</v>
      </c>
    </row>
    <row r="6" spans="1:4" x14ac:dyDescent="0.25">
      <c r="A6" s="6" t="str">
        <v>Product 1</v>
      </c>
      <c r="B6" s="6">
        <v>151</v>
      </c>
      <c r="C6" s="6">
        <v>140</v>
      </c>
    </row>
    <row r="7" spans="1:4" x14ac:dyDescent="0.25">
      <c r="A7" s="6" t="str">
        <v>Product 2</v>
      </c>
      <c r="B7" s="6">
        <v>59</v>
      </c>
      <c r="C7" s="6">
        <v>68</v>
      </c>
    </row>
    <row r="9" spans="1:4" x14ac:dyDescent="0.25">
      <c r="A9" s="23" t="s">
        <v>266</v>
      </c>
    </row>
  </sheetData>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tabColor rgb="FF0000FF"/>
  </sheetPr>
  <dimension ref="A1:K8"/>
  <sheetViews>
    <sheetView zoomScale="175" zoomScaleNormal="175" workbookViewId="0">
      <selection activeCell="E3" sqref="E3"/>
    </sheetView>
  </sheetViews>
  <sheetFormatPr defaultRowHeight="15" x14ac:dyDescent="0.25"/>
  <cols>
    <col min="1" max="1" width="12.42578125" bestFit="1" customWidth="1"/>
    <col min="2" max="2" width="3.140625" customWidth="1"/>
    <col min="3" max="3" width="14" customWidth="1"/>
    <col min="4" max="4" width="29.28515625" customWidth="1"/>
  </cols>
  <sheetData>
    <row r="1" spans="1:11" x14ac:dyDescent="0.25">
      <c r="A1" s="8" t="s">
        <v>268</v>
      </c>
      <c r="C1" s="72" t="s">
        <v>272</v>
      </c>
      <c r="D1" s="23" t="s">
        <v>269</v>
      </c>
      <c r="K1" t="s">
        <v>273</v>
      </c>
    </row>
    <row r="2" spans="1:11" x14ac:dyDescent="0.25">
      <c r="A2" s="75">
        <v>24</v>
      </c>
      <c r="C2" s="6">
        <f>MODE(A2:A8)</f>
        <v>24</v>
      </c>
      <c r="D2" t="s">
        <v>1542</v>
      </c>
      <c r="K2">
        <f ca="1">ROUND(CHOOSE(RANDBETWEEN(1,2),_xlfn.NORM.INV(RAND(),25,6),_xlfn.NORM.INV(RAND(),25,3)),1)</f>
        <v>27.2</v>
      </c>
    </row>
    <row r="3" spans="1:11" x14ac:dyDescent="0.25">
      <c r="A3" s="75">
        <v>22.7</v>
      </c>
    </row>
    <row r="4" spans="1:11" x14ac:dyDescent="0.25">
      <c r="A4" s="75">
        <v>24</v>
      </c>
      <c r="C4" s="72" t="s">
        <v>272</v>
      </c>
      <c r="D4" s="23" t="s">
        <v>270</v>
      </c>
    </row>
    <row r="5" spans="1:11" x14ac:dyDescent="0.25">
      <c r="A5" s="75">
        <v>19.899999999999999</v>
      </c>
      <c r="C5" s="6">
        <f>_xlfn.MODE.SNGL(A2:A8)</f>
        <v>24</v>
      </c>
      <c r="D5" t="s">
        <v>1543</v>
      </c>
    </row>
    <row r="6" spans="1:11" x14ac:dyDescent="0.25">
      <c r="A6" s="75">
        <v>27.4</v>
      </c>
    </row>
    <row r="7" spans="1:11" x14ac:dyDescent="0.25">
      <c r="A7" s="75">
        <v>21.2</v>
      </c>
    </row>
    <row r="8" spans="1:11" x14ac:dyDescent="0.25">
      <c r="A8" s="75">
        <v>24</v>
      </c>
    </row>
  </sheetData>
  <pageMargins left="0.7" right="0.7" top="0.75" bottom="0.75" header="0.3" footer="0.3"/>
  <pageSetup orientation="portrait"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tabColor rgb="FF0000FF"/>
  </sheetPr>
  <dimension ref="A1:D15"/>
  <sheetViews>
    <sheetView zoomScale="190" zoomScaleNormal="190" workbookViewId="0">
      <selection activeCell="E3" sqref="E3"/>
    </sheetView>
  </sheetViews>
  <sheetFormatPr defaultRowHeight="15" x14ac:dyDescent="0.25"/>
  <cols>
    <col min="1" max="1" width="12.42578125" bestFit="1" customWidth="1"/>
    <col min="2" max="2" width="3.140625" customWidth="1"/>
    <col min="3" max="3" width="14" customWidth="1"/>
    <col min="4" max="4" width="31.28515625" customWidth="1"/>
  </cols>
  <sheetData>
    <row r="1" spans="1:4" x14ac:dyDescent="0.25">
      <c r="A1" s="8" t="s">
        <v>268</v>
      </c>
      <c r="C1" s="72" t="s">
        <v>272</v>
      </c>
      <c r="D1" s="38" t="s">
        <v>269</v>
      </c>
    </row>
    <row r="2" spans="1:4" x14ac:dyDescent="0.25">
      <c r="A2" s="5">
        <v>24</v>
      </c>
      <c r="C2" s="6">
        <f>MODE(A2:A15)</f>
        <v>23.7</v>
      </c>
      <c r="D2" t="s">
        <v>1544</v>
      </c>
    </row>
    <row r="3" spans="1:4" x14ac:dyDescent="0.25">
      <c r="A3" s="73">
        <v>23.7</v>
      </c>
      <c r="D3" s="38" t="s">
        <v>270</v>
      </c>
    </row>
    <row r="4" spans="1:4" x14ac:dyDescent="0.25">
      <c r="A4" s="74">
        <v>25.3</v>
      </c>
      <c r="C4" s="6">
        <f>_xlfn.MODE.SNGL(A2:A15)</f>
        <v>23.7</v>
      </c>
      <c r="D4" t="s">
        <v>1545</v>
      </c>
    </row>
    <row r="5" spans="1:4" x14ac:dyDescent="0.25">
      <c r="A5" s="5">
        <v>19.899999999999999</v>
      </c>
    </row>
    <row r="6" spans="1:4" x14ac:dyDescent="0.25">
      <c r="A6" s="5">
        <v>27.4</v>
      </c>
      <c r="C6" s="72" t="s">
        <v>271</v>
      </c>
      <c r="D6" s="38" t="s">
        <v>270</v>
      </c>
    </row>
    <row r="7" spans="1:4" x14ac:dyDescent="0.25">
      <c r="A7" s="73">
        <v>23.7</v>
      </c>
      <c r="C7" s="6">
        <f t="array" ref="C7:C8">_xlfn.MODE.MULT(A2:A15)</f>
        <v>23.7</v>
      </c>
      <c r="D7" t="s">
        <v>1546</v>
      </c>
    </row>
    <row r="8" spans="1:4" x14ac:dyDescent="0.25">
      <c r="A8" s="5">
        <v>26.1</v>
      </c>
      <c r="C8" s="6">
        <v>25.3</v>
      </c>
      <c r="D8" t="s">
        <v>1546</v>
      </c>
    </row>
    <row r="9" spans="1:4" x14ac:dyDescent="0.25">
      <c r="A9" s="5">
        <v>18.2</v>
      </c>
    </row>
    <row r="10" spans="1:4" x14ac:dyDescent="0.25">
      <c r="A10" s="5">
        <v>18.2</v>
      </c>
    </row>
    <row r="11" spans="1:4" x14ac:dyDescent="0.25">
      <c r="A11" s="73">
        <v>23.7</v>
      </c>
    </row>
    <row r="12" spans="1:4" x14ac:dyDescent="0.25">
      <c r="A12" s="5">
        <v>27.6</v>
      </c>
    </row>
    <row r="13" spans="1:4" x14ac:dyDescent="0.25">
      <c r="A13" s="74">
        <v>25.3</v>
      </c>
    </row>
    <row r="14" spans="1:4" x14ac:dyDescent="0.25">
      <c r="A14" s="5">
        <v>30.4</v>
      </c>
    </row>
    <row r="15" spans="1:4" x14ac:dyDescent="0.25">
      <c r="A15" s="74">
        <v>25.3</v>
      </c>
    </row>
  </sheetData>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tabColor rgb="FF0000FF"/>
  </sheetPr>
  <dimension ref="A1:D15"/>
  <sheetViews>
    <sheetView zoomScale="175" zoomScaleNormal="175" workbookViewId="0">
      <selection activeCell="E3" sqref="E3"/>
    </sheetView>
  </sheetViews>
  <sheetFormatPr defaultRowHeight="15" x14ac:dyDescent="0.25"/>
  <cols>
    <col min="1" max="1" width="12.42578125" bestFit="1" customWidth="1"/>
    <col min="2" max="2" width="3.140625" customWidth="1"/>
    <col min="3" max="3" width="14" customWidth="1"/>
    <col min="4" max="4" width="31.42578125" customWidth="1"/>
  </cols>
  <sheetData>
    <row r="1" spans="1:4" x14ac:dyDescent="0.25">
      <c r="A1" s="8" t="s">
        <v>268</v>
      </c>
      <c r="C1" s="72" t="s">
        <v>272</v>
      </c>
      <c r="D1" s="38" t="s">
        <v>269</v>
      </c>
    </row>
    <row r="2" spans="1:4" x14ac:dyDescent="0.25">
      <c r="A2" s="5">
        <v>24</v>
      </c>
      <c r="C2" s="6">
        <f>MODE(A2:A15)</f>
        <v>23.7</v>
      </c>
      <c r="D2" t="s">
        <v>1544</v>
      </c>
    </row>
    <row r="3" spans="1:4" x14ac:dyDescent="0.25">
      <c r="A3" s="73">
        <v>23.7</v>
      </c>
      <c r="D3" s="38" t="s">
        <v>270</v>
      </c>
    </row>
    <row r="4" spans="1:4" x14ac:dyDescent="0.25">
      <c r="A4" s="74">
        <v>25.3</v>
      </c>
      <c r="C4" s="6">
        <f>_xlfn.MODE.SNGL(A2:A15)</f>
        <v>23.7</v>
      </c>
      <c r="D4" t="s">
        <v>1545</v>
      </c>
    </row>
    <row r="5" spans="1:4" x14ac:dyDescent="0.25">
      <c r="A5" s="5">
        <v>19.899999999999999</v>
      </c>
    </row>
    <row r="6" spans="1:4" x14ac:dyDescent="0.25">
      <c r="A6" s="5">
        <v>27.4</v>
      </c>
      <c r="C6" s="72" t="s">
        <v>271</v>
      </c>
    </row>
    <row r="7" spans="1:4" x14ac:dyDescent="0.25">
      <c r="A7" s="73">
        <v>23.7</v>
      </c>
      <c r="C7" s="6">
        <f t="array" ref="C7:C11">_xlfn.MODE.MULT(A2:A15)</f>
        <v>23.7</v>
      </c>
      <c r="D7" t="s">
        <v>1546</v>
      </c>
    </row>
    <row r="8" spans="1:4" x14ac:dyDescent="0.25">
      <c r="A8" s="5">
        <v>26.1</v>
      </c>
      <c r="C8" s="6">
        <v>25.3</v>
      </c>
      <c r="D8" t="s">
        <v>1546</v>
      </c>
    </row>
    <row r="9" spans="1:4" x14ac:dyDescent="0.25">
      <c r="A9" s="5">
        <v>18.2</v>
      </c>
      <c r="C9" s="6" t="e">
        <v>#N/A</v>
      </c>
      <c r="D9" t="s">
        <v>1546</v>
      </c>
    </row>
    <row r="10" spans="1:4" x14ac:dyDescent="0.25">
      <c r="A10" s="5">
        <v>18.2</v>
      </c>
      <c r="C10" s="6" t="e">
        <v>#N/A</v>
      </c>
      <c r="D10" t="s">
        <v>1546</v>
      </c>
    </row>
    <row r="11" spans="1:4" x14ac:dyDescent="0.25">
      <c r="A11" s="73">
        <v>23.7</v>
      </c>
      <c r="C11" s="6" t="e">
        <v>#N/A</v>
      </c>
      <c r="D11" t="s">
        <v>1546</v>
      </c>
    </row>
    <row r="12" spans="1:4" x14ac:dyDescent="0.25">
      <c r="A12" s="5">
        <v>27.6</v>
      </c>
    </row>
    <row r="13" spans="1:4" x14ac:dyDescent="0.25">
      <c r="A13" s="74">
        <v>25.3</v>
      </c>
    </row>
    <row r="14" spans="1:4" x14ac:dyDescent="0.25">
      <c r="A14" s="5">
        <v>30.4</v>
      </c>
    </row>
    <row r="15" spans="1:4" x14ac:dyDescent="0.25">
      <c r="A15" s="74">
        <v>25.3</v>
      </c>
    </row>
  </sheetData>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tabColor rgb="FF0000FF"/>
  </sheetPr>
  <dimension ref="A1:D15"/>
  <sheetViews>
    <sheetView zoomScale="175" zoomScaleNormal="175" workbookViewId="0">
      <selection activeCell="E3" sqref="E3"/>
    </sheetView>
  </sheetViews>
  <sheetFormatPr defaultRowHeight="15" x14ac:dyDescent="0.25"/>
  <cols>
    <col min="1" max="1" width="12.42578125" bestFit="1" customWidth="1"/>
    <col min="2" max="2" width="3.140625" customWidth="1"/>
    <col min="3" max="3" width="14" customWidth="1"/>
    <col min="4" max="4" width="32.140625" bestFit="1" customWidth="1"/>
  </cols>
  <sheetData>
    <row r="1" spans="1:4" x14ac:dyDescent="0.25">
      <c r="A1" s="8" t="s">
        <v>268</v>
      </c>
      <c r="C1" s="72" t="s">
        <v>271</v>
      </c>
    </row>
    <row r="2" spans="1:4" x14ac:dyDescent="0.25">
      <c r="A2" s="5">
        <v>24</v>
      </c>
      <c r="C2" s="6">
        <f t="array" ref="C2:C6">_xlfn.MODE.MULT(A2:A15)</f>
        <v>23.7</v>
      </c>
      <c r="D2" t="s">
        <v>1546</v>
      </c>
    </row>
    <row r="3" spans="1:4" x14ac:dyDescent="0.25">
      <c r="A3" s="73">
        <v>23.7</v>
      </c>
      <c r="C3" s="6">
        <v>23.7</v>
      </c>
      <c r="D3" t="s">
        <v>1546</v>
      </c>
    </row>
    <row r="4" spans="1:4" x14ac:dyDescent="0.25">
      <c r="A4" s="73">
        <v>23.7</v>
      </c>
      <c r="C4" s="6">
        <v>23.7</v>
      </c>
      <c r="D4" t="s">
        <v>1546</v>
      </c>
    </row>
    <row r="5" spans="1:4" x14ac:dyDescent="0.25">
      <c r="A5" s="5">
        <v>19.899999999999999</v>
      </c>
      <c r="C5" s="6">
        <v>23.7</v>
      </c>
      <c r="D5" t="s">
        <v>1546</v>
      </c>
    </row>
    <row r="6" spans="1:4" x14ac:dyDescent="0.25">
      <c r="A6" s="5">
        <v>27.4</v>
      </c>
      <c r="C6" s="6">
        <v>23.7</v>
      </c>
      <c r="D6" t="s">
        <v>1546</v>
      </c>
    </row>
    <row r="7" spans="1:4" x14ac:dyDescent="0.25">
      <c r="A7" s="73">
        <v>23.7</v>
      </c>
    </row>
    <row r="8" spans="1:4" x14ac:dyDescent="0.25">
      <c r="A8" s="5">
        <v>26.1</v>
      </c>
    </row>
    <row r="9" spans="1:4" x14ac:dyDescent="0.25">
      <c r="A9" s="5">
        <v>18.2</v>
      </c>
    </row>
    <row r="10" spans="1:4" x14ac:dyDescent="0.25">
      <c r="A10" s="5">
        <v>18.2</v>
      </c>
    </row>
    <row r="11" spans="1:4" x14ac:dyDescent="0.25">
      <c r="A11" s="73">
        <v>23.7</v>
      </c>
    </row>
    <row r="12" spans="1:4" x14ac:dyDescent="0.25">
      <c r="A12" s="5">
        <v>27.6</v>
      </c>
    </row>
    <row r="13" spans="1:4" x14ac:dyDescent="0.25">
      <c r="A13" s="74">
        <v>25.3</v>
      </c>
    </row>
    <row r="14" spans="1:4" x14ac:dyDescent="0.25">
      <c r="A14" s="5">
        <v>30.4</v>
      </c>
    </row>
    <row r="15" spans="1:4" x14ac:dyDescent="0.25">
      <c r="A15" s="74">
        <v>25.3</v>
      </c>
    </row>
  </sheetData>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tabColor rgb="FF0000FF"/>
  </sheetPr>
  <dimension ref="A1:K35"/>
  <sheetViews>
    <sheetView zoomScale="115" zoomScaleNormal="115" workbookViewId="0">
      <selection activeCell="E3" sqref="E3"/>
    </sheetView>
  </sheetViews>
  <sheetFormatPr defaultRowHeight="15" x14ac:dyDescent="0.25"/>
  <cols>
    <col min="1" max="1" width="7.28515625" customWidth="1"/>
    <col min="2" max="2" width="3.140625" customWidth="1"/>
    <col min="3" max="3" width="9.5703125" customWidth="1"/>
    <col min="4" max="4" width="79.85546875" customWidth="1"/>
  </cols>
  <sheetData>
    <row r="1" spans="1:4" ht="30" x14ac:dyDescent="0.25">
      <c r="A1" s="28" t="s">
        <v>268</v>
      </c>
      <c r="C1" s="76" t="s">
        <v>274</v>
      </c>
    </row>
    <row r="2" spans="1:4" x14ac:dyDescent="0.25">
      <c r="A2" s="73">
        <v>24</v>
      </c>
      <c r="C2" s="6">
        <f>COUNT(_xlfn.MODE.MULT(A2:A10))</f>
        <v>3</v>
      </c>
      <c r="D2" t="s">
        <v>1547</v>
      </c>
    </row>
    <row r="3" spans="1:4" x14ac:dyDescent="0.25">
      <c r="A3" s="5">
        <v>19</v>
      </c>
      <c r="C3" s="76" t="s">
        <v>271</v>
      </c>
    </row>
    <row r="4" spans="1:4" x14ac:dyDescent="0.25">
      <c r="A4" s="38">
        <v>23.7</v>
      </c>
      <c r="C4" s="6">
        <f>IF(ROWS(C$4:C4)&gt;$C$2,"",INDEX(_xlfn.MODE.MULT($A$2:$A$10),ROWS(C$4:C4)))</f>
        <v>24</v>
      </c>
      <c r="D4" t="s">
        <v>1548</v>
      </c>
    </row>
    <row r="5" spans="1:4" x14ac:dyDescent="0.25">
      <c r="A5" s="77">
        <v>25.3</v>
      </c>
      <c r="C5" s="6">
        <f>IF(ROWS(C$4:C5)&gt;$C$2,"",INDEX(_xlfn.MODE.MULT($A$2:$A$10),ROWS(C$4:C5)))</f>
        <v>23.7</v>
      </c>
    </row>
    <row r="6" spans="1:4" x14ac:dyDescent="0.25">
      <c r="A6" s="73">
        <v>24</v>
      </c>
      <c r="C6" s="6">
        <f>IF(ROWS(C$4:C6)&gt;$C$2,"",INDEX(_xlfn.MODE.MULT($A$2:$A$10),ROWS(C$4:C6)))</f>
        <v>25.3</v>
      </c>
    </row>
    <row r="7" spans="1:4" x14ac:dyDescent="0.25">
      <c r="A7" s="38">
        <v>23.7</v>
      </c>
      <c r="C7" s="6" t="str">
        <f>IF(ROWS(C$4:C7)&gt;$C$2,"",INDEX(_xlfn.MODE.MULT($A$2:$A$10),ROWS(C$4:C7)))</f>
        <v/>
      </c>
    </row>
    <row r="8" spans="1:4" x14ac:dyDescent="0.25">
      <c r="A8" s="5">
        <v>21.4</v>
      </c>
      <c r="C8" s="6" t="str">
        <f>IF(ROWS(C$4:C8)&gt;$C$2,"",INDEX(_xlfn.MODE.MULT($A$2:$A$10),ROWS(C$4:C8)))</f>
        <v/>
      </c>
    </row>
    <row r="9" spans="1:4" x14ac:dyDescent="0.25">
      <c r="A9" s="77">
        <v>25.3</v>
      </c>
    </row>
    <row r="10" spans="1:4" x14ac:dyDescent="0.25">
      <c r="A10" s="5">
        <v>18.2</v>
      </c>
    </row>
    <row r="11" spans="1:4" x14ac:dyDescent="0.25">
      <c r="A11" s="50"/>
    </row>
    <row r="12" spans="1:4" x14ac:dyDescent="0.25">
      <c r="A12" s="50"/>
    </row>
    <row r="13" spans="1:4" x14ac:dyDescent="0.25">
      <c r="A13" s="50"/>
    </row>
    <row r="14" spans="1:4" ht="21" x14ac:dyDescent="0.35">
      <c r="A14" s="78" t="s">
        <v>278</v>
      </c>
    </row>
    <row r="16" spans="1:4" x14ac:dyDescent="0.25">
      <c r="C16" s="72" t="s">
        <v>275</v>
      </c>
    </row>
    <row r="17" spans="1:11" x14ac:dyDescent="0.25">
      <c r="C17" s="6">
        <f>MIN(_xlfn.MODE.MULT($A$2:$A$10))</f>
        <v>23.7</v>
      </c>
      <c r="D17" t="s">
        <v>1549</v>
      </c>
    </row>
    <row r="18" spans="1:11" x14ac:dyDescent="0.25">
      <c r="C18" s="72" t="s">
        <v>276</v>
      </c>
      <c r="F18">
        <v>1</v>
      </c>
      <c r="G18">
        <v>22</v>
      </c>
      <c r="H18">
        <v>5</v>
      </c>
    </row>
    <row r="19" spans="1:11" x14ac:dyDescent="0.25">
      <c r="C19" s="6">
        <f>MAX(_xlfn.MODE.MULT($A$2:$A$10))</f>
        <v>25.3</v>
      </c>
      <c r="D19" t="s">
        <v>1550</v>
      </c>
      <c r="F19">
        <v>3</v>
      </c>
      <c r="G19">
        <v>24</v>
      </c>
      <c r="H19">
        <v>6</v>
      </c>
    </row>
    <row r="20" spans="1:11" x14ac:dyDescent="0.25">
      <c r="A20">
        <v>25</v>
      </c>
      <c r="C20" s="6" t="b">
        <f>OR(_xlfn.MODE.MULT($A$2:$A$10)=A20)</f>
        <v>0</v>
      </c>
      <c r="D20" t="s">
        <v>1551</v>
      </c>
      <c r="F20">
        <v>6</v>
      </c>
      <c r="G20">
        <v>31</v>
      </c>
      <c r="H20">
        <v>7</v>
      </c>
    </row>
    <row r="21" spans="1:11" x14ac:dyDescent="0.25">
      <c r="C21" s="6">
        <f>VLOOKUP(C19,_xlfn.MODE.MULT($A$2:$A$10),1,0)</f>
        <v>25.3</v>
      </c>
      <c r="D21" t="s">
        <v>1552</v>
      </c>
      <c r="F21">
        <v>8</v>
      </c>
      <c r="G21">
        <v>35</v>
      </c>
      <c r="H21">
        <v>8</v>
      </c>
    </row>
    <row r="22" spans="1:11" x14ac:dyDescent="0.25">
      <c r="C22" s="6">
        <f>SUM(_xlfn.MODE.MULT($A$2:$A$10))</f>
        <v>73</v>
      </c>
      <c r="D22" t="s">
        <v>1553</v>
      </c>
    </row>
    <row r="23" spans="1:11" x14ac:dyDescent="0.25">
      <c r="C23" s="6">
        <f>SUM(FREQUENCY(F18:F21,H18:H21))</f>
        <v>4</v>
      </c>
      <c r="D23" t="s">
        <v>1554</v>
      </c>
    </row>
    <row r="24" spans="1:11" x14ac:dyDescent="0.25">
      <c r="C24" s="6">
        <f>SUM(TREND(F18:F21,G18:G21,H18:H21))</f>
        <v>-25.781818181818185</v>
      </c>
      <c r="D24" t="s">
        <v>1555</v>
      </c>
    </row>
    <row r="25" spans="1:11" x14ac:dyDescent="0.25">
      <c r="C25" s="6">
        <f>COUNT(TRANSPOSE(F18:H21))</f>
        <v>0</v>
      </c>
      <c r="D25" t="s">
        <v>1556</v>
      </c>
    </row>
    <row r="26" spans="1:11" x14ac:dyDescent="0.25">
      <c r="C26" s="6">
        <f>COUNT(MMULT(F27:G28,I27:K28))</f>
        <v>6</v>
      </c>
      <c r="D26" t="s">
        <v>1557</v>
      </c>
    </row>
    <row r="27" spans="1:11" x14ac:dyDescent="0.25">
      <c r="C27" s="6">
        <f>AVERAGE(MMULT(F27:G28,I27:K28))</f>
        <v>12</v>
      </c>
      <c r="D27" t="s">
        <v>1558</v>
      </c>
      <c r="F27">
        <v>1</v>
      </c>
      <c r="G27">
        <v>2</v>
      </c>
      <c r="I27">
        <v>3</v>
      </c>
      <c r="J27">
        <v>2</v>
      </c>
      <c r="K27">
        <v>4</v>
      </c>
    </row>
    <row r="28" spans="1:11" x14ac:dyDescent="0.25">
      <c r="C28" s="6">
        <f>COUNT(MINVERSE(F27:G28))</f>
        <v>4</v>
      </c>
      <c r="D28" t="s">
        <v>1559</v>
      </c>
      <c r="F28">
        <v>5</v>
      </c>
      <c r="G28">
        <v>1</v>
      </c>
      <c r="I28">
        <v>1</v>
      </c>
      <c r="J28">
        <v>4</v>
      </c>
      <c r="K28">
        <v>1</v>
      </c>
    </row>
    <row r="29" spans="1:11" x14ac:dyDescent="0.25">
      <c r="C29" s="6">
        <f>COUNT(MINVERSE(F27:G28))</f>
        <v>4</v>
      </c>
      <c r="D29" t="s">
        <v>1559</v>
      </c>
    </row>
    <row r="30" spans="1:11" x14ac:dyDescent="0.25">
      <c r="C30" s="6">
        <f>COUNT(_xlfn.MUNIT(3))</f>
        <v>9</v>
      </c>
      <c r="D30" t="s">
        <v>1560</v>
      </c>
    </row>
    <row r="31" spans="1:11" x14ac:dyDescent="0.25">
      <c r="C31" s="6">
        <f>COUNT(LINEST(F18:F21,G18:G21))</f>
        <v>2</v>
      </c>
      <c r="D31" t="s">
        <v>1561</v>
      </c>
      <c r="G31" s="5">
        <f t="array" ref="G31:I32">MMULT(F27:G28,I27:K28)</f>
        <v>5</v>
      </c>
      <c r="H31" s="5">
        <v>10</v>
      </c>
      <c r="I31" s="5">
        <v>6</v>
      </c>
    </row>
    <row r="32" spans="1:11" x14ac:dyDescent="0.25">
      <c r="C32" t="s">
        <v>277</v>
      </c>
      <c r="G32" s="5">
        <v>16</v>
      </c>
      <c r="H32" s="5">
        <v>14</v>
      </c>
      <c r="I32" s="5">
        <v>21</v>
      </c>
    </row>
    <row r="33" spans="1:9" ht="15.75" x14ac:dyDescent="0.25">
      <c r="A33" s="79" t="s">
        <v>279</v>
      </c>
    </row>
    <row r="34" spans="1:9" x14ac:dyDescent="0.25">
      <c r="G34" s="5">
        <f>F27*I27+G27*I28</f>
        <v>5</v>
      </c>
      <c r="H34" s="5">
        <f>F27*J27+G27*J28</f>
        <v>10</v>
      </c>
      <c r="I34" s="5">
        <f>F27*K27+G27*K28</f>
        <v>6</v>
      </c>
    </row>
    <row r="35" spans="1:9" x14ac:dyDescent="0.25">
      <c r="G35" s="5">
        <f>F28*I27+G28*I28</f>
        <v>16</v>
      </c>
      <c r="H35" s="5">
        <f>F28*J27+G28*J28</f>
        <v>14</v>
      </c>
      <c r="I35" s="5">
        <f>F28*K27+G28*K28</f>
        <v>21</v>
      </c>
    </row>
  </sheetData>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tabColor rgb="FF0000FF"/>
  </sheetPr>
  <dimension ref="A1:D10"/>
  <sheetViews>
    <sheetView zoomScale="145" zoomScaleNormal="145" workbookViewId="0">
      <selection activeCell="E3" sqref="E3"/>
    </sheetView>
  </sheetViews>
  <sheetFormatPr defaultRowHeight="15" x14ac:dyDescent="0.25"/>
  <cols>
    <col min="1" max="1" width="12.42578125" bestFit="1" customWidth="1"/>
    <col min="2" max="2" width="3.140625" customWidth="1"/>
    <col min="3" max="3" width="9" bestFit="1" customWidth="1"/>
    <col min="4" max="4" width="66.5703125" bestFit="1" customWidth="1"/>
  </cols>
  <sheetData>
    <row r="1" spans="1:4" x14ac:dyDescent="0.25">
      <c r="A1" s="28" t="s">
        <v>268</v>
      </c>
      <c r="C1" s="72" t="s">
        <v>271</v>
      </c>
    </row>
    <row r="2" spans="1:4" x14ac:dyDescent="0.25">
      <c r="A2" s="73">
        <v>24</v>
      </c>
      <c r="C2" s="6">
        <f>IFERROR(INDEX(_xlfn.MODE.MULT($A$2:$A$10),ROWS(C$2:C2)),"")</f>
        <v>24</v>
      </c>
      <c r="D2" t="s">
        <v>1562</v>
      </c>
    </row>
    <row r="3" spans="1:4" x14ac:dyDescent="0.25">
      <c r="A3" s="5">
        <v>19</v>
      </c>
      <c r="C3" s="6">
        <f>IFERROR(INDEX(_xlfn.MODE.MULT($A$2:$A$10),ROWS(C$2:C3)),"")</f>
        <v>23.7</v>
      </c>
    </row>
    <row r="4" spans="1:4" x14ac:dyDescent="0.25">
      <c r="A4" s="38">
        <v>23.7</v>
      </c>
      <c r="C4" s="6">
        <f>IFERROR(INDEX(_xlfn.MODE.MULT($A$2:$A$10),ROWS(C$2:C4)),"")</f>
        <v>25.3</v>
      </c>
    </row>
    <row r="5" spans="1:4" x14ac:dyDescent="0.25">
      <c r="A5" s="77">
        <v>25.3</v>
      </c>
      <c r="C5" s="6" t="str">
        <f>IFERROR(INDEX(_xlfn.MODE.MULT($A$2:$A$10),ROWS(C$2:C5)),"")</f>
        <v/>
      </c>
    </row>
    <row r="6" spans="1:4" x14ac:dyDescent="0.25">
      <c r="A6" s="73">
        <v>24</v>
      </c>
      <c r="C6" s="6" t="str">
        <f>IFERROR(INDEX(_xlfn.MODE.MULT($A$2:$A$10),ROWS(C$2:C6)),"")</f>
        <v/>
      </c>
    </row>
    <row r="7" spans="1:4" x14ac:dyDescent="0.25">
      <c r="A7" s="38">
        <v>23.7</v>
      </c>
    </row>
    <row r="8" spans="1:4" x14ac:dyDescent="0.25">
      <c r="A8" s="5">
        <v>21.4</v>
      </c>
    </row>
    <row r="9" spans="1:4" x14ac:dyDescent="0.25">
      <c r="A9" s="77">
        <v>25.3</v>
      </c>
    </row>
    <row r="10" spans="1:4" x14ac:dyDescent="0.25">
      <c r="A10" s="5">
        <v>18.2</v>
      </c>
    </row>
  </sheetData>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tabColor rgb="FF0000FF"/>
  </sheetPr>
  <dimension ref="A1:C12"/>
  <sheetViews>
    <sheetView zoomScale="145" zoomScaleNormal="145" workbookViewId="0">
      <selection activeCell="E3" sqref="E3"/>
    </sheetView>
  </sheetViews>
  <sheetFormatPr defaultRowHeight="15" x14ac:dyDescent="0.25"/>
  <cols>
    <col min="2" max="2" width="13" customWidth="1"/>
    <col min="3" max="3" width="51.28515625" customWidth="1"/>
  </cols>
  <sheetData>
    <row r="1" spans="1:3" x14ac:dyDescent="0.25">
      <c r="A1" s="23" t="s">
        <v>280</v>
      </c>
    </row>
    <row r="2" spans="1:3" x14ac:dyDescent="0.25">
      <c r="A2" s="8" t="s">
        <v>222</v>
      </c>
      <c r="B2" s="8" t="s">
        <v>281</v>
      </c>
    </row>
    <row r="3" spans="1:3" x14ac:dyDescent="0.25">
      <c r="A3" s="5" t="s">
        <v>258</v>
      </c>
      <c r="B3" s="6">
        <f>IFERROR(VLOOKUP(A3,$A$10:$B$12,2),"")</f>
        <v>1.4999999999999999E-2</v>
      </c>
      <c r="C3" t="s">
        <v>1563</v>
      </c>
    </row>
    <row r="4" spans="1:3" ht="6" customHeight="1" x14ac:dyDescent="0.25"/>
    <row r="5" spans="1:3" x14ac:dyDescent="0.25">
      <c r="A5" s="23" t="s">
        <v>282</v>
      </c>
    </row>
    <row r="6" spans="1:3" x14ac:dyDescent="0.25">
      <c r="A6" s="8" t="s">
        <v>222</v>
      </c>
      <c r="B6" s="8" t="s">
        <v>281</v>
      </c>
    </row>
    <row r="7" spans="1:3" ht="30" x14ac:dyDescent="0.25">
      <c r="A7" s="5" t="s">
        <v>283</v>
      </c>
      <c r="B7" s="6" t="str">
        <f>IF(ISERROR(VLOOKUP(A7,$A$10:$B$12,2)),"Not In Table",VLOOKUP(A7,$A$10:$B$12,2))</f>
        <v>Not In Table</v>
      </c>
      <c r="C7" s="40" t="s">
        <v>1564</v>
      </c>
    </row>
    <row r="8" spans="1:3" ht="6" customHeight="1" x14ac:dyDescent="0.25"/>
    <row r="9" spans="1:3" x14ac:dyDescent="0.25">
      <c r="A9" s="8" t="s">
        <v>222</v>
      </c>
      <c r="B9" s="8" t="s">
        <v>281</v>
      </c>
    </row>
    <row r="10" spans="1:3" x14ac:dyDescent="0.25">
      <c r="A10" s="14" t="s">
        <v>258</v>
      </c>
      <c r="B10" s="5">
        <v>1.4999999999999999E-2</v>
      </c>
    </row>
    <row r="11" spans="1:3" x14ac:dyDescent="0.25">
      <c r="A11" s="14" t="s">
        <v>284</v>
      </c>
      <c r="B11" s="5">
        <v>1.7500000000000002E-2</v>
      </c>
    </row>
    <row r="12" spans="1:3" x14ac:dyDescent="0.25">
      <c r="A12" s="14" t="s">
        <v>39</v>
      </c>
      <c r="B12" s="5">
        <v>1.9E-2</v>
      </c>
    </row>
  </sheetData>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tabColor rgb="FF0000FF"/>
  </sheetPr>
  <dimension ref="A1:D18"/>
  <sheetViews>
    <sheetView zoomScale="115" zoomScaleNormal="115" workbookViewId="0">
      <selection activeCell="E3" sqref="E3"/>
    </sheetView>
  </sheetViews>
  <sheetFormatPr defaultRowHeight="15" x14ac:dyDescent="0.25"/>
  <cols>
    <col min="3" max="3" width="11.28515625" customWidth="1"/>
    <col min="4" max="4" width="14.28515625" bestFit="1" customWidth="1"/>
  </cols>
  <sheetData>
    <row r="1" spans="1:4" x14ac:dyDescent="0.25">
      <c r="A1" s="8" t="s">
        <v>285</v>
      </c>
      <c r="C1" s="33" t="s">
        <v>285</v>
      </c>
      <c r="D1" t="s">
        <v>286</v>
      </c>
    </row>
    <row r="2" spans="1:4" x14ac:dyDescent="0.25">
      <c r="A2" s="5">
        <v>18</v>
      </c>
      <c r="C2">
        <v>16</v>
      </c>
      <c r="D2" s="34">
        <v>2</v>
      </c>
    </row>
    <row r="3" spans="1:4" x14ac:dyDescent="0.25">
      <c r="A3" s="73">
        <v>23</v>
      </c>
      <c r="C3">
        <v>18</v>
      </c>
      <c r="D3" s="34">
        <v>1</v>
      </c>
    </row>
    <row r="4" spans="1:4" x14ac:dyDescent="0.25">
      <c r="A4" s="5">
        <v>16</v>
      </c>
      <c r="C4">
        <v>19</v>
      </c>
      <c r="D4" s="34">
        <v>1</v>
      </c>
    </row>
    <row r="5" spans="1:4" x14ac:dyDescent="0.25">
      <c r="A5" s="73">
        <v>23</v>
      </c>
      <c r="C5">
        <v>22</v>
      </c>
      <c r="D5" s="34">
        <v>1</v>
      </c>
    </row>
    <row r="6" spans="1:4" x14ac:dyDescent="0.25">
      <c r="A6" s="5">
        <v>22</v>
      </c>
      <c r="C6" s="80">
        <v>23</v>
      </c>
      <c r="D6" s="81">
        <v>3</v>
      </c>
    </row>
    <row r="7" spans="1:4" x14ac:dyDescent="0.25">
      <c r="A7" s="5">
        <v>25</v>
      </c>
      <c r="C7">
        <v>24</v>
      </c>
      <c r="D7" s="34">
        <v>1</v>
      </c>
    </row>
    <row r="8" spans="1:4" x14ac:dyDescent="0.25">
      <c r="A8" s="5">
        <v>24</v>
      </c>
      <c r="C8">
        <v>25</v>
      </c>
      <c r="D8" s="34">
        <v>2</v>
      </c>
    </row>
    <row r="9" spans="1:4" x14ac:dyDescent="0.25">
      <c r="A9" s="77">
        <v>28</v>
      </c>
      <c r="C9" s="82">
        <v>28</v>
      </c>
      <c r="D9" s="83">
        <v>3</v>
      </c>
    </row>
    <row r="10" spans="1:4" x14ac:dyDescent="0.25">
      <c r="A10" s="5">
        <v>16</v>
      </c>
      <c r="C10">
        <v>31</v>
      </c>
      <c r="D10" s="34">
        <v>2</v>
      </c>
    </row>
    <row r="11" spans="1:4" x14ac:dyDescent="0.25">
      <c r="A11" s="77">
        <v>28</v>
      </c>
      <c r="C11">
        <v>36</v>
      </c>
      <c r="D11" s="34">
        <v>1</v>
      </c>
    </row>
    <row r="12" spans="1:4" x14ac:dyDescent="0.25">
      <c r="A12" s="77">
        <v>28</v>
      </c>
      <c r="C12" t="s">
        <v>89</v>
      </c>
      <c r="D12" s="34">
        <v>17</v>
      </c>
    </row>
    <row r="13" spans="1:4" x14ac:dyDescent="0.25">
      <c r="A13" s="5">
        <v>31</v>
      </c>
    </row>
    <row r="14" spans="1:4" x14ac:dyDescent="0.25">
      <c r="A14" s="73">
        <v>23</v>
      </c>
    </row>
    <row r="15" spans="1:4" x14ac:dyDescent="0.25">
      <c r="A15" s="5">
        <v>31</v>
      </c>
    </row>
    <row r="16" spans="1:4" x14ac:dyDescent="0.25">
      <c r="A16" s="5">
        <v>25</v>
      </c>
    </row>
    <row r="17" spans="1:1" x14ac:dyDescent="0.25">
      <c r="A17" s="5">
        <v>19</v>
      </c>
    </row>
    <row r="18" spans="1:1" x14ac:dyDescent="0.25">
      <c r="A18" s="5">
        <v>36</v>
      </c>
    </row>
  </sheetData>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tabColor rgb="FF0000FF"/>
  </sheetPr>
  <dimension ref="A1:F13"/>
  <sheetViews>
    <sheetView zoomScale="115" zoomScaleNormal="115" workbookViewId="0">
      <selection activeCell="E3" sqref="E3"/>
    </sheetView>
  </sheetViews>
  <sheetFormatPr defaultRowHeight="15" x14ac:dyDescent="0.25"/>
  <cols>
    <col min="1" max="1" width="11.85546875" customWidth="1"/>
    <col min="2" max="2" width="12.140625" customWidth="1"/>
    <col min="3" max="3" width="1.28515625" customWidth="1"/>
    <col min="4" max="4" width="13.5703125" customWidth="1"/>
    <col min="5" max="5" width="16.42578125" customWidth="1"/>
    <col min="6" max="6" width="28.42578125" customWidth="1"/>
    <col min="7" max="7" width="11.28515625" customWidth="1"/>
  </cols>
  <sheetData>
    <row r="1" spans="1:6" ht="30" x14ac:dyDescent="0.25">
      <c r="A1" s="51" t="s">
        <v>287</v>
      </c>
      <c r="B1" s="47"/>
      <c r="D1" s="73" t="s">
        <v>288</v>
      </c>
      <c r="E1" s="84" t="s">
        <v>292</v>
      </c>
    </row>
    <row r="2" spans="1:6" ht="45" x14ac:dyDescent="0.25">
      <c r="A2" s="28" t="s">
        <v>289</v>
      </c>
      <c r="B2" s="28" t="s">
        <v>291</v>
      </c>
      <c r="D2" s="28" t="s">
        <v>294</v>
      </c>
      <c r="E2" s="28" t="s">
        <v>295</v>
      </c>
    </row>
    <row r="3" spans="1:6" x14ac:dyDescent="0.25">
      <c r="A3" s="5">
        <v>2</v>
      </c>
      <c r="B3" s="5">
        <v>75</v>
      </c>
      <c r="D3" s="5">
        <v>3</v>
      </c>
      <c r="E3" s="6">
        <f t="shared" ref="E3:E10" si="0">$E$12*D3+$E$13</f>
        <v>74.573290306565724</v>
      </c>
      <c r="F3" t="s">
        <v>1565</v>
      </c>
    </row>
    <row r="4" spans="1:6" x14ac:dyDescent="0.25">
      <c r="A4" s="5">
        <v>15</v>
      </c>
      <c r="B4" s="5">
        <v>91</v>
      </c>
      <c r="D4" s="5">
        <v>10</v>
      </c>
      <c r="E4" s="6">
        <f t="shared" si="0"/>
        <v>80.762690827851571</v>
      </c>
      <c r="F4" t="s">
        <v>1566</v>
      </c>
    </row>
    <row r="5" spans="1:6" x14ac:dyDescent="0.25">
      <c r="A5" s="5">
        <v>5</v>
      </c>
      <c r="B5" s="5">
        <v>79</v>
      </c>
      <c r="D5" s="5">
        <v>9</v>
      </c>
      <c r="E5" s="6">
        <f t="shared" si="0"/>
        <v>79.878490753382152</v>
      </c>
      <c r="F5" t="s">
        <v>1567</v>
      </c>
    </row>
    <row r="6" spans="1:6" x14ac:dyDescent="0.25">
      <c r="A6" s="5">
        <v>1</v>
      </c>
      <c r="B6" s="5">
        <v>70</v>
      </c>
      <c r="D6" s="5">
        <v>17</v>
      </c>
      <c r="E6" s="6">
        <f t="shared" si="0"/>
        <v>86.952091349137405</v>
      </c>
      <c r="F6" t="s">
        <v>1568</v>
      </c>
    </row>
    <row r="7" spans="1:6" x14ac:dyDescent="0.25">
      <c r="A7" s="5">
        <v>6</v>
      </c>
      <c r="B7" s="5">
        <v>65</v>
      </c>
      <c r="D7" s="5">
        <v>23</v>
      </c>
      <c r="E7" s="6">
        <f t="shared" si="0"/>
        <v>92.257291795953833</v>
      </c>
      <c r="F7" t="s">
        <v>1569</v>
      </c>
    </row>
    <row r="8" spans="1:6" x14ac:dyDescent="0.25">
      <c r="A8" s="5">
        <v>9</v>
      </c>
      <c r="B8" s="5">
        <v>98</v>
      </c>
      <c r="D8" s="5">
        <v>2</v>
      </c>
      <c r="E8" s="6">
        <f t="shared" si="0"/>
        <v>73.689090232096319</v>
      </c>
      <c r="F8" t="s">
        <v>1570</v>
      </c>
    </row>
    <row r="9" spans="1:6" x14ac:dyDescent="0.25">
      <c r="A9" s="5">
        <v>25</v>
      </c>
      <c r="B9" s="5">
        <v>100</v>
      </c>
      <c r="D9" s="5">
        <v>0</v>
      </c>
      <c r="E9" s="6">
        <f t="shared" si="0"/>
        <v>71.92069008315751</v>
      </c>
      <c r="F9" t="s">
        <v>1571</v>
      </c>
    </row>
    <row r="10" spans="1:6" x14ac:dyDescent="0.25">
      <c r="A10" s="5">
        <v>41</v>
      </c>
      <c r="B10" s="5">
        <v>100</v>
      </c>
      <c r="D10" s="5">
        <v>8</v>
      </c>
      <c r="E10" s="6">
        <f t="shared" si="0"/>
        <v>78.994290678912748</v>
      </c>
      <c r="F10" t="s">
        <v>1572</v>
      </c>
    </row>
    <row r="11" spans="1:6" x14ac:dyDescent="0.25">
      <c r="A11" s="5">
        <v>10</v>
      </c>
      <c r="B11" s="5">
        <v>82</v>
      </c>
    </row>
    <row r="12" spans="1:6" x14ac:dyDescent="0.25">
      <c r="A12" s="5">
        <v>6</v>
      </c>
      <c r="B12" s="5">
        <v>79</v>
      </c>
      <c r="D12" s="8" t="s">
        <v>290</v>
      </c>
      <c r="E12" s="6">
        <f>SLOPE(B3:B13,A3:A13)</f>
        <v>0.88420007446940552</v>
      </c>
      <c r="F12" t="s">
        <v>1573</v>
      </c>
    </row>
    <row r="13" spans="1:6" x14ac:dyDescent="0.25">
      <c r="A13" s="5">
        <v>2</v>
      </c>
      <c r="B13" s="5">
        <v>60</v>
      </c>
      <c r="D13" s="8" t="s">
        <v>293</v>
      </c>
      <c r="E13" s="6">
        <f>INTERCEPT(B3:B13,A3:A13)</f>
        <v>71.92069008315751</v>
      </c>
      <c r="F13" t="s">
        <v>1574</v>
      </c>
    </row>
  </sheetData>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tabColor rgb="FF0000FF"/>
  </sheetPr>
  <dimension ref="A1:F13"/>
  <sheetViews>
    <sheetView zoomScale="115" zoomScaleNormal="115" workbookViewId="0">
      <selection activeCell="E3" sqref="E3"/>
    </sheetView>
  </sheetViews>
  <sheetFormatPr defaultRowHeight="15" x14ac:dyDescent="0.25"/>
  <cols>
    <col min="1" max="1" width="11.85546875" customWidth="1"/>
    <col min="2" max="2" width="12.140625" customWidth="1"/>
    <col min="3" max="3" width="1.28515625" customWidth="1"/>
    <col min="4" max="4" width="13.5703125" customWidth="1"/>
    <col min="5" max="5" width="16.42578125" customWidth="1"/>
    <col min="6" max="6" width="40.85546875" customWidth="1"/>
    <col min="7" max="7" width="11.28515625" customWidth="1"/>
  </cols>
  <sheetData>
    <row r="1" spans="1:6" ht="30" x14ac:dyDescent="0.25">
      <c r="A1" s="51" t="s">
        <v>287</v>
      </c>
      <c r="B1" s="47"/>
      <c r="D1" s="73" t="s">
        <v>288</v>
      </c>
      <c r="E1" s="84" t="s">
        <v>292</v>
      </c>
    </row>
    <row r="2" spans="1:6" ht="45" x14ac:dyDescent="0.25">
      <c r="A2" s="28" t="s">
        <v>289</v>
      </c>
      <c r="B2" s="28" t="s">
        <v>291</v>
      </c>
      <c r="D2" s="28" t="s">
        <v>294</v>
      </c>
      <c r="E2" s="28" t="s">
        <v>295</v>
      </c>
    </row>
    <row r="3" spans="1:6" x14ac:dyDescent="0.25">
      <c r="A3" s="5">
        <v>2</v>
      </c>
      <c r="B3" s="5">
        <v>75</v>
      </c>
      <c r="D3" s="5">
        <v>3</v>
      </c>
      <c r="E3" s="6">
        <f t="shared" ref="E3:E10" si="0">FORECAST(D3,$B$3:$B$13,$A$3:$A$13)</f>
        <v>74.573290306565724</v>
      </c>
      <c r="F3" t="s">
        <v>1575</v>
      </c>
    </row>
    <row r="4" spans="1:6" x14ac:dyDescent="0.25">
      <c r="A4" s="5">
        <v>15</v>
      </c>
      <c r="B4" s="5">
        <v>91</v>
      </c>
      <c r="D4" s="5">
        <v>10</v>
      </c>
      <c r="E4" s="6">
        <f t="shared" si="0"/>
        <v>80.762690827851571</v>
      </c>
      <c r="F4" t="s">
        <v>1576</v>
      </c>
    </row>
    <row r="5" spans="1:6" x14ac:dyDescent="0.25">
      <c r="A5" s="5">
        <v>5</v>
      </c>
      <c r="B5" s="5">
        <v>79</v>
      </c>
      <c r="D5" s="5">
        <v>9</v>
      </c>
      <c r="E5" s="6">
        <f t="shared" si="0"/>
        <v>79.878490753382152</v>
      </c>
      <c r="F5" t="s">
        <v>1577</v>
      </c>
    </row>
    <row r="6" spans="1:6" x14ac:dyDescent="0.25">
      <c r="A6" s="5">
        <v>1</v>
      </c>
      <c r="B6" s="5">
        <v>70</v>
      </c>
      <c r="D6" s="5">
        <v>17</v>
      </c>
      <c r="E6" s="6">
        <f t="shared" si="0"/>
        <v>86.952091349137405</v>
      </c>
      <c r="F6" t="s">
        <v>1578</v>
      </c>
    </row>
    <row r="7" spans="1:6" x14ac:dyDescent="0.25">
      <c r="A7" s="5">
        <v>6</v>
      </c>
      <c r="B7" s="5">
        <v>65</v>
      </c>
      <c r="D7" s="5">
        <v>23</v>
      </c>
      <c r="E7" s="6">
        <f t="shared" si="0"/>
        <v>92.257291795953833</v>
      </c>
      <c r="F7" t="s">
        <v>1579</v>
      </c>
    </row>
    <row r="8" spans="1:6" x14ac:dyDescent="0.25">
      <c r="A8" s="5">
        <v>9</v>
      </c>
      <c r="B8" s="5">
        <v>98</v>
      </c>
      <c r="D8" s="5">
        <v>2</v>
      </c>
      <c r="E8" s="6">
        <f t="shared" si="0"/>
        <v>73.689090232096319</v>
      </c>
      <c r="F8" t="s">
        <v>1580</v>
      </c>
    </row>
    <row r="9" spans="1:6" x14ac:dyDescent="0.25">
      <c r="A9" s="5">
        <v>25</v>
      </c>
      <c r="B9" s="5">
        <v>100</v>
      </c>
      <c r="D9" s="5">
        <v>0</v>
      </c>
      <c r="E9" s="6">
        <f t="shared" si="0"/>
        <v>71.92069008315751</v>
      </c>
      <c r="F9" t="s">
        <v>1581</v>
      </c>
    </row>
    <row r="10" spans="1:6" x14ac:dyDescent="0.25">
      <c r="A10" s="5">
        <v>41</v>
      </c>
      <c r="B10" s="5">
        <v>100</v>
      </c>
      <c r="D10" s="5">
        <v>8</v>
      </c>
      <c r="E10" s="6">
        <f t="shared" si="0"/>
        <v>78.994290678912748</v>
      </c>
      <c r="F10" t="s">
        <v>1582</v>
      </c>
    </row>
    <row r="11" spans="1:6" x14ac:dyDescent="0.25">
      <c r="A11" s="5">
        <v>10</v>
      </c>
      <c r="B11" s="5">
        <v>82</v>
      </c>
    </row>
    <row r="12" spans="1:6" x14ac:dyDescent="0.25">
      <c r="A12" s="5">
        <v>6</v>
      </c>
      <c r="B12" s="5">
        <v>79</v>
      </c>
    </row>
    <row r="13" spans="1:6" x14ac:dyDescent="0.25">
      <c r="A13" s="5">
        <v>2</v>
      </c>
      <c r="B13" s="5">
        <v>60</v>
      </c>
    </row>
  </sheetData>
  <pageMargins left="0.7" right="0.7" top="0.75" bottom="0.75" header="0.3" footer="0.3"/>
  <pageSetup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tabColor rgb="FF0000FF"/>
  </sheetPr>
  <dimension ref="A1:F13"/>
  <sheetViews>
    <sheetView zoomScale="115" zoomScaleNormal="115" workbookViewId="0">
      <selection activeCell="E3" sqref="E3"/>
    </sheetView>
  </sheetViews>
  <sheetFormatPr defaultRowHeight="15" x14ac:dyDescent="0.25"/>
  <cols>
    <col min="1" max="1" width="11.85546875" customWidth="1"/>
    <col min="2" max="2" width="12.140625" customWidth="1"/>
    <col min="3" max="3" width="1.28515625" customWidth="1"/>
    <col min="4" max="4" width="13.5703125" customWidth="1"/>
    <col min="5" max="5" width="16.42578125" customWidth="1"/>
    <col min="6" max="6" width="33.28515625" customWidth="1"/>
    <col min="7" max="7" width="11.28515625" customWidth="1"/>
  </cols>
  <sheetData>
    <row r="1" spans="1:6" ht="30" x14ac:dyDescent="0.25">
      <c r="A1" s="51" t="s">
        <v>287</v>
      </c>
      <c r="B1" s="47"/>
      <c r="D1" s="73" t="s">
        <v>288</v>
      </c>
      <c r="E1" s="84" t="s">
        <v>292</v>
      </c>
    </row>
    <row r="2" spans="1:6" ht="45" x14ac:dyDescent="0.25">
      <c r="A2" s="28" t="s">
        <v>289</v>
      </c>
      <c r="B2" s="28" t="s">
        <v>291</v>
      </c>
      <c r="D2" s="28" t="s">
        <v>294</v>
      </c>
      <c r="E2" s="28" t="s">
        <v>295</v>
      </c>
    </row>
    <row r="3" spans="1:6" x14ac:dyDescent="0.25">
      <c r="A3" s="5">
        <v>2</v>
      </c>
      <c r="B3" s="5">
        <v>75</v>
      </c>
      <c r="D3" s="5">
        <v>3</v>
      </c>
      <c r="E3" s="6">
        <f t="array" ref="E3:E10">TREND(B3:B13,A3:A13,D3:D10)</f>
        <v>74.573290306565724</v>
      </c>
      <c r="F3" t="s">
        <v>1583</v>
      </c>
    </row>
    <row r="4" spans="1:6" x14ac:dyDescent="0.25">
      <c r="A4" s="5">
        <v>15</v>
      </c>
      <c r="B4" s="5">
        <v>91</v>
      </c>
      <c r="D4" s="5">
        <v>10</v>
      </c>
      <c r="E4" s="6">
        <v>80.762690827851557</v>
      </c>
      <c r="F4" t="s">
        <v>1583</v>
      </c>
    </row>
    <row r="5" spans="1:6" x14ac:dyDescent="0.25">
      <c r="A5" s="5">
        <v>5</v>
      </c>
      <c r="B5" s="5">
        <v>79</v>
      </c>
      <c r="D5" s="5">
        <v>9</v>
      </c>
      <c r="E5" s="6">
        <v>79.878490753382152</v>
      </c>
      <c r="F5" t="s">
        <v>1583</v>
      </c>
    </row>
    <row r="6" spans="1:6" x14ac:dyDescent="0.25">
      <c r="A6" s="5">
        <v>1</v>
      </c>
      <c r="B6" s="5">
        <v>70</v>
      </c>
      <c r="D6" s="5">
        <v>17</v>
      </c>
      <c r="E6" s="6">
        <v>86.952091349137405</v>
      </c>
      <c r="F6" t="s">
        <v>1583</v>
      </c>
    </row>
    <row r="7" spans="1:6" x14ac:dyDescent="0.25">
      <c r="A7" s="5">
        <v>6</v>
      </c>
      <c r="B7" s="5">
        <v>65</v>
      </c>
      <c r="D7" s="5">
        <v>23</v>
      </c>
      <c r="E7" s="6">
        <v>92.257291795953833</v>
      </c>
      <c r="F7" t="s">
        <v>1583</v>
      </c>
    </row>
    <row r="8" spans="1:6" x14ac:dyDescent="0.25">
      <c r="A8" s="5">
        <v>9</v>
      </c>
      <c r="B8" s="5">
        <v>98</v>
      </c>
      <c r="D8" s="5">
        <v>2</v>
      </c>
      <c r="E8" s="6">
        <v>73.689090232096319</v>
      </c>
      <c r="F8" t="s">
        <v>1583</v>
      </c>
    </row>
    <row r="9" spans="1:6" x14ac:dyDescent="0.25">
      <c r="A9" s="5">
        <v>25</v>
      </c>
      <c r="B9" s="5">
        <v>100</v>
      </c>
      <c r="D9" s="5">
        <v>0</v>
      </c>
      <c r="E9" s="6">
        <v>71.92069008315751</v>
      </c>
      <c r="F9" t="s">
        <v>1583</v>
      </c>
    </row>
    <row r="10" spans="1:6" x14ac:dyDescent="0.25">
      <c r="A10" s="5">
        <v>41</v>
      </c>
      <c r="B10" s="5">
        <v>100</v>
      </c>
      <c r="D10" s="5">
        <v>8</v>
      </c>
      <c r="E10" s="6">
        <v>78.994290678912748</v>
      </c>
      <c r="F10" t="s">
        <v>1583</v>
      </c>
    </row>
    <row r="11" spans="1:6" x14ac:dyDescent="0.25">
      <c r="A11" s="5">
        <v>10</v>
      </c>
      <c r="B11" s="5">
        <v>82</v>
      </c>
    </row>
    <row r="12" spans="1:6" x14ac:dyDescent="0.25">
      <c r="A12" s="5">
        <v>6</v>
      </c>
      <c r="B12" s="5">
        <v>79</v>
      </c>
    </row>
    <row r="13" spans="1:6" x14ac:dyDescent="0.25">
      <c r="A13" s="5">
        <v>2</v>
      </c>
      <c r="B13" s="5">
        <v>60</v>
      </c>
    </row>
  </sheetData>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tabColor rgb="FF0000FF"/>
  </sheetPr>
  <dimension ref="A1:L13"/>
  <sheetViews>
    <sheetView zoomScale="130" zoomScaleNormal="130" workbookViewId="0">
      <selection activeCell="E3" sqref="E3"/>
    </sheetView>
  </sheetViews>
  <sheetFormatPr defaultRowHeight="15" x14ac:dyDescent="0.25"/>
  <cols>
    <col min="1" max="1" width="17" customWidth="1"/>
    <col min="2" max="2" width="10.85546875" customWidth="1"/>
    <col min="3" max="12" width="5.85546875" customWidth="1"/>
  </cols>
  <sheetData>
    <row r="1" spans="1:12" x14ac:dyDescent="0.25">
      <c r="A1" s="8" t="s">
        <v>340</v>
      </c>
      <c r="B1" s="93">
        <v>100</v>
      </c>
      <c r="C1" s="93">
        <v>50</v>
      </c>
      <c r="D1" s="93">
        <v>20</v>
      </c>
      <c r="E1" s="93">
        <v>10</v>
      </c>
      <c r="F1" s="93">
        <v>5</v>
      </c>
      <c r="G1" s="93">
        <v>1</v>
      </c>
      <c r="H1" s="94">
        <v>0.5</v>
      </c>
      <c r="I1" s="94">
        <v>0.25</v>
      </c>
      <c r="J1" s="94">
        <v>0.1</v>
      </c>
      <c r="K1" s="94">
        <v>0.05</v>
      </c>
      <c r="L1" s="94">
        <v>0.01</v>
      </c>
    </row>
    <row r="2" spans="1:12" x14ac:dyDescent="0.25">
      <c r="A2" s="8" t="s">
        <v>339</v>
      </c>
      <c r="B2" s="5">
        <v>22</v>
      </c>
      <c r="C2" s="5"/>
      <c r="D2" s="5">
        <v>50</v>
      </c>
      <c r="E2" s="5">
        <v>22</v>
      </c>
      <c r="F2" s="5">
        <v>25</v>
      </c>
      <c r="G2" s="5">
        <v>38</v>
      </c>
      <c r="H2" s="5"/>
      <c r="I2" s="14">
        <v>40</v>
      </c>
      <c r="J2" s="14">
        <v>50</v>
      </c>
      <c r="K2" s="5"/>
      <c r="L2" s="14">
        <v>50</v>
      </c>
    </row>
    <row r="4" spans="1:12" ht="18.75" x14ac:dyDescent="0.3">
      <c r="A4" s="8" t="s">
        <v>338</v>
      </c>
      <c r="B4" s="85">
        <f>SUMPRODUCT(B1:L1,B2:L2)</f>
        <v>3598.5</v>
      </c>
      <c r="C4" s="24" t="s">
        <v>1584</v>
      </c>
    </row>
    <row r="10" spans="1:12" x14ac:dyDescent="0.25">
      <c r="A10" t="s">
        <v>297</v>
      </c>
    </row>
    <row r="11" spans="1:12" x14ac:dyDescent="0.25">
      <c r="A11" t="s">
        <v>296</v>
      </c>
    </row>
    <row r="13" spans="1:12" x14ac:dyDescent="0.25">
      <c r="A13" t="str">
        <f>DOLLAR(B1,0)&amp;" * "&amp;B2&amp;" + "&amp;DOLLAR(B1,0)&amp;" * "&amp;B2&amp;" + "&amp;DOLLAR(B1,0)&amp;" * "&amp;B2&amp;" + "&amp;DOLLAR(B1,0)&amp;" * "&amp;B2&amp;" + "&amp;DOLLAR(B1,0)&amp;" * "&amp;B2&amp;" + "&amp;DOLLAR(B1,0)&amp;" * "&amp;B2&amp;" + "&amp;DOLLAR(B1,0)&amp;" * "&amp;B2&amp;" + "&amp;DOLLAR(B1,0)&amp;" * "&amp;B2&amp;" + "&amp;DOLLAR(B1,0)&amp;" * "&amp;B2&amp;" + "&amp;DOLLAR(B1,0)&amp;" * "&amp;B2&amp;" + "&amp;DOLLAR(B1,0)&amp;" * "&amp;B2&amp;" = "&amp;DOLLAR(SUMPRODUCT(B1:L1,B2:L2))</f>
        <v>$100 * 22 + $100 * 22 + $100 * 22 + $100 * 22 + $100 * 22 + $100 * 22 + $100 * 22 + $100 * 22 + $100 * 22 + $100 * 22 + $100 * 22 = $3,598.50</v>
      </c>
    </row>
  </sheetData>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tabColor rgb="FF0000FF"/>
  </sheetPr>
  <dimension ref="A1:L8"/>
  <sheetViews>
    <sheetView zoomScale="130" zoomScaleNormal="130" workbookViewId="0">
      <selection activeCell="E3" sqref="E3"/>
    </sheetView>
  </sheetViews>
  <sheetFormatPr defaultRowHeight="15" x14ac:dyDescent="0.25"/>
  <cols>
    <col min="1" max="1" width="17" customWidth="1"/>
    <col min="2" max="2" width="10.85546875" customWidth="1"/>
    <col min="3" max="12" width="5.85546875" customWidth="1"/>
  </cols>
  <sheetData>
    <row r="1" spans="1:12" x14ac:dyDescent="0.25">
      <c r="A1" s="8" t="s">
        <v>340</v>
      </c>
      <c r="B1" s="93">
        <v>100</v>
      </c>
      <c r="C1" s="93">
        <v>50</v>
      </c>
      <c r="D1" s="93">
        <v>20</v>
      </c>
      <c r="E1" s="93">
        <v>10</v>
      </c>
      <c r="F1" s="93">
        <v>5</v>
      </c>
      <c r="G1" s="93">
        <v>1</v>
      </c>
      <c r="H1" s="94">
        <v>0.5</v>
      </c>
      <c r="I1" s="94">
        <v>0.25</v>
      </c>
      <c r="J1" s="94">
        <v>0.1</v>
      </c>
      <c r="K1" s="94">
        <v>0.05</v>
      </c>
      <c r="L1" s="94">
        <v>0.01</v>
      </c>
    </row>
    <row r="2" spans="1:12" x14ac:dyDescent="0.25">
      <c r="A2" s="8" t="s">
        <v>339</v>
      </c>
      <c r="B2" s="5">
        <v>22</v>
      </c>
      <c r="C2" s="97">
        <v>0</v>
      </c>
      <c r="D2" s="5">
        <v>50</v>
      </c>
      <c r="E2" s="5">
        <v>22</v>
      </c>
      <c r="F2" s="5">
        <v>25</v>
      </c>
      <c r="G2" s="5">
        <v>38</v>
      </c>
      <c r="H2" s="97"/>
      <c r="I2" s="14">
        <v>40</v>
      </c>
      <c r="J2" s="14">
        <v>50</v>
      </c>
      <c r="K2" s="97" t="s">
        <v>302</v>
      </c>
      <c r="L2" s="14">
        <v>50</v>
      </c>
    </row>
    <row r="4" spans="1:12" ht="18.75" x14ac:dyDescent="0.3">
      <c r="A4" s="8" t="s">
        <v>338</v>
      </c>
      <c r="B4" s="85">
        <f>SUMPRODUCT(B1:L1,B2:L2)</f>
        <v>3598.5</v>
      </c>
      <c r="C4" s="24" t="s">
        <v>1584</v>
      </c>
    </row>
    <row r="5" spans="1:12" ht="18.75" x14ac:dyDescent="0.3">
      <c r="A5" s="8" t="s">
        <v>338</v>
      </c>
      <c r="B5" s="27" t="e">
        <f t="array" ref="B5">SUM(B1:L1*B2:L2)</f>
        <v>#VALUE!</v>
      </c>
      <c r="C5" s="24" t="s">
        <v>1585</v>
      </c>
    </row>
    <row r="8" spans="1:12" x14ac:dyDescent="0.25">
      <c r="A8" t="s">
        <v>296</v>
      </c>
    </row>
  </sheetData>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tabColor rgb="FF0000FF"/>
  </sheetPr>
  <dimension ref="A1:G8"/>
  <sheetViews>
    <sheetView zoomScale="175" zoomScaleNormal="175" workbookViewId="0">
      <selection activeCell="E3" sqref="E3"/>
    </sheetView>
  </sheetViews>
  <sheetFormatPr defaultRowHeight="15" x14ac:dyDescent="0.25"/>
  <cols>
    <col min="2" max="5" width="6.140625" bestFit="1" customWidth="1"/>
    <col min="6" max="6" width="10.7109375" customWidth="1"/>
    <col min="7" max="7" width="40.42578125" bestFit="1" customWidth="1"/>
  </cols>
  <sheetData>
    <row r="1" spans="1:7" x14ac:dyDescent="0.25">
      <c r="A1" s="26" t="s">
        <v>299</v>
      </c>
      <c r="B1" s="98">
        <v>0.15</v>
      </c>
      <c r="C1" s="98">
        <v>0.2</v>
      </c>
      <c r="D1" s="98">
        <v>0.2</v>
      </c>
      <c r="E1" s="98">
        <f>1-SUM(B1:D1)</f>
        <v>0.44999999999999996</v>
      </c>
    </row>
    <row r="3" spans="1:7" x14ac:dyDescent="0.25">
      <c r="A3" s="8" t="s">
        <v>321</v>
      </c>
      <c r="B3" s="8" t="s">
        <v>324</v>
      </c>
      <c r="C3" s="8" t="s">
        <v>325</v>
      </c>
      <c r="D3" s="8" t="s">
        <v>326</v>
      </c>
      <c r="E3" s="8" t="s">
        <v>327</v>
      </c>
      <c r="F3" s="8" t="s">
        <v>328</v>
      </c>
    </row>
    <row r="4" spans="1:7" x14ac:dyDescent="0.25">
      <c r="A4" s="5" t="s">
        <v>322</v>
      </c>
      <c r="B4" s="5">
        <v>60</v>
      </c>
      <c r="C4" s="5">
        <v>78</v>
      </c>
      <c r="D4" s="5">
        <v>90</v>
      </c>
      <c r="E4" s="5">
        <v>91</v>
      </c>
      <c r="F4" s="6">
        <f>SUMPRODUCT(B4:E4,$B$1:$E$1)</f>
        <v>83.55</v>
      </c>
      <c r="G4" t="s">
        <v>1586</v>
      </c>
    </row>
    <row r="5" spans="1:7" x14ac:dyDescent="0.25">
      <c r="A5" s="5" t="s">
        <v>92</v>
      </c>
      <c r="B5" s="5">
        <v>79</v>
      </c>
      <c r="C5" s="5">
        <v>34</v>
      </c>
      <c r="D5" s="5">
        <v>85</v>
      </c>
      <c r="E5" s="5">
        <v>89</v>
      </c>
      <c r="F5" s="6">
        <f>SUMPRODUCT(B5:E5,$B$1:$E$1)</f>
        <v>75.699999999999989</v>
      </c>
      <c r="G5" t="s">
        <v>1587</v>
      </c>
    </row>
    <row r="6" spans="1:7" x14ac:dyDescent="0.25">
      <c r="A6" s="5" t="s">
        <v>323</v>
      </c>
      <c r="B6" s="5">
        <v>92</v>
      </c>
      <c r="C6" s="5">
        <v>91</v>
      </c>
      <c r="D6" s="5">
        <v>89</v>
      </c>
      <c r="E6" s="5">
        <v>78</v>
      </c>
      <c r="F6" s="6">
        <f>SUMPRODUCT(B6:E6,$B$1:$E$1)</f>
        <v>84.899999999999991</v>
      </c>
      <c r="G6" t="s">
        <v>1588</v>
      </c>
    </row>
    <row r="8" spans="1:7" x14ac:dyDescent="0.25">
      <c r="A8" t="s">
        <v>297</v>
      </c>
    </row>
  </sheetData>
  <pageMargins left="0.7" right="0.7" top="0.75" bottom="0.75" header="0.3" footer="0.3"/>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tabColor rgb="FF0000FF"/>
  </sheetPr>
  <dimension ref="A1:C15"/>
  <sheetViews>
    <sheetView zoomScale="160" zoomScaleNormal="160" workbookViewId="0">
      <selection activeCell="E3" sqref="E3"/>
    </sheetView>
  </sheetViews>
  <sheetFormatPr defaultRowHeight="15" x14ac:dyDescent="0.25"/>
  <cols>
    <col min="1" max="1" width="18.85546875" customWidth="1"/>
    <col min="2" max="2" width="16.5703125" customWidth="1"/>
    <col min="3" max="3" width="39.42578125" customWidth="1"/>
  </cols>
  <sheetData>
    <row r="1" spans="1:3" x14ac:dyDescent="0.25">
      <c r="A1" s="99" t="s">
        <v>343</v>
      </c>
      <c r="B1" s="100"/>
    </row>
    <row r="2" spans="1:3" x14ac:dyDescent="0.25">
      <c r="A2" s="8" t="s">
        <v>341</v>
      </c>
      <c r="B2" s="8" t="s">
        <v>342</v>
      </c>
    </row>
    <row r="3" spans="1:3" x14ac:dyDescent="0.25">
      <c r="A3" s="5">
        <v>700</v>
      </c>
      <c r="B3" s="5">
        <v>0.1</v>
      </c>
    </row>
    <row r="4" spans="1:3" x14ac:dyDescent="0.25">
      <c r="A4" s="5">
        <v>800</v>
      </c>
      <c r="B4" s="5">
        <v>0.2</v>
      </c>
    </row>
    <row r="5" spans="1:3" x14ac:dyDescent="0.25">
      <c r="A5" s="5">
        <v>900</v>
      </c>
      <c r="B5" s="5">
        <v>0.3</v>
      </c>
    </row>
    <row r="6" spans="1:3" x14ac:dyDescent="0.25">
      <c r="A6" s="5">
        <v>1000</v>
      </c>
      <c r="B6" s="5">
        <v>0.25</v>
      </c>
    </row>
    <row r="7" spans="1:3" x14ac:dyDescent="0.25">
      <c r="A7" s="5">
        <v>1100</v>
      </c>
      <c r="B7" s="5">
        <v>0.15</v>
      </c>
    </row>
    <row r="8" spans="1:3" ht="30" x14ac:dyDescent="0.25">
      <c r="A8" s="28" t="s">
        <v>358</v>
      </c>
      <c r="B8" s="27">
        <f>SUMPRODUCT(A3:A7,B3:B7)</f>
        <v>915</v>
      </c>
      <c r="C8" s="96" t="s">
        <v>1589</v>
      </c>
    </row>
    <row r="15" spans="1:3" x14ac:dyDescent="0.25">
      <c r="A15" s="5" t="s">
        <v>15</v>
      </c>
      <c r="B15" s="6">
        <f>SUM(B3:B7)</f>
        <v>1</v>
      </c>
    </row>
  </sheetData>
  <pageMargins left="0.7" right="0.7" top="0.75" bottom="0.75" header="0.3" footer="0.3"/>
  <pageSetup scale="115" orientation="landscape"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tabColor rgb="FF0000FF"/>
  </sheetPr>
  <dimension ref="A1:H15"/>
  <sheetViews>
    <sheetView zoomScale="160" zoomScaleNormal="160" workbookViewId="0">
      <selection activeCell="E3" sqref="E3"/>
    </sheetView>
  </sheetViews>
  <sheetFormatPr defaultRowHeight="15" x14ac:dyDescent="0.25"/>
  <cols>
    <col min="1" max="1" width="13.85546875" customWidth="1"/>
    <col min="2" max="2" width="8.5703125" customWidth="1"/>
    <col min="3" max="3" width="13.42578125" customWidth="1"/>
    <col min="4" max="4" width="17" customWidth="1"/>
    <col min="5" max="5" width="15.28515625" customWidth="1"/>
  </cols>
  <sheetData>
    <row r="1" spans="1:8" ht="60" x14ac:dyDescent="0.25">
      <c r="A1" s="8" t="s">
        <v>329</v>
      </c>
      <c r="B1" s="28" t="s">
        <v>331</v>
      </c>
      <c r="C1" s="28" t="s">
        <v>332</v>
      </c>
      <c r="D1" s="28" t="s">
        <v>333</v>
      </c>
      <c r="E1" s="28" t="s">
        <v>334</v>
      </c>
    </row>
    <row r="2" spans="1:8" x14ac:dyDescent="0.25">
      <c r="A2" s="5" t="s">
        <v>335</v>
      </c>
      <c r="B2" s="5">
        <v>4.7300000000000004</v>
      </c>
      <c r="C2" s="5">
        <v>273</v>
      </c>
      <c r="D2" s="95">
        <v>0.04</v>
      </c>
      <c r="E2" s="5">
        <v>8.2059999999999994E-2</v>
      </c>
      <c r="G2" t="str">
        <f>"1/"&amp;1/D2</f>
        <v>1/25</v>
      </c>
      <c r="H2">
        <f>PRODUCT(B2:E2)</f>
        <v>4.2385302960000004</v>
      </c>
    </row>
    <row r="3" spans="1:8" x14ac:dyDescent="0.25">
      <c r="A3" s="5" t="s">
        <v>336</v>
      </c>
      <c r="B3" s="5">
        <v>10.210000000000001</v>
      </c>
      <c r="C3" s="5">
        <v>298</v>
      </c>
      <c r="D3" s="95">
        <f>1/15</f>
        <v>6.6666666666666666E-2</v>
      </c>
      <c r="E3" s="5">
        <v>8.2059999999999994E-2</v>
      </c>
      <c r="G3" t="str">
        <f>"1/"&amp;1/D3</f>
        <v>1/15</v>
      </c>
      <c r="H3">
        <f>PRODUCT(B3:E3)</f>
        <v>16.644940986666668</v>
      </c>
    </row>
    <row r="4" spans="1:8" x14ac:dyDescent="0.25">
      <c r="A4" s="5" t="s">
        <v>337</v>
      </c>
      <c r="B4" s="5">
        <v>11.64</v>
      </c>
      <c r="C4" s="5">
        <v>286</v>
      </c>
      <c r="D4" s="95">
        <v>0.1</v>
      </c>
      <c r="E4" s="5">
        <v>8.2059999999999994E-2</v>
      </c>
      <c r="G4" t="str">
        <f>"1/"&amp;1/D4</f>
        <v>1/10</v>
      </c>
      <c r="H4">
        <f>PRODUCT(B4:E4)</f>
        <v>27.318102239999998</v>
      </c>
    </row>
    <row r="5" spans="1:8" x14ac:dyDescent="0.25">
      <c r="H5">
        <f>SUM(H2:H4)</f>
        <v>48.201573522666664</v>
      </c>
    </row>
    <row r="6" spans="1:8" x14ac:dyDescent="0.25">
      <c r="A6" s="28" t="s">
        <v>330</v>
      </c>
      <c r="B6" s="49">
        <f>SUMPRODUCT(B2:B4,C2:C4,D2:D4,E2:E4)</f>
        <v>48.201573522666664</v>
      </c>
      <c r="C6" t="s">
        <v>1590</v>
      </c>
    </row>
    <row r="9" spans="1:8" ht="30" x14ac:dyDescent="0.25">
      <c r="A9" s="28" t="s">
        <v>611</v>
      </c>
      <c r="B9" s="28" t="s">
        <v>611</v>
      </c>
      <c r="C9" s="28" t="s">
        <v>612</v>
      </c>
    </row>
    <row r="10" spans="1:8" x14ac:dyDescent="0.25">
      <c r="A10" s="5"/>
      <c r="B10" s="95"/>
      <c r="C10" s="49" t="e">
        <f>SUMPRODUCT(A10,B10)</f>
        <v>#VALUE!</v>
      </c>
      <c r="D10" t="s">
        <v>1591</v>
      </c>
    </row>
    <row r="11" spans="1:8" x14ac:dyDescent="0.25">
      <c r="A11" s="5">
        <v>1</v>
      </c>
      <c r="B11" s="113">
        <v>0</v>
      </c>
      <c r="C11" s="27">
        <f>SUMPRODUCT(A11,B11)</f>
        <v>0</v>
      </c>
      <c r="D11" t="s">
        <v>1592</v>
      </c>
    </row>
    <row r="13" spans="1:8" x14ac:dyDescent="0.25">
      <c r="A13" t="s">
        <v>608</v>
      </c>
    </row>
    <row r="14" spans="1:8" x14ac:dyDescent="0.25">
      <c r="A14" t="s">
        <v>609</v>
      </c>
    </row>
    <row r="15" spans="1:8" x14ac:dyDescent="0.25">
      <c r="A15" t="s">
        <v>610</v>
      </c>
    </row>
  </sheetData>
  <pageMargins left="0.7" right="0.7" top="0.75" bottom="0.75" header="0.3" footer="0.3"/>
  <pageSetup scale="115" orientation="landscape"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tabColor rgb="FF0000FF"/>
  </sheetPr>
  <dimension ref="A1:Q39"/>
  <sheetViews>
    <sheetView showGridLines="0" zoomScale="85" zoomScaleNormal="85" workbookViewId="0">
      <selection activeCell="E3" sqref="E3"/>
    </sheetView>
  </sheetViews>
  <sheetFormatPr defaultRowHeight="15" x14ac:dyDescent="0.25"/>
  <cols>
    <col min="1" max="2" width="6.85546875" customWidth="1"/>
    <col min="3" max="4" width="16.140625" customWidth="1"/>
    <col min="5" max="5" width="45.7109375" customWidth="1"/>
    <col min="6" max="7" width="18" customWidth="1"/>
    <col min="8" max="8" width="17.42578125" customWidth="1"/>
    <col min="9" max="9" width="3.85546875" customWidth="1"/>
    <col min="10" max="11" width="9.28515625" customWidth="1"/>
    <col min="12" max="12" width="3.85546875" customWidth="1"/>
    <col min="13" max="14" width="13.28515625" customWidth="1"/>
    <col min="15" max="15" width="3.85546875" customWidth="1"/>
    <col min="16" max="17" width="7.28515625" customWidth="1"/>
    <col min="18" max="18" width="3.85546875" customWidth="1"/>
    <col min="19" max="19" width="12.28515625" customWidth="1"/>
    <col min="20" max="20" width="3.85546875" customWidth="1"/>
  </cols>
  <sheetData>
    <row r="1" spans="1:17" x14ac:dyDescent="0.25">
      <c r="B1" s="86" t="s">
        <v>299</v>
      </c>
      <c r="C1" s="67">
        <v>0.6</v>
      </c>
      <c r="D1" s="67">
        <v>0.4</v>
      </c>
    </row>
    <row r="2" spans="1:17" ht="45" x14ac:dyDescent="0.25">
      <c r="A2" s="87" t="s">
        <v>300</v>
      </c>
      <c r="B2" s="88"/>
      <c r="C2" s="89" t="s">
        <v>345</v>
      </c>
      <c r="D2" s="89" t="s">
        <v>346</v>
      </c>
    </row>
    <row r="3" spans="1:17" x14ac:dyDescent="0.25">
      <c r="A3" s="90" t="s">
        <v>301</v>
      </c>
      <c r="B3" s="90">
        <v>0.15</v>
      </c>
      <c r="C3" s="91">
        <v>0</v>
      </c>
      <c r="D3" s="91">
        <v>-0.15</v>
      </c>
    </row>
    <row r="4" spans="1:17" ht="15.75" x14ac:dyDescent="0.25">
      <c r="A4" s="90" t="s">
        <v>303</v>
      </c>
      <c r="B4" s="90">
        <v>0.7</v>
      </c>
      <c r="C4" s="91">
        <v>0.06</v>
      </c>
      <c r="D4" s="91">
        <v>0.05</v>
      </c>
      <c r="H4" s="118" t="s">
        <v>954</v>
      </c>
      <c r="I4" s="241" t="s">
        <v>951</v>
      </c>
      <c r="J4" s="5" t="str">
        <f t="shared" ref="J4:K6" si="0">ADDRESS(ROW($B3),COLUMN($B3),4)&amp;"*"&amp;ADDRESS(ROW(C3),COLUMN(C3),4)&amp;"*"&amp;ADDRESS(ROW(C$1),COLUMN(C$1),4)</f>
        <v>B3*C3*C1</v>
      </c>
      <c r="K4" s="5" t="str">
        <f t="shared" si="0"/>
        <v>B3*D3*D1</v>
      </c>
      <c r="L4" s="241" t="s">
        <v>951</v>
      </c>
      <c r="M4" s="5" t="str">
        <f t="shared" ref="M4:N6" si="1">$B3&amp;"*"&amp;C3&amp;"*"&amp;C$1</f>
        <v>0.15*0*0.6</v>
      </c>
      <c r="N4" s="5" t="str">
        <f t="shared" si="1"/>
        <v>0.15*-0.15*0.4</v>
      </c>
      <c r="O4" s="241" t="s">
        <v>951</v>
      </c>
      <c r="P4" s="5">
        <f t="shared" ref="P4:Q6" si="2">$B3*C3*C$1</f>
        <v>0</v>
      </c>
      <c r="Q4" s="5">
        <f t="shared" si="2"/>
        <v>-8.9999999999999993E-3</v>
      </c>
    </row>
    <row r="5" spans="1:17" x14ac:dyDescent="0.25">
      <c r="A5" s="90" t="s">
        <v>304</v>
      </c>
      <c r="B5" s="90">
        <v>0.15</v>
      </c>
      <c r="C5" s="91">
        <v>0.1</v>
      </c>
      <c r="D5" s="91">
        <v>0.2</v>
      </c>
      <c r="H5" s="242"/>
      <c r="J5" s="5" t="str">
        <f t="shared" si="0"/>
        <v>B4*C4*C1</v>
      </c>
      <c r="K5" s="5" t="str">
        <f t="shared" si="0"/>
        <v>B4*D4*D1</v>
      </c>
      <c r="M5" s="5" t="str">
        <f t="shared" si="1"/>
        <v>0.7*0.06*0.6</v>
      </c>
      <c r="N5" s="5" t="str">
        <f t="shared" si="1"/>
        <v>0.7*0.05*0.4</v>
      </c>
      <c r="P5" s="5">
        <f t="shared" si="2"/>
        <v>2.5199999999999997E-2</v>
      </c>
      <c r="Q5" s="5">
        <f t="shared" si="2"/>
        <v>1.3999999999999999E-2</v>
      </c>
    </row>
    <row r="6" spans="1:17" ht="15.75" x14ac:dyDescent="0.25">
      <c r="A6" s="52"/>
      <c r="B6" s="25" t="s">
        <v>305</v>
      </c>
      <c r="C6" s="25"/>
      <c r="D6" s="6">
        <f>SUMPRODUCT(B3:B5*C1:D1*C3:D5)</f>
        <v>5.1199999999999996E-2</v>
      </c>
      <c r="E6" s="96" t="s">
        <v>1593</v>
      </c>
      <c r="H6" s="35"/>
      <c r="J6" s="5" t="str">
        <f t="shared" si="0"/>
        <v>B5*C5*C1</v>
      </c>
      <c r="K6" s="5" t="str">
        <f t="shared" si="0"/>
        <v>B5*D5*D1</v>
      </c>
      <c r="M6" s="5" t="str">
        <f t="shared" si="1"/>
        <v>0.15*0.1*0.6</v>
      </c>
      <c r="N6" s="5" t="str">
        <f t="shared" si="1"/>
        <v>0.15*0.2*0.4</v>
      </c>
      <c r="P6" s="5">
        <f t="shared" si="2"/>
        <v>8.9999999999999993E-3</v>
      </c>
      <c r="Q6" s="5">
        <f t="shared" si="2"/>
        <v>1.2E-2</v>
      </c>
    </row>
    <row r="21" spans="1:5" x14ac:dyDescent="0.25">
      <c r="A21" s="23" t="s">
        <v>359</v>
      </c>
    </row>
    <row r="23" spans="1:5" x14ac:dyDescent="0.25">
      <c r="A23" t="s">
        <v>347</v>
      </c>
    </row>
    <row r="24" spans="1:5" x14ac:dyDescent="0.25">
      <c r="A24" s="5">
        <f t="shared" ref="A24:B26" si="3">C3*$B3*C$1</f>
        <v>0</v>
      </c>
      <c r="B24" s="5">
        <f t="shared" si="3"/>
        <v>-8.9999999999999993E-3</v>
      </c>
    </row>
    <row r="25" spans="1:5" x14ac:dyDescent="0.25">
      <c r="A25" s="5">
        <f t="shared" si="3"/>
        <v>2.5199999999999997E-2</v>
      </c>
      <c r="B25" s="5">
        <f t="shared" si="3"/>
        <v>1.3999999999999999E-2</v>
      </c>
    </row>
    <row r="26" spans="1:5" x14ac:dyDescent="0.25">
      <c r="A26" s="5">
        <f t="shared" si="3"/>
        <v>8.9999999999999993E-3</v>
      </c>
      <c r="B26" s="5">
        <f t="shared" si="3"/>
        <v>1.2E-2</v>
      </c>
    </row>
    <row r="27" spans="1:5" x14ac:dyDescent="0.25">
      <c r="B27" s="6">
        <f>SUM(A24:B26)</f>
        <v>5.1199999999999996E-2</v>
      </c>
      <c r="D27" t="s">
        <v>348</v>
      </c>
      <c r="E27" t="str">
        <f>B3&amp;" * "&amp;C1&amp;" * "&amp;C3&amp;" + "&amp;B4&amp;" * "&amp;C1&amp;" * "&amp;C4&amp;" + "&amp;B5&amp;" * "&amp;C1&amp;" * "&amp;C5&amp;" + "&amp;B3&amp;" * "&amp;D1&amp;" * "&amp;D3&amp;" + "&amp;B4&amp;" * "&amp;D1&amp;" * "&amp;D4&amp;" + "&amp;B5&amp;" * "&amp;D1&amp;" * "&amp;D5&amp;" = "&amp;B3*C1*C3+B4*C1*C4+B5*C1*C5+B3*D1*D3+B4*D1*D4+B5*D1*D5</f>
        <v>0.15 * 0.6 * 0 + 0.7 * 0.6 * 0.06 + 0.15 * 0.6 * 0.1 + 0.15 * 0.4 * -0.15 + 0.7 * 0.4 * 0.05 + 0.15 * 0.4 * 0.2 = 0.0512</v>
      </c>
    </row>
    <row r="29" spans="1:5" x14ac:dyDescent="0.25">
      <c r="A29" s="52" t="s">
        <v>344</v>
      </c>
    </row>
    <row r="30" spans="1:5" x14ac:dyDescent="0.25">
      <c r="A30" s="52" t="s">
        <v>298</v>
      </c>
    </row>
    <row r="31" spans="1:5" x14ac:dyDescent="0.25">
      <c r="A31" s="52"/>
    </row>
    <row r="33" spans="1:5" x14ac:dyDescent="0.25">
      <c r="B33" s="86" t="s">
        <v>299</v>
      </c>
      <c r="C33" s="67">
        <v>0.6</v>
      </c>
      <c r="D33" s="67">
        <v>0.4</v>
      </c>
    </row>
    <row r="34" spans="1:5" ht="45" x14ac:dyDescent="0.25">
      <c r="A34" s="87" t="s">
        <v>300</v>
      </c>
      <c r="B34" s="88"/>
      <c r="C34" s="89" t="s">
        <v>345</v>
      </c>
      <c r="D34" s="89" t="s">
        <v>346</v>
      </c>
    </row>
    <row r="35" spans="1:5" x14ac:dyDescent="0.25">
      <c r="A35" s="90" t="s">
        <v>301</v>
      </c>
      <c r="B35" s="90">
        <v>0.5</v>
      </c>
      <c r="C35" s="91" t="s">
        <v>302</v>
      </c>
      <c r="D35" s="91">
        <v>-0.15</v>
      </c>
    </row>
    <row r="36" spans="1:5" x14ac:dyDescent="0.25">
      <c r="A36" s="90" t="s">
        <v>303</v>
      </c>
      <c r="B36" s="90">
        <v>0.4</v>
      </c>
      <c r="C36" s="91">
        <v>0.05</v>
      </c>
      <c r="D36" s="91">
        <v>0.05</v>
      </c>
    </row>
    <row r="37" spans="1:5" x14ac:dyDescent="0.25">
      <c r="A37" s="90" t="s">
        <v>304</v>
      </c>
      <c r="B37" s="90">
        <v>0.1</v>
      </c>
      <c r="C37" s="91">
        <v>0.1</v>
      </c>
      <c r="D37" s="91">
        <v>0.2</v>
      </c>
    </row>
    <row r="38" spans="1:5" x14ac:dyDescent="0.25">
      <c r="A38" s="52"/>
      <c r="B38" s="25" t="s">
        <v>306</v>
      </c>
      <c r="C38" s="25"/>
      <c r="D38" s="6" t="e">
        <f>SUMPRODUCT(C35:D37*B35:B37*C33:D33)</f>
        <v>#VALUE!</v>
      </c>
      <c r="E38" t="s">
        <v>953</v>
      </c>
    </row>
    <row r="39" spans="1:5" ht="15.75" x14ac:dyDescent="0.25">
      <c r="D39">
        <f>SUMPRODUCT(MMULT(B3:B5,C1:D1),C3:D5)</f>
        <v>5.1199999999999996E-2</v>
      </c>
      <c r="E39" s="96" t="s">
        <v>1594</v>
      </c>
    </row>
  </sheetData>
  <pageMargins left="0.7" right="0.7" top="0.75" bottom="0.75" header="0.3" footer="0.3"/>
  <pageSetup orientation="portrait"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tabColor rgb="FF0000FF"/>
  </sheetPr>
  <dimension ref="A1:B14"/>
  <sheetViews>
    <sheetView zoomScale="175" zoomScaleNormal="175" workbookViewId="0">
      <selection activeCell="E3" sqref="E3"/>
    </sheetView>
  </sheetViews>
  <sheetFormatPr defaultRowHeight="15" x14ac:dyDescent="0.25"/>
  <cols>
    <col min="1" max="1" width="10.7109375" customWidth="1"/>
    <col min="2" max="2" width="11.7109375" customWidth="1"/>
    <col min="3" max="3" width="3" customWidth="1"/>
    <col min="4" max="4" width="36.28515625" customWidth="1"/>
  </cols>
  <sheetData>
    <row r="1" spans="1:2" x14ac:dyDescent="0.25">
      <c r="A1" s="1" t="s">
        <v>349</v>
      </c>
      <c r="B1" s="3"/>
    </row>
    <row r="2" spans="1:2" x14ac:dyDescent="0.25">
      <c r="A2" s="4" t="s">
        <v>25</v>
      </c>
      <c r="B2" s="4" t="s">
        <v>10</v>
      </c>
    </row>
    <row r="3" spans="1:2" x14ac:dyDescent="0.25">
      <c r="A3" s="5">
        <v>100</v>
      </c>
      <c r="B3" s="5">
        <v>0.22500000000000001</v>
      </c>
    </row>
    <row r="4" spans="1:2" x14ac:dyDescent="0.25">
      <c r="A4" s="5">
        <v>150</v>
      </c>
      <c r="B4" s="5">
        <v>0.1275</v>
      </c>
    </row>
    <row r="5" spans="1:2" x14ac:dyDescent="0.25">
      <c r="A5" s="5">
        <v>110</v>
      </c>
      <c r="B5" s="5">
        <v>0.09</v>
      </c>
    </row>
    <row r="6" spans="1:2" x14ac:dyDescent="0.25">
      <c r="A6" s="5">
        <v>60</v>
      </c>
      <c r="B6" s="5">
        <v>8.7499999999999994E-2</v>
      </c>
    </row>
    <row r="7" spans="1:2" x14ac:dyDescent="0.25">
      <c r="A7" s="5">
        <v>270</v>
      </c>
      <c r="B7" s="5">
        <v>0.65500000000000003</v>
      </c>
    </row>
    <row r="8" spans="1:2" ht="3.75" customHeight="1" x14ac:dyDescent="0.25"/>
    <row r="9" spans="1:2" x14ac:dyDescent="0.25">
      <c r="A9" s="4" t="s">
        <v>149</v>
      </c>
    </row>
    <row r="10" spans="1:2" ht="15.75" x14ac:dyDescent="0.25">
      <c r="A10" s="6">
        <f>SUMPRODUCT(ROUND(A3:A7*B3:B7,2))</f>
        <v>233.63</v>
      </c>
      <c r="B10" s="96" t="s">
        <v>1595</v>
      </c>
    </row>
    <row r="11" spans="1:2" ht="15.75" x14ac:dyDescent="0.25">
      <c r="A11" s="6">
        <f t="array" ref="A11">SUM(ROUND(A3:A7*B3:B7,2))</f>
        <v>233.63</v>
      </c>
      <c r="B11" s="96" t="s">
        <v>1596</v>
      </c>
    </row>
    <row r="14" spans="1:2" x14ac:dyDescent="0.25">
      <c r="A14" t="s">
        <v>350</v>
      </c>
    </row>
  </sheetData>
  <pageMargins left="0.7" right="0.7" top="0.75" bottom="0.75" header="0.3" footer="0.3"/>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tabColor rgb="FF0000FF"/>
  </sheetPr>
  <dimension ref="A1:F15"/>
  <sheetViews>
    <sheetView zoomScale="130" zoomScaleNormal="130" workbookViewId="0">
      <selection activeCell="E3" sqref="E3"/>
    </sheetView>
  </sheetViews>
  <sheetFormatPr defaultRowHeight="15" x14ac:dyDescent="0.25"/>
  <cols>
    <col min="1" max="1" width="9.5703125" customWidth="1"/>
    <col min="3" max="3" width="6.140625" customWidth="1"/>
    <col min="4" max="4" width="2.7109375" customWidth="1"/>
    <col min="5" max="5" width="10.85546875" customWidth="1"/>
    <col min="7" max="7" width="43.7109375" customWidth="1"/>
  </cols>
  <sheetData>
    <row r="1" spans="1:6" x14ac:dyDescent="0.25">
      <c r="A1" s="8" t="s">
        <v>222</v>
      </c>
      <c r="B1" s="8" t="s">
        <v>314</v>
      </c>
      <c r="C1" s="8" t="s">
        <v>315</v>
      </c>
      <c r="E1" s="104" t="s">
        <v>21</v>
      </c>
      <c r="F1" s="105"/>
    </row>
    <row r="2" spans="1:6" x14ac:dyDescent="0.25">
      <c r="A2" s="14" t="s">
        <v>316</v>
      </c>
      <c r="B2" s="5" t="s">
        <v>256</v>
      </c>
      <c r="C2" s="5">
        <v>15.7</v>
      </c>
      <c r="E2" s="5" t="s">
        <v>316</v>
      </c>
      <c r="F2" s="5" t="s">
        <v>256</v>
      </c>
    </row>
    <row r="3" spans="1:6" x14ac:dyDescent="0.25">
      <c r="A3" s="14" t="s">
        <v>317</v>
      </c>
      <c r="B3" s="5" t="s">
        <v>318</v>
      </c>
      <c r="C3" s="5">
        <v>19.399999999999999</v>
      </c>
    </row>
    <row r="4" spans="1:6" x14ac:dyDescent="0.25">
      <c r="A4" s="14" t="s">
        <v>258</v>
      </c>
      <c r="B4" s="5" t="s">
        <v>256</v>
      </c>
      <c r="C4" s="5">
        <v>11.9</v>
      </c>
      <c r="E4" s="4" t="s">
        <v>352</v>
      </c>
    </row>
    <row r="5" spans="1:6" x14ac:dyDescent="0.25">
      <c r="A5" s="14" t="s">
        <v>316</v>
      </c>
      <c r="B5" s="5" t="s">
        <v>256</v>
      </c>
      <c r="C5" s="5">
        <v>15.2</v>
      </c>
      <c r="E5" s="6">
        <f>COUNTIFS(A2:A7,E2,B2:B7,F2)</f>
        <v>2</v>
      </c>
      <c r="F5" s="52" t="s">
        <v>1597</v>
      </c>
    </row>
    <row r="6" spans="1:6" x14ac:dyDescent="0.25">
      <c r="A6" s="14" t="s">
        <v>258</v>
      </c>
      <c r="B6" s="5" t="s">
        <v>256</v>
      </c>
      <c r="C6" s="5">
        <v>22.5</v>
      </c>
      <c r="E6" s="8" t="s">
        <v>351</v>
      </c>
      <c r="F6" s="52"/>
    </row>
    <row r="7" spans="1:6" x14ac:dyDescent="0.25">
      <c r="A7" s="14" t="s">
        <v>316</v>
      </c>
      <c r="B7" s="5" t="s">
        <v>318</v>
      </c>
      <c r="C7" s="5">
        <v>28.1</v>
      </c>
      <c r="E7" s="6">
        <f>SUMIFS(C2:C7,A2:A7,E2,B2:B7,F2)</f>
        <v>30.9</v>
      </c>
      <c r="F7" s="52" t="s">
        <v>1598</v>
      </c>
    </row>
    <row r="9" spans="1:6" ht="30" customHeight="1" x14ac:dyDescent="0.25"/>
    <row r="15" spans="1:6" ht="30.75" customHeight="1" x14ac:dyDescent="0.25"/>
  </sheetData>
  <dataValidations count="2">
    <dataValidation type="list" allowBlank="1" showInputMessage="1" showErrorMessage="1" sqref="F2">
      <formula1>$R$6:$R$7</formula1>
    </dataValidation>
    <dataValidation type="list" allowBlank="1" showInputMessage="1" showErrorMessage="1" sqref="E2">
      <formula1>$Q$6:$Q$7</formula1>
    </dataValidation>
  </dataValidations>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tabColor rgb="FF0000FF"/>
  </sheetPr>
  <dimension ref="A1:F7"/>
  <sheetViews>
    <sheetView zoomScale="130" zoomScaleNormal="130" workbookViewId="0">
      <selection activeCell="E3" sqref="E3"/>
    </sheetView>
  </sheetViews>
  <sheetFormatPr defaultRowHeight="15" x14ac:dyDescent="0.25"/>
  <cols>
    <col min="1" max="1" width="9.5703125" customWidth="1"/>
    <col min="3" max="3" width="6.140625" customWidth="1"/>
    <col min="4" max="4" width="2.7109375" customWidth="1"/>
    <col min="5" max="5" width="10.85546875" customWidth="1"/>
    <col min="7" max="7" width="43.7109375" customWidth="1"/>
  </cols>
  <sheetData>
    <row r="1" spans="1:6" x14ac:dyDescent="0.25">
      <c r="A1" s="8" t="s">
        <v>222</v>
      </c>
      <c r="B1" s="8" t="s">
        <v>314</v>
      </c>
      <c r="C1" s="8" t="s">
        <v>315</v>
      </c>
      <c r="E1" s="8" t="s">
        <v>222</v>
      </c>
      <c r="F1" s="8" t="s">
        <v>314</v>
      </c>
    </row>
    <row r="2" spans="1:6" x14ac:dyDescent="0.25">
      <c r="A2" s="14" t="s">
        <v>316</v>
      </c>
      <c r="B2" s="5" t="s">
        <v>256</v>
      </c>
      <c r="C2" s="5">
        <v>15.7</v>
      </c>
      <c r="E2" s="5" t="s">
        <v>316</v>
      </c>
      <c r="F2" s="5" t="s">
        <v>256</v>
      </c>
    </row>
    <row r="3" spans="1:6" x14ac:dyDescent="0.25">
      <c r="A3" s="14" t="s">
        <v>317</v>
      </c>
      <c r="B3" s="5" t="s">
        <v>318</v>
      </c>
      <c r="C3" s="5">
        <v>19.399999999999999</v>
      </c>
    </row>
    <row r="4" spans="1:6" x14ac:dyDescent="0.25">
      <c r="A4" s="14" t="s">
        <v>258</v>
      </c>
      <c r="B4" s="5" t="s">
        <v>256</v>
      </c>
      <c r="C4" s="5">
        <v>11.9</v>
      </c>
      <c r="E4" s="8" t="s">
        <v>352</v>
      </c>
    </row>
    <row r="5" spans="1:6" x14ac:dyDescent="0.25">
      <c r="A5" s="14" t="s">
        <v>316</v>
      </c>
      <c r="B5" s="5" t="s">
        <v>256</v>
      </c>
      <c r="C5" s="5">
        <v>15.2</v>
      </c>
      <c r="E5" s="6">
        <f>DCOUNT(A1:C7,"Time",E1:F2)</f>
        <v>2</v>
      </c>
      <c r="F5" s="52" t="s">
        <v>1599</v>
      </c>
    </row>
    <row r="6" spans="1:6" x14ac:dyDescent="0.25">
      <c r="A6" s="14" t="s">
        <v>258</v>
      </c>
      <c r="B6" s="5" t="s">
        <v>256</v>
      </c>
      <c r="C6" s="5">
        <v>22.5</v>
      </c>
      <c r="E6" s="8" t="s">
        <v>351</v>
      </c>
      <c r="F6" s="52"/>
    </row>
    <row r="7" spans="1:6" x14ac:dyDescent="0.25">
      <c r="A7" s="14" t="s">
        <v>316</v>
      </c>
      <c r="B7" s="5" t="s">
        <v>318</v>
      </c>
      <c r="C7" s="5">
        <v>28.1</v>
      </c>
      <c r="E7" s="6">
        <f>DSUM(A1:C7,"Time",E1:F2)</f>
        <v>30.9</v>
      </c>
      <c r="F7" s="52" t="s">
        <v>1600</v>
      </c>
    </row>
  </sheetData>
  <dataValidations count="2">
    <dataValidation type="list" allowBlank="1" showInputMessage="1" showErrorMessage="1" sqref="F2">
      <formula1>$R$6:$R$7</formula1>
    </dataValidation>
    <dataValidation type="list" allowBlank="1" showInputMessage="1" showErrorMessage="1" sqref="E2">
      <formula1>$Q$6:$Q$7</formula1>
    </dataValidation>
  </dataValidations>
  <pageMargins left="0.7" right="0.7" top="0.75" bottom="0.75" header="0.3" footer="0.3"/>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tabColor rgb="FF0000FF"/>
  </sheetPr>
  <dimension ref="A1:F8"/>
  <sheetViews>
    <sheetView zoomScale="130" zoomScaleNormal="130" workbookViewId="0">
      <selection activeCell="E3" sqref="E3"/>
    </sheetView>
  </sheetViews>
  <sheetFormatPr defaultRowHeight="15" x14ac:dyDescent="0.25"/>
  <cols>
    <col min="1" max="1" width="9.5703125" customWidth="1"/>
    <col min="3" max="3" width="6.140625" customWidth="1"/>
    <col min="4" max="4" width="2.7109375" customWidth="1"/>
    <col min="5" max="5" width="10.85546875" customWidth="1"/>
    <col min="7" max="7" width="43.7109375" customWidth="1"/>
  </cols>
  <sheetData>
    <row r="1" spans="1:6" x14ac:dyDescent="0.25">
      <c r="E1" s="104" t="s">
        <v>21</v>
      </c>
      <c r="F1" s="105"/>
    </row>
    <row r="2" spans="1:6" x14ac:dyDescent="0.25">
      <c r="A2" s="14" t="s">
        <v>316</v>
      </c>
      <c r="B2" s="5" t="s">
        <v>256</v>
      </c>
      <c r="C2" s="5">
        <v>15.7</v>
      </c>
      <c r="E2" s="5" t="s">
        <v>316</v>
      </c>
      <c r="F2" s="5" t="s">
        <v>256</v>
      </c>
    </row>
    <row r="3" spans="1:6" x14ac:dyDescent="0.25">
      <c r="A3" s="14" t="s">
        <v>317</v>
      </c>
      <c r="B3" s="5" t="s">
        <v>318</v>
      </c>
      <c r="C3" s="5">
        <v>19.399999999999999</v>
      </c>
    </row>
    <row r="4" spans="1:6" x14ac:dyDescent="0.25">
      <c r="A4" s="14" t="s">
        <v>258</v>
      </c>
      <c r="B4" s="5" t="s">
        <v>256</v>
      </c>
      <c r="C4" s="5">
        <v>11.9</v>
      </c>
      <c r="E4" s="8" t="s">
        <v>352</v>
      </c>
      <c r="F4" s="52"/>
    </row>
    <row r="5" spans="1:6" x14ac:dyDescent="0.25">
      <c r="A5" s="14" t="s">
        <v>316</v>
      </c>
      <c r="B5" s="5" t="s">
        <v>256</v>
      </c>
      <c r="C5" s="5">
        <v>15.2</v>
      </c>
      <c r="E5" s="6">
        <f>SUMPRODUCT(--(A2:A7=E2),--(B2:B7=F2))</f>
        <v>2</v>
      </c>
      <c r="F5" s="52" t="s">
        <v>1601</v>
      </c>
    </row>
    <row r="6" spans="1:6" x14ac:dyDescent="0.25">
      <c r="A6" s="14" t="s">
        <v>258</v>
      </c>
      <c r="B6" s="5" t="s">
        <v>256</v>
      </c>
      <c r="C6" s="5">
        <v>22.5</v>
      </c>
      <c r="E6" s="8" t="s">
        <v>351</v>
      </c>
      <c r="F6" s="52"/>
    </row>
    <row r="7" spans="1:6" x14ac:dyDescent="0.25">
      <c r="A7" s="14" t="s">
        <v>316</v>
      </c>
      <c r="B7" s="5" t="s">
        <v>318</v>
      </c>
      <c r="C7" s="5">
        <v>28.1</v>
      </c>
      <c r="E7" s="6">
        <f>SUMPRODUCT(--(A2:A7=E2),--(B2:B7=F2),C2:C7)</f>
        <v>30.9</v>
      </c>
      <c r="F7" s="52" t="s">
        <v>1602</v>
      </c>
    </row>
    <row r="8" spans="1:6" x14ac:dyDescent="0.25">
      <c r="F8" s="52"/>
    </row>
  </sheetData>
  <dataValidations count="2">
    <dataValidation type="list" allowBlank="1" showInputMessage="1" showErrorMessage="1" sqref="F2">
      <formula1>$R$6:$R$7</formula1>
    </dataValidation>
    <dataValidation type="list" allowBlank="1" showInputMessage="1" showErrorMessage="1" sqref="E2">
      <formula1>$Q$6:$Q$7</formula1>
    </dataValidation>
  </dataValidations>
  <pageMargins left="0.7" right="0.7" top="0.75" bottom="0.75" header="0.3" footer="0.3"/>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tabColor rgb="FF0000FF"/>
  </sheetPr>
  <dimension ref="A1:G7"/>
  <sheetViews>
    <sheetView zoomScale="160" zoomScaleNormal="160" workbookViewId="0">
      <selection activeCell="E3" sqref="E3"/>
    </sheetView>
  </sheetViews>
  <sheetFormatPr defaultRowHeight="15" x14ac:dyDescent="0.25"/>
  <cols>
    <col min="1" max="1" width="9.42578125" bestFit="1" customWidth="1"/>
    <col min="2" max="2" width="8.7109375" bestFit="1" customWidth="1"/>
    <col min="3" max="3" width="5.42578125" bestFit="1" customWidth="1"/>
    <col min="4" max="4" width="1.5703125" customWidth="1"/>
    <col min="5" max="5" width="16.140625" customWidth="1"/>
    <col min="6" max="7" width="8.7109375" bestFit="1" customWidth="1"/>
    <col min="8" max="8" width="10.42578125" customWidth="1"/>
  </cols>
  <sheetData>
    <row r="1" spans="1:7" x14ac:dyDescent="0.25">
      <c r="A1" s="8" t="s">
        <v>222</v>
      </c>
      <c r="B1" s="8" t="s">
        <v>314</v>
      </c>
      <c r="C1" s="8" t="s">
        <v>315</v>
      </c>
      <c r="E1" s="102" t="s">
        <v>354</v>
      </c>
      <c r="F1" s="103"/>
      <c r="G1" s="47"/>
    </row>
    <row r="2" spans="1:7" x14ac:dyDescent="0.25">
      <c r="A2" s="14" t="s">
        <v>316</v>
      </c>
      <c r="B2" s="5" t="s">
        <v>256</v>
      </c>
      <c r="C2" s="5">
        <v>15.7</v>
      </c>
      <c r="E2" s="8" t="s">
        <v>353</v>
      </c>
      <c r="F2" s="38" t="s">
        <v>318</v>
      </c>
      <c r="G2" s="38" t="s">
        <v>256</v>
      </c>
    </row>
    <row r="3" spans="1:7" x14ac:dyDescent="0.25">
      <c r="A3" s="14" t="s">
        <v>317</v>
      </c>
      <c r="B3" s="5" t="s">
        <v>318</v>
      </c>
      <c r="C3" s="5">
        <v>19.399999999999999</v>
      </c>
      <c r="E3" s="101" t="s">
        <v>316</v>
      </c>
      <c r="F3" s="6">
        <f t="shared" ref="F3:G5" si="0">SUMPRODUCT(--($A$2:$A$8=$E3),--($B$2:$B$8=F$2),$C$2:$C$8)</f>
        <v>28.1</v>
      </c>
      <c r="G3" s="6">
        <f t="shared" si="0"/>
        <v>30.9</v>
      </c>
    </row>
    <row r="4" spans="1:7" x14ac:dyDescent="0.25">
      <c r="A4" s="14" t="s">
        <v>258</v>
      </c>
      <c r="B4" s="5" t="s">
        <v>256</v>
      </c>
      <c r="C4" s="5">
        <v>11.9</v>
      </c>
      <c r="E4" s="101" t="s">
        <v>317</v>
      </c>
      <c r="F4" s="6">
        <f t="shared" si="0"/>
        <v>19.399999999999999</v>
      </c>
      <c r="G4" s="6">
        <f t="shared" si="0"/>
        <v>0</v>
      </c>
    </row>
    <row r="5" spans="1:7" x14ac:dyDescent="0.25">
      <c r="A5" s="14" t="s">
        <v>316</v>
      </c>
      <c r="B5" s="5" t="s">
        <v>256</v>
      </c>
      <c r="C5" s="5">
        <v>15.2</v>
      </c>
      <c r="E5" s="101" t="s">
        <v>258</v>
      </c>
      <c r="F5" s="6">
        <f t="shared" si="0"/>
        <v>0</v>
      </c>
      <c r="G5" s="6">
        <f t="shared" si="0"/>
        <v>34.4</v>
      </c>
    </row>
    <row r="6" spans="1:7" x14ac:dyDescent="0.25">
      <c r="A6" s="14" t="s">
        <v>258</v>
      </c>
      <c r="B6" s="5" t="s">
        <v>256</v>
      </c>
      <c r="C6" s="5">
        <v>22.5</v>
      </c>
    </row>
    <row r="7" spans="1:7" x14ac:dyDescent="0.25">
      <c r="A7" s="14" t="s">
        <v>316</v>
      </c>
      <c r="B7" s="5" t="s">
        <v>318</v>
      </c>
      <c r="C7" s="5">
        <v>28.1</v>
      </c>
    </row>
  </sheetData>
  <pageMargins left="0.7" right="0.7" top="0.75" bottom="0.75" header="0.3" footer="0.3"/>
  <pageSetup orientation="portrait"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tabColor rgb="FF0000FF"/>
  </sheetPr>
  <dimension ref="A1:E5"/>
  <sheetViews>
    <sheetView zoomScale="205" zoomScaleNormal="205" workbookViewId="0">
      <selection activeCell="E3" sqref="E3"/>
    </sheetView>
  </sheetViews>
  <sheetFormatPr defaultRowHeight="15" x14ac:dyDescent="0.25"/>
  <cols>
    <col min="1" max="1" width="9.42578125" bestFit="1" customWidth="1"/>
    <col min="2" max="2" width="2.28515625" customWidth="1"/>
    <col min="3" max="3" width="11" customWidth="1"/>
    <col min="5" max="5" width="34.42578125" customWidth="1"/>
  </cols>
  <sheetData>
    <row r="1" spans="1:5" x14ac:dyDescent="0.25">
      <c r="A1" s="8" t="s">
        <v>222</v>
      </c>
      <c r="C1" s="26" t="s">
        <v>355</v>
      </c>
      <c r="D1" s="8" t="s">
        <v>33</v>
      </c>
    </row>
    <row r="2" spans="1:5" x14ac:dyDescent="0.25">
      <c r="A2" s="14" t="s">
        <v>316</v>
      </c>
      <c r="C2" s="5" t="s">
        <v>316</v>
      </c>
      <c r="D2" s="6">
        <f>SUMPRODUCT(A2:A5=C2)</f>
        <v>0</v>
      </c>
      <c r="E2" s="52" t="s">
        <v>1603</v>
      </c>
    </row>
    <row r="3" spans="1:5" x14ac:dyDescent="0.25">
      <c r="A3" s="14" t="s">
        <v>317</v>
      </c>
    </row>
    <row r="4" spans="1:5" x14ac:dyDescent="0.25">
      <c r="A4" s="14" t="s">
        <v>316</v>
      </c>
    </row>
    <row r="5" spans="1:5" x14ac:dyDescent="0.25">
      <c r="A5" s="14" t="s">
        <v>258</v>
      </c>
    </row>
  </sheetData>
  <dataValidations count="1">
    <dataValidation type="list" allowBlank="1" showInputMessage="1" showErrorMessage="1" sqref="C2">
      <formula1>#REF!</formula1>
    </dataValidation>
  </dataValidations>
  <pageMargins left="0.7" right="0.7" top="0.75" bottom="0.75" header="0.3" footer="0.3"/>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tabColor rgb="FF0000FF"/>
  </sheetPr>
  <dimension ref="A1:G9"/>
  <sheetViews>
    <sheetView zoomScale="175" zoomScaleNormal="175" workbookViewId="0">
      <selection activeCell="E3" sqref="E3"/>
    </sheetView>
  </sheetViews>
  <sheetFormatPr defaultRowHeight="15" x14ac:dyDescent="0.25"/>
  <cols>
    <col min="1" max="1" width="10.42578125" customWidth="1"/>
    <col min="2" max="2" width="7.42578125" customWidth="1"/>
    <col min="3" max="3" width="8.85546875" customWidth="1"/>
    <col min="4" max="4" width="17.140625" customWidth="1"/>
    <col min="5" max="5" width="7.42578125" customWidth="1"/>
    <col min="6" max="6" width="8.85546875" customWidth="1"/>
    <col min="7" max="7" width="17.140625" customWidth="1"/>
  </cols>
  <sheetData>
    <row r="1" spans="1:7" x14ac:dyDescent="0.25">
      <c r="A1" s="8" t="s">
        <v>308</v>
      </c>
      <c r="B1" s="8" t="b">
        <v>1</v>
      </c>
      <c r="C1" s="8" t="s">
        <v>357</v>
      </c>
      <c r="D1" s="8" t="s">
        <v>356</v>
      </c>
      <c r="E1" s="8" t="b">
        <v>0</v>
      </c>
      <c r="F1" s="8" t="s">
        <v>357</v>
      </c>
      <c r="G1" s="8" t="s">
        <v>356</v>
      </c>
    </row>
    <row r="2" spans="1:7" x14ac:dyDescent="0.25">
      <c r="A2" s="92" t="s">
        <v>309</v>
      </c>
      <c r="B2" s="5" t="b">
        <v>1</v>
      </c>
      <c r="C2" s="6">
        <f>--B2</f>
        <v>1</v>
      </c>
      <c r="D2" s="5" t="s">
        <v>1604</v>
      </c>
      <c r="E2" s="5" t="b">
        <v>0</v>
      </c>
      <c r="F2" s="6">
        <f>--E2</f>
        <v>0</v>
      </c>
      <c r="G2" s="5" t="s">
        <v>1609</v>
      </c>
    </row>
    <row r="3" spans="1:7" x14ac:dyDescent="0.25">
      <c r="A3" s="92" t="s">
        <v>310</v>
      </c>
      <c r="B3" s="5" t="b">
        <v>1</v>
      </c>
      <c r="C3" s="6">
        <f>B3+0</f>
        <v>1</v>
      </c>
      <c r="D3" s="5" t="s">
        <v>1605</v>
      </c>
      <c r="E3" s="5" t="b">
        <v>0</v>
      </c>
      <c r="F3" s="6">
        <f>E3+0</f>
        <v>0</v>
      </c>
      <c r="G3" s="5" t="s">
        <v>1610</v>
      </c>
    </row>
    <row r="4" spans="1:7" x14ac:dyDescent="0.25">
      <c r="A4" s="92" t="s">
        <v>311</v>
      </c>
      <c r="B4" s="5" t="b">
        <v>1</v>
      </c>
      <c r="C4" s="6">
        <f>B4*1</f>
        <v>1</v>
      </c>
      <c r="D4" s="5" t="s">
        <v>1606</v>
      </c>
      <c r="E4" s="5" t="b">
        <v>0</v>
      </c>
      <c r="F4" s="6">
        <f>E4*1</f>
        <v>0</v>
      </c>
      <c r="G4" s="5" t="s">
        <v>1611</v>
      </c>
    </row>
    <row r="5" spans="1:7" x14ac:dyDescent="0.25">
      <c r="A5" s="92" t="s">
        <v>312</v>
      </c>
      <c r="B5" s="5" t="b">
        <v>1</v>
      </c>
      <c r="C5" s="6">
        <f>B5/1</f>
        <v>1</v>
      </c>
      <c r="D5" s="5" t="s">
        <v>1607</v>
      </c>
      <c r="E5" s="5" t="b">
        <v>0</v>
      </c>
      <c r="F5" s="6">
        <f>E5/1</f>
        <v>0</v>
      </c>
      <c r="G5" s="5" t="s">
        <v>1612</v>
      </c>
    </row>
    <row r="6" spans="1:7" x14ac:dyDescent="0.25">
      <c r="A6" s="92" t="s">
        <v>313</v>
      </c>
      <c r="B6" s="5" t="b">
        <v>1</v>
      </c>
      <c r="C6" s="6">
        <f>B6^1</f>
        <v>1</v>
      </c>
      <c r="D6" s="5" t="s">
        <v>1608</v>
      </c>
      <c r="E6" s="5" t="b">
        <v>0</v>
      </c>
      <c r="F6" s="6">
        <f>E6^1</f>
        <v>0</v>
      </c>
      <c r="G6" s="5" t="s">
        <v>1613</v>
      </c>
    </row>
    <row r="9" spans="1:7" x14ac:dyDescent="0.25">
      <c r="A9" s="52" t="s">
        <v>307</v>
      </c>
    </row>
  </sheetData>
  <sortState ref="C5:P9">
    <sortCondition ref="L5"/>
  </sortState>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4">
    <tabColor rgb="FF0000FF"/>
  </sheetPr>
  <dimension ref="A1:E7"/>
  <sheetViews>
    <sheetView zoomScale="145" zoomScaleNormal="145" workbookViewId="0">
      <selection activeCell="E3" sqref="E3"/>
    </sheetView>
  </sheetViews>
  <sheetFormatPr defaultRowHeight="15" x14ac:dyDescent="0.25"/>
  <cols>
    <col min="1" max="1" width="9.42578125" bestFit="1" customWidth="1"/>
    <col min="2" max="2" width="2.28515625" customWidth="1"/>
    <col min="3" max="4" width="9.85546875" customWidth="1"/>
    <col min="5" max="5" width="40.5703125" bestFit="1" customWidth="1"/>
    <col min="11" max="11" width="9.140625" customWidth="1"/>
  </cols>
  <sheetData>
    <row r="1" spans="1:5" x14ac:dyDescent="0.25">
      <c r="A1" s="8" t="s">
        <v>222</v>
      </c>
      <c r="C1" s="26" t="s">
        <v>355</v>
      </c>
      <c r="D1" s="8" t="s">
        <v>33</v>
      </c>
    </row>
    <row r="2" spans="1:5" x14ac:dyDescent="0.25">
      <c r="A2" s="14" t="s">
        <v>316</v>
      </c>
      <c r="C2" s="5" t="s">
        <v>316</v>
      </c>
      <c r="D2" s="6">
        <f>SUMPRODUCT(--(A2:A5=C2))</f>
        <v>2</v>
      </c>
      <c r="E2" t="s">
        <v>1614</v>
      </c>
    </row>
    <row r="3" spans="1:5" x14ac:dyDescent="0.25">
      <c r="A3" s="14" t="s">
        <v>317</v>
      </c>
      <c r="D3" s="6">
        <f>SUMPRODUCT((A2:A5=C2)+0)</f>
        <v>2</v>
      </c>
      <c r="E3" t="s">
        <v>1615</v>
      </c>
    </row>
    <row r="4" spans="1:5" x14ac:dyDescent="0.25">
      <c r="A4" s="14" t="s">
        <v>316</v>
      </c>
      <c r="D4" s="6">
        <f>SUMPRODUCT((A2:A5=C2)/1)</f>
        <v>2</v>
      </c>
      <c r="E4" t="s">
        <v>1616</v>
      </c>
    </row>
    <row r="5" spans="1:5" x14ac:dyDescent="0.25">
      <c r="A5" s="14" t="s">
        <v>258</v>
      </c>
      <c r="D5" s="6">
        <f>SUMPRODUCT((A2:A5=C2)*1)</f>
        <v>2</v>
      </c>
      <c r="E5" t="s">
        <v>1617</v>
      </c>
    </row>
    <row r="6" spans="1:5" x14ac:dyDescent="0.25">
      <c r="D6" s="6">
        <f>SUMPRODUCT((A2:A5=C2)^1)</f>
        <v>2</v>
      </c>
      <c r="E6" t="s">
        <v>1618</v>
      </c>
    </row>
    <row r="7" spans="1:5" x14ac:dyDescent="0.25">
      <c r="D7" s="6">
        <f>SUMPRODUCT(N(A2:A5=C2))</f>
        <v>2</v>
      </c>
      <c r="E7" t="s">
        <v>1619</v>
      </c>
    </row>
  </sheetData>
  <dataValidations count="1">
    <dataValidation type="list" allowBlank="1" showInputMessage="1" showErrorMessage="1" sqref="C2">
      <formula1>#REF!</formula1>
    </dataValidation>
  </dataValidations>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3">
    <tabColor rgb="FF0000FF"/>
  </sheetPr>
  <dimension ref="B2:B11"/>
  <sheetViews>
    <sheetView zoomScale="160" zoomScaleNormal="160" workbookViewId="0"/>
  </sheetViews>
  <sheetFormatPr defaultRowHeight="15" x14ac:dyDescent="0.25"/>
  <cols>
    <col min="2" max="2" width="66.85546875" customWidth="1"/>
    <col min="8" max="8" width="9.140625" customWidth="1"/>
  </cols>
  <sheetData>
    <row r="2" spans="2:2" x14ac:dyDescent="0.25">
      <c r="B2" s="73" t="s">
        <v>368</v>
      </c>
    </row>
    <row r="3" spans="2:2" x14ac:dyDescent="0.25">
      <c r="B3" s="38" t="s">
        <v>360</v>
      </c>
    </row>
    <row r="4" spans="2:2" ht="45" x14ac:dyDescent="0.25">
      <c r="B4" s="106" t="s">
        <v>1899</v>
      </c>
    </row>
    <row r="5" spans="2:2" x14ac:dyDescent="0.25">
      <c r="B5" s="38" t="s">
        <v>361</v>
      </c>
    </row>
    <row r="6" spans="2:2" x14ac:dyDescent="0.25">
      <c r="B6" s="39" t="s">
        <v>365</v>
      </c>
    </row>
    <row r="7" spans="2:2" x14ac:dyDescent="0.25">
      <c r="B7" s="38" t="s">
        <v>364</v>
      </c>
    </row>
    <row r="8" spans="2:2" x14ac:dyDescent="0.25">
      <c r="B8" s="39" t="s">
        <v>366</v>
      </c>
    </row>
    <row r="9" spans="2:2" x14ac:dyDescent="0.25">
      <c r="B9" s="38" t="s">
        <v>362</v>
      </c>
    </row>
    <row r="10" spans="2:2" x14ac:dyDescent="0.25">
      <c r="B10" s="39" t="s">
        <v>367</v>
      </c>
    </row>
    <row r="11" spans="2:2" x14ac:dyDescent="0.25">
      <c r="B11" s="38" t="s">
        <v>363</v>
      </c>
    </row>
  </sheetData>
  <pageMargins left="0.7" right="0.7" top="0.75" bottom="0.75" header="0.3" footer="0.3"/>
  <pageSetup orientation="portrait" r:id="rId1"/>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tabColor rgb="FF0000FF"/>
  </sheetPr>
  <dimension ref="A1:D19"/>
  <sheetViews>
    <sheetView zoomScale="160" zoomScaleNormal="160" workbookViewId="0">
      <selection activeCell="E3" sqref="E3"/>
    </sheetView>
  </sheetViews>
  <sheetFormatPr defaultRowHeight="15" x14ac:dyDescent="0.25"/>
  <cols>
    <col min="1" max="3" width="13.140625" customWidth="1"/>
    <col min="4" max="4" width="66.42578125" customWidth="1"/>
    <col min="5" max="5" width="12.28515625" customWidth="1"/>
    <col min="6" max="6" width="11.5703125" customWidth="1"/>
    <col min="7" max="7" width="11.28515625" customWidth="1"/>
    <col min="8" max="8" width="9.140625" customWidth="1"/>
  </cols>
  <sheetData>
    <row r="1" spans="1:4" x14ac:dyDescent="0.25">
      <c r="A1" s="26" t="s">
        <v>8</v>
      </c>
      <c r="B1" s="26" t="s">
        <v>8</v>
      </c>
      <c r="C1" s="26" t="s">
        <v>257</v>
      </c>
    </row>
    <row r="2" spans="1:4" x14ac:dyDescent="0.25">
      <c r="A2" s="7" t="s">
        <v>369</v>
      </c>
      <c r="B2" s="7" t="s">
        <v>370</v>
      </c>
      <c r="C2" s="5" t="s">
        <v>39</v>
      </c>
      <c r="D2" s="108"/>
    </row>
    <row r="3" spans="1:4" x14ac:dyDescent="0.25">
      <c r="D3" s="108"/>
    </row>
    <row r="4" spans="1:4" x14ac:dyDescent="0.25">
      <c r="A4" s="8" t="s">
        <v>372</v>
      </c>
      <c r="B4" s="8" t="s">
        <v>356</v>
      </c>
      <c r="D4" s="108"/>
    </row>
    <row r="5" spans="1:4" x14ac:dyDescent="0.25">
      <c r="A5" s="49">
        <f>SUMIFS(C8:C19,A8:A19,A2,A8:A19,B2,B8:B19,C2)</f>
        <v>58.7</v>
      </c>
      <c r="B5" t="s">
        <v>1620</v>
      </c>
      <c r="D5" s="108"/>
    </row>
    <row r="6" spans="1:4" x14ac:dyDescent="0.25">
      <c r="D6" s="108"/>
    </row>
    <row r="7" spans="1:4" x14ac:dyDescent="0.25">
      <c r="A7" s="8" t="s">
        <v>8</v>
      </c>
      <c r="B7" s="8" t="s">
        <v>257</v>
      </c>
      <c r="C7" s="8" t="s">
        <v>181</v>
      </c>
      <c r="D7" s="108"/>
    </row>
    <row r="8" spans="1:4" x14ac:dyDescent="0.25">
      <c r="A8" s="19">
        <v>41560</v>
      </c>
      <c r="B8" s="5" t="s">
        <v>39</v>
      </c>
      <c r="C8" s="107">
        <v>18.2</v>
      </c>
      <c r="D8" s="108"/>
    </row>
    <row r="9" spans="1:4" x14ac:dyDescent="0.25">
      <c r="A9" s="19">
        <v>41562</v>
      </c>
      <c r="B9" s="5" t="s">
        <v>92</v>
      </c>
      <c r="C9" s="107">
        <v>19</v>
      </c>
      <c r="D9" s="108"/>
    </row>
    <row r="10" spans="1:4" x14ac:dyDescent="0.25">
      <c r="A10" s="19">
        <v>41554</v>
      </c>
      <c r="B10" s="5" t="s">
        <v>371</v>
      </c>
      <c r="C10" s="107">
        <v>47</v>
      </c>
      <c r="D10" s="108"/>
    </row>
    <row r="11" spans="1:4" x14ac:dyDescent="0.25">
      <c r="A11" s="19">
        <v>41562</v>
      </c>
      <c r="B11" s="5" t="s">
        <v>371</v>
      </c>
      <c r="C11" s="107">
        <v>17.899999999999999</v>
      </c>
      <c r="D11" s="108"/>
    </row>
    <row r="12" spans="1:4" x14ac:dyDescent="0.25">
      <c r="A12" s="19">
        <v>41560</v>
      </c>
      <c r="B12" s="5" t="s">
        <v>39</v>
      </c>
      <c r="C12" s="107">
        <v>40.5</v>
      </c>
      <c r="D12" s="108"/>
    </row>
    <row r="13" spans="1:4" x14ac:dyDescent="0.25">
      <c r="A13" s="19">
        <v>41565</v>
      </c>
      <c r="B13" s="5" t="s">
        <v>371</v>
      </c>
      <c r="C13" s="107">
        <v>26</v>
      </c>
      <c r="D13" s="108"/>
    </row>
    <row r="14" spans="1:4" x14ac:dyDescent="0.25">
      <c r="A14" s="19">
        <v>41555</v>
      </c>
      <c r="B14" s="5" t="s">
        <v>92</v>
      </c>
      <c r="C14" s="107">
        <v>12.1</v>
      </c>
    </row>
    <row r="15" spans="1:4" x14ac:dyDescent="0.25">
      <c r="A15" s="19">
        <v>41553</v>
      </c>
      <c r="B15" s="5" t="s">
        <v>39</v>
      </c>
      <c r="C15" s="107">
        <v>27.5</v>
      </c>
    </row>
    <row r="16" spans="1:4" x14ac:dyDescent="0.25">
      <c r="A16" s="19">
        <v>41559</v>
      </c>
      <c r="B16" s="5" t="s">
        <v>371</v>
      </c>
      <c r="C16" s="107">
        <v>19.2</v>
      </c>
    </row>
    <row r="17" spans="1:3" x14ac:dyDescent="0.25">
      <c r="A17" s="19">
        <v>41565</v>
      </c>
      <c r="B17" s="5" t="s">
        <v>92</v>
      </c>
      <c r="C17" s="107">
        <v>6</v>
      </c>
    </row>
    <row r="18" spans="1:3" x14ac:dyDescent="0.25">
      <c r="A18" s="19">
        <v>41561</v>
      </c>
      <c r="B18" s="5" t="s">
        <v>39</v>
      </c>
      <c r="C18" s="107">
        <v>25</v>
      </c>
    </row>
    <row r="19" spans="1:3" x14ac:dyDescent="0.25">
      <c r="A19" s="19">
        <v>41559</v>
      </c>
      <c r="B19" s="5" t="s">
        <v>92</v>
      </c>
      <c r="C19" s="107">
        <v>29.2</v>
      </c>
    </row>
  </sheetData>
  <pageMargins left="0.7" right="0.7" top="0.75" bottom="0.75" header="0.3" footer="0.3"/>
  <pageSetup orientation="portrait" r:id="rId1"/>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tabColor rgb="FF0000FF"/>
  </sheetPr>
  <dimension ref="A1:D19"/>
  <sheetViews>
    <sheetView zoomScale="160" zoomScaleNormal="160" workbookViewId="0">
      <selection activeCell="E3" sqref="E3"/>
    </sheetView>
  </sheetViews>
  <sheetFormatPr defaultRowHeight="15" x14ac:dyDescent="0.25"/>
  <cols>
    <col min="1" max="3" width="11.140625" customWidth="1"/>
    <col min="4" max="4" width="66.42578125" customWidth="1"/>
    <col min="5" max="5" width="12.28515625" customWidth="1"/>
    <col min="6" max="6" width="11.5703125" customWidth="1"/>
    <col min="7" max="7" width="11.28515625" customWidth="1"/>
    <col min="8" max="8" width="9.140625" customWidth="1"/>
  </cols>
  <sheetData>
    <row r="1" spans="1:4" x14ac:dyDescent="0.25">
      <c r="A1" s="26" t="s">
        <v>8</v>
      </c>
      <c r="B1" s="26" t="s">
        <v>8</v>
      </c>
      <c r="C1" s="26" t="s">
        <v>257</v>
      </c>
    </row>
    <row r="2" spans="1:4" x14ac:dyDescent="0.25">
      <c r="A2" s="7">
        <v>41554</v>
      </c>
      <c r="B2" s="7">
        <v>41560</v>
      </c>
      <c r="C2" s="5" t="s">
        <v>39</v>
      </c>
      <c r="D2" s="108"/>
    </row>
    <row r="3" spans="1:4" x14ac:dyDescent="0.25">
      <c r="D3" s="108"/>
    </row>
    <row r="4" spans="1:4" x14ac:dyDescent="0.25">
      <c r="A4" s="8" t="str">
        <f>"Period: "&amp;TEXT(A2,"m/d/yyy")&amp;" to "&amp;TEXT(B2,"m/d/yyy")</f>
        <v>Period: 10/7/2013 to 10/13/2013</v>
      </c>
      <c r="B4" s="110"/>
      <c r="C4" s="111"/>
      <c r="D4" t="s">
        <v>1621</v>
      </c>
    </row>
    <row r="5" spans="1:4" x14ac:dyDescent="0.25">
      <c r="A5" s="109">
        <f>SUMIFS(C8:C19,A8:A19,"&gt;="&amp;A2,A8:A19,"&lt;="&amp;B2,B8:B19,C2)</f>
        <v>58.7</v>
      </c>
      <c r="D5" t="s">
        <v>1622</v>
      </c>
    </row>
    <row r="6" spans="1:4" x14ac:dyDescent="0.25">
      <c r="D6" s="108"/>
    </row>
    <row r="7" spans="1:4" x14ac:dyDescent="0.25">
      <c r="A7" s="8" t="s">
        <v>8</v>
      </c>
      <c r="B7" s="8" t="s">
        <v>257</v>
      </c>
      <c r="C7" s="8" t="s">
        <v>181</v>
      </c>
      <c r="D7" s="108"/>
    </row>
    <row r="8" spans="1:4" x14ac:dyDescent="0.25">
      <c r="A8" s="19">
        <v>41560</v>
      </c>
      <c r="B8" s="5" t="s">
        <v>39</v>
      </c>
      <c r="C8" s="107">
        <v>18.2</v>
      </c>
      <c r="D8" s="108"/>
    </row>
    <row r="9" spans="1:4" x14ac:dyDescent="0.25">
      <c r="A9" s="19">
        <v>41562</v>
      </c>
      <c r="B9" s="5" t="s">
        <v>92</v>
      </c>
      <c r="C9" s="107">
        <v>19</v>
      </c>
      <c r="D9" s="108"/>
    </row>
    <row r="10" spans="1:4" x14ac:dyDescent="0.25">
      <c r="A10" s="19">
        <v>41554</v>
      </c>
      <c r="B10" s="5" t="s">
        <v>371</v>
      </c>
      <c r="C10" s="107">
        <v>47</v>
      </c>
      <c r="D10" s="108"/>
    </row>
    <row r="11" spans="1:4" x14ac:dyDescent="0.25">
      <c r="A11" s="19">
        <v>41562</v>
      </c>
      <c r="B11" s="5" t="s">
        <v>371</v>
      </c>
      <c r="C11" s="107">
        <v>17.899999999999999</v>
      </c>
      <c r="D11" s="108"/>
    </row>
    <row r="12" spans="1:4" x14ac:dyDescent="0.25">
      <c r="A12" s="19">
        <v>41560</v>
      </c>
      <c r="B12" s="5" t="s">
        <v>39</v>
      </c>
      <c r="C12" s="107">
        <v>40.5</v>
      </c>
      <c r="D12" s="108"/>
    </row>
    <row r="13" spans="1:4" x14ac:dyDescent="0.25">
      <c r="A13" s="19">
        <v>41565</v>
      </c>
      <c r="B13" s="5" t="s">
        <v>371</v>
      </c>
      <c r="C13" s="107">
        <v>26</v>
      </c>
      <c r="D13" s="108"/>
    </row>
    <row r="14" spans="1:4" x14ac:dyDescent="0.25">
      <c r="A14" s="19">
        <v>41555</v>
      </c>
      <c r="B14" s="5" t="s">
        <v>92</v>
      </c>
      <c r="C14" s="107">
        <v>12.1</v>
      </c>
    </row>
    <row r="15" spans="1:4" x14ac:dyDescent="0.25">
      <c r="A15" s="19">
        <v>41553</v>
      </c>
      <c r="B15" s="5" t="s">
        <v>39</v>
      </c>
      <c r="C15" s="107">
        <v>27.5</v>
      </c>
    </row>
    <row r="16" spans="1:4" x14ac:dyDescent="0.25">
      <c r="A16" s="19">
        <v>41559</v>
      </c>
      <c r="B16" s="5" t="s">
        <v>371</v>
      </c>
      <c r="C16" s="107">
        <v>19.2</v>
      </c>
    </row>
    <row r="17" spans="1:3" x14ac:dyDescent="0.25">
      <c r="A17" s="19">
        <v>41565</v>
      </c>
      <c r="B17" s="5" t="s">
        <v>92</v>
      </c>
      <c r="C17" s="107">
        <v>6</v>
      </c>
    </row>
    <row r="18" spans="1:3" x14ac:dyDescent="0.25">
      <c r="A18" s="19">
        <v>41561</v>
      </c>
      <c r="B18" s="5" t="s">
        <v>39</v>
      </c>
      <c r="C18" s="107">
        <v>25</v>
      </c>
    </row>
    <row r="19" spans="1:3" x14ac:dyDescent="0.25">
      <c r="A19" s="19">
        <v>41559</v>
      </c>
      <c r="B19" s="5" t="s">
        <v>92</v>
      </c>
      <c r="C19" s="107">
        <v>29.2</v>
      </c>
    </row>
  </sheetData>
  <pageMargins left="0.7" right="0.7" top="0.75" bottom="0.75" header="0.3" footer="0.3"/>
  <pageSetup orientation="portrait" r:id="rId1"/>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tabColor rgb="FF0000FF"/>
  </sheetPr>
  <dimension ref="A1:D19"/>
  <sheetViews>
    <sheetView zoomScale="160" zoomScaleNormal="160" workbookViewId="0">
      <selection activeCell="E3" sqref="E3"/>
    </sheetView>
  </sheetViews>
  <sheetFormatPr defaultRowHeight="15" x14ac:dyDescent="0.25"/>
  <cols>
    <col min="1" max="3" width="13.140625" customWidth="1"/>
    <col min="4" max="4" width="66.42578125" customWidth="1"/>
    <col min="5" max="5" width="12.28515625" customWidth="1"/>
    <col min="6" max="6" width="11.5703125" customWidth="1"/>
    <col min="7" max="7" width="11.28515625" customWidth="1"/>
    <col min="8" max="8" width="9.140625" customWidth="1"/>
  </cols>
  <sheetData>
    <row r="1" spans="1:4" x14ac:dyDescent="0.25">
      <c r="A1" s="26" t="s">
        <v>8</v>
      </c>
      <c r="B1" s="26" t="s">
        <v>8</v>
      </c>
      <c r="C1" s="26" t="s">
        <v>257</v>
      </c>
    </row>
    <row r="2" spans="1:4" x14ac:dyDescent="0.25">
      <c r="A2" s="7" t="s">
        <v>369</v>
      </c>
      <c r="B2" s="7" t="s">
        <v>370</v>
      </c>
      <c r="C2" s="5" t="s">
        <v>39</v>
      </c>
      <c r="D2" s="108"/>
    </row>
    <row r="3" spans="1:4" x14ac:dyDescent="0.25">
      <c r="D3" s="108"/>
    </row>
    <row r="4" spans="1:4" x14ac:dyDescent="0.25">
      <c r="A4" s="8" t="s">
        <v>372</v>
      </c>
      <c r="B4" s="8" t="s">
        <v>356</v>
      </c>
      <c r="D4" s="108"/>
    </row>
    <row r="5" spans="1:4" x14ac:dyDescent="0.25">
      <c r="A5" s="49">
        <f>DSUM(A7:C19,"Calls",A1:C2)</f>
        <v>58.7</v>
      </c>
      <c r="B5" t="s">
        <v>1623</v>
      </c>
      <c r="D5" s="108"/>
    </row>
    <row r="6" spans="1:4" x14ac:dyDescent="0.25">
      <c r="D6" s="108"/>
    </row>
    <row r="7" spans="1:4" x14ac:dyDescent="0.25">
      <c r="A7" s="8" t="s">
        <v>8</v>
      </c>
      <c r="B7" s="8" t="s">
        <v>257</v>
      </c>
      <c r="C7" s="8" t="s">
        <v>181</v>
      </c>
      <c r="D7" s="108"/>
    </row>
    <row r="8" spans="1:4" x14ac:dyDescent="0.25">
      <c r="A8" s="19">
        <v>41560</v>
      </c>
      <c r="B8" s="5" t="s">
        <v>39</v>
      </c>
      <c r="C8" s="107">
        <v>18.2</v>
      </c>
      <c r="D8" s="108"/>
    </row>
    <row r="9" spans="1:4" x14ac:dyDescent="0.25">
      <c r="A9" s="19">
        <v>41562</v>
      </c>
      <c r="B9" s="5" t="s">
        <v>92</v>
      </c>
      <c r="C9" s="107">
        <v>19</v>
      </c>
      <c r="D9" s="108"/>
    </row>
    <row r="10" spans="1:4" x14ac:dyDescent="0.25">
      <c r="A10" s="19">
        <v>41554</v>
      </c>
      <c r="B10" s="5" t="s">
        <v>371</v>
      </c>
      <c r="C10" s="107">
        <v>47</v>
      </c>
      <c r="D10" s="108"/>
    </row>
    <row r="11" spans="1:4" x14ac:dyDescent="0.25">
      <c r="A11" s="19">
        <v>41562</v>
      </c>
      <c r="B11" s="5" t="s">
        <v>371</v>
      </c>
      <c r="C11" s="107">
        <v>17.899999999999999</v>
      </c>
      <c r="D11" s="108"/>
    </row>
    <row r="12" spans="1:4" x14ac:dyDescent="0.25">
      <c r="A12" s="19">
        <v>41560</v>
      </c>
      <c r="B12" s="5" t="s">
        <v>39</v>
      </c>
      <c r="C12" s="107">
        <v>40.5</v>
      </c>
      <c r="D12" s="108"/>
    </row>
    <row r="13" spans="1:4" x14ac:dyDescent="0.25">
      <c r="A13" s="19">
        <v>41565</v>
      </c>
      <c r="B13" s="5" t="s">
        <v>371</v>
      </c>
      <c r="C13" s="107">
        <v>26</v>
      </c>
      <c r="D13" s="108"/>
    </row>
    <row r="14" spans="1:4" x14ac:dyDescent="0.25">
      <c r="A14" s="19">
        <v>41555</v>
      </c>
      <c r="B14" s="5" t="s">
        <v>92</v>
      </c>
      <c r="C14" s="107">
        <v>12.1</v>
      </c>
    </row>
    <row r="15" spans="1:4" x14ac:dyDescent="0.25">
      <c r="A15" s="19">
        <v>41553</v>
      </c>
      <c r="B15" s="5" t="s">
        <v>39</v>
      </c>
      <c r="C15" s="107">
        <v>27.5</v>
      </c>
    </row>
    <row r="16" spans="1:4" x14ac:dyDescent="0.25">
      <c r="A16" s="19">
        <v>41559</v>
      </c>
      <c r="B16" s="5" t="s">
        <v>371</v>
      </c>
      <c r="C16" s="107">
        <v>19.2</v>
      </c>
    </row>
    <row r="17" spans="1:3" x14ac:dyDescent="0.25">
      <c r="A17" s="19">
        <v>41565</v>
      </c>
      <c r="B17" s="5" t="s">
        <v>92</v>
      </c>
      <c r="C17" s="107">
        <v>6</v>
      </c>
    </row>
    <row r="18" spans="1:3" x14ac:dyDescent="0.25">
      <c r="A18" s="19">
        <v>41561</v>
      </c>
      <c r="B18" s="5" t="s">
        <v>39</v>
      </c>
      <c r="C18" s="107">
        <v>25</v>
      </c>
    </row>
    <row r="19" spans="1:3" x14ac:dyDescent="0.25">
      <c r="A19" s="19">
        <v>41559</v>
      </c>
      <c r="B19" s="5" t="s">
        <v>92</v>
      </c>
      <c r="C19" s="107">
        <v>29.2</v>
      </c>
    </row>
  </sheetData>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5">
    <tabColor rgb="FF0000FF"/>
  </sheetPr>
  <dimension ref="A1:D19"/>
  <sheetViews>
    <sheetView zoomScale="160" zoomScaleNormal="160" workbookViewId="0">
      <selection activeCell="E3" sqref="E3"/>
    </sheetView>
  </sheetViews>
  <sheetFormatPr defaultRowHeight="15" x14ac:dyDescent="0.25"/>
  <cols>
    <col min="1" max="3" width="13.140625" customWidth="1"/>
    <col min="4" max="4" width="66.42578125" customWidth="1"/>
    <col min="5" max="5" width="12.28515625" customWidth="1"/>
    <col min="6" max="6" width="11.5703125" customWidth="1"/>
    <col min="7" max="7" width="11.28515625" customWidth="1"/>
    <col min="8" max="8" width="9.140625" customWidth="1"/>
  </cols>
  <sheetData>
    <row r="1" spans="1:4" x14ac:dyDescent="0.25">
      <c r="A1" s="26" t="s">
        <v>8</v>
      </c>
      <c r="B1" s="26" t="s">
        <v>8</v>
      </c>
      <c r="C1" s="26" t="s">
        <v>257</v>
      </c>
    </row>
    <row r="2" spans="1:4" x14ac:dyDescent="0.25">
      <c r="A2" s="7">
        <v>41554</v>
      </c>
      <c r="B2" s="7">
        <v>41560</v>
      </c>
      <c r="C2" s="5" t="s">
        <v>39</v>
      </c>
      <c r="D2" s="108"/>
    </row>
    <row r="3" spans="1:4" x14ac:dyDescent="0.25">
      <c r="D3" s="108"/>
    </row>
    <row r="4" spans="1:4" x14ac:dyDescent="0.25">
      <c r="A4" s="8" t="s">
        <v>372</v>
      </c>
      <c r="B4" s="8" t="s">
        <v>356</v>
      </c>
      <c r="D4" s="108"/>
    </row>
    <row r="5" spans="1:4" x14ac:dyDescent="0.25">
      <c r="A5" s="49">
        <f>SUMPRODUCT(--(A8:A19&gt;=A2),--(A8:A19&lt;=B2),--(B8:B19=C2),C8:C19)</f>
        <v>58.7</v>
      </c>
      <c r="B5" t="s">
        <v>1624</v>
      </c>
      <c r="D5" s="108"/>
    </row>
    <row r="6" spans="1:4" x14ac:dyDescent="0.25">
      <c r="D6" s="108"/>
    </row>
    <row r="7" spans="1:4" x14ac:dyDescent="0.25">
      <c r="A7" s="8" t="s">
        <v>8</v>
      </c>
      <c r="B7" s="8" t="s">
        <v>257</v>
      </c>
      <c r="C7" s="8" t="s">
        <v>181</v>
      </c>
      <c r="D7" s="108"/>
    </row>
    <row r="8" spans="1:4" x14ac:dyDescent="0.25">
      <c r="A8" s="19">
        <v>41560</v>
      </c>
      <c r="B8" s="5" t="s">
        <v>39</v>
      </c>
      <c r="C8" s="107">
        <v>18.2</v>
      </c>
      <c r="D8" s="108"/>
    </row>
    <row r="9" spans="1:4" x14ac:dyDescent="0.25">
      <c r="A9" s="19">
        <v>41562</v>
      </c>
      <c r="B9" s="5" t="s">
        <v>92</v>
      </c>
      <c r="C9" s="107">
        <v>19</v>
      </c>
      <c r="D9" s="108"/>
    </row>
    <row r="10" spans="1:4" x14ac:dyDescent="0.25">
      <c r="A10" s="19">
        <v>41554</v>
      </c>
      <c r="B10" s="5" t="s">
        <v>371</v>
      </c>
      <c r="C10" s="107">
        <v>47</v>
      </c>
      <c r="D10" s="108"/>
    </row>
    <row r="11" spans="1:4" x14ac:dyDescent="0.25">
      <c r="A11" s="19">
        <v>41562</v>
      </c>
      <c r="B11" s="5" t="s">
        <v>371</v>
      </c>
      <c r="C11" s="107">
        <v>17.899999999999999</v>
      </c>
      <c r="D11" s="108"/>
    </row>
    <row r="12" spans="1:4" x14ac:dyDescent="0.25">
      <c r="A12" s="19">
        <v>41560</v>
      </c>
      <c r="B12" s="5" t="s">
        <v>39</v>
      </c>
      <c r="C12" s="107">
        <v>40.5</v>
      </c>
      <c r="D12" s="108"/>
    </row>
    <row r="13" spans="1:4" x14ac:dyDescent="0.25">
      <c r="A13" s="19">
        <v>41565</v>
      </c>
      <c r="B13" s="5" t="s">
        <v>371</v>
      </c>
      <c r="C13" s="107">
        <v>26</v>
      </c>
      <c r="D13" s="108"/>
    </row>
    <row r="14" spans="1:4" x14ac:dyDescent="0.25">
      <c r="A14" s="19">
        <v>41555</v>
      </c>
      <c r="B14" s="5" t="s">
        <v>92</v>
      </c>
      <c r="C14" s="107">
        <v>12.1</v>
      </c>
    </row>
    <row r="15" spans="1:4" x14ac:dyDescent="0.25">
      <c r="A15" s="19">
        <v>41553</v>
      </c>
      <c r="B15" s="5" t="s">
        <v>39</v>
      </c>
      <c r="C15" s="107">
        <v>27.5</v>
      </c>
    </row>
    <row r="16" spans="1:4" x14ac:dyDescent="0.25">
      <c r="A16" s="19">
        <v>41559</v>
      </c>
      <c r="B16" s="5" t="s">
        <v>371</v>
      </c>
      <c r="C16" s="107">
        <v>19.2</v>
      </c>
    </row>
    <row r="17" spans="1:3" x14ac:dyDescent="0.25">
      <c r="A17" s="19">
        <v>41565</v>
      </c>
      <c r="B17" s="5" t="s">
        <v>92</v>
      </c>
      <c r="C17" s="107">
        <v>6</v>
      </c>
    </row>
    <row r="18" spans="1:3" x14ac:dyDescent="0.25">
      <c r="A18" s="19">
        <v>41561</v>
      </c>
      <c r="B18" s="5" t="s">
        <v>39</v>
      </c>
      <c r="C18" s="107">
        <v>25</v>
      </c>
    </row>
    <row r="19" spans="1:3" x14ac:dyDescent="0.25">
      <c r="A19" s="19">
        <v>41559</v>
      </c>
      <c r="B19" s="5" t="s">
        <v>92</v>
      </c>
      <c r="C19" s="107">
        <v>29.2</v>
      </c>
    </row>
  </sheetData>
  <pageMargins left="0.7" right="0.7" top="0.75" bottom="0.75" header="0.3" footer="0.3"/>
  <pageSetup orientation="portrait" r:id="rId1"/>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tabColor rgb="FF0000FF"/>
  </sheetPr>
  <dimension ref="A1:A14"/>
  <sheetViews>
    <sheetView zoomScale="130" zoomScaleNormal="130" workbookViewId="0">
      <selection activeCell="E3" sqref="E3"/>
    </sheetView>
  </sheetViews>
  <sheetFormatPr defaultRowHeight="15" x14ac:dyDescent="0.25"/>
  <cols>
    <col min="1" max="1" width="22.28515625" customWidth="1"/>
    <col min="2" max="2" width="72" customWidth="1"/>
    <col min="3" max="3" width="13.140625" customWidth="1"/>
    <col min="7" max="7" width="11.28515625" customWidth="1"/>
  </cols>
  <sheetData>
    <row r="1" spans="1:1" x14ac:dyDescent="0.25">
      <c r="A1" s="26" t="s">
        <v>377</v>
      </c>
    </row>
    <row r="2" spans="1:1" x14ac:dyDescent="0.25">
      <c r="A2" s="5" t="s">
        <v>374</v>
      </c>
    </row>
    <row r="4" spans="1:1" x14ac:dyDescent="0.25">
      <c r="A4" s="8" t="s">
        <v>375</v>
      </c>
    </row>
    <row r="5" spans="1:1" x14ac:dyDescent="0.25">
      <c r="A5" s="49" t="s">
        <v>378</v>
      </c>
    </row>
    <row r="6" spans="1:1" x14ac:dyDescent="0.25">
      <c r="A6" t="s">
        <v>378</v>
      </c>
    </row>
    <row r="7" spans="1:1" x14ac:dyDescent="0.25">
      <c r="A7" s="8" t="s">
        <v>376</v>
      </c>
    </row>
    <row r="8" spans="1:1" x14ac:dyDescent="0.25">
      <c r="A8" s="49" t="s">
        <v>379</v>
      </c>
    </row>
    <row r="9" spans="1:1" x14ac:dyDescent="0.25">
      <c r="A9" t="s">
        <v>379</v>
      </c>
    </row>
    <row r="11" spans="1:1" x14ac:dyDescent="0.25">
      <c r="A11" s="112" t="s">
        <v>380</v>
      </c>
    </row>
    <row r="14" spans="1:1" x14ac:dyDescent="0.25">
      <c r="A14" t="s">
        <v>373</v>
      </c>
    </row>
  </sheetData>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6">
    <tabColor rgb="FF0000FF"/>
  </sheetPr>
  <dimension ref="A1:C14"/>
  <sheetViews>
    <sheetView zoomScale="130" zoomScaleNormal="130" workbookViewId="0">
      <selection activeCell="E3" sqref="E3"/>
    </sheetView>
  </sheetViews>
  <sheetFormatPr defaultRowHeight="15" x14ac:dyDescent="0.25"/>
  <cols>
    <col min="1" max="1" width="22.28515625" customWidth="1"/>
    <col min="2" max="2" width="72" customWidth="1"/>
    <col min="3" max="3" width="13.140625" customWidth="1"/>
    <col min="7" max="7" width="11.28515625" customWidth="1"/>
  </cols>
  <sheetData>
    <row r="1" spans="1:3" x14ac:dyDescent="0.25">
      <c r="A1" s="26" t="s">
        <v>377</v>
      </c>
    </row>
    <row r="2" spans="1:3" x14ac:dyDescent="0.25">
      <c r="A2" s="5" t="s">
        <v>374</v>
      </c>
    </row>
    <row r="4" spans="1:3" x14ac:dyDescent="0.25">
      <c r="A4" s="8" t="s">
        <v>375</v>
      </c>
    </row>
    <row r="5" spans="1:3" x14ac:dyDescent="0.25">
      <c r="A5" s="49" t="s">
        <v>381</v>
      </c>
      <c r="C5" t="s">
        <v>383</v>
      </c>
    </row>
    <row r="6" spans="1:3" x14ac:dyDescent="0.25">
      <c r="A6" t="s">
        <v>381</v>
      </c>
    </row>
    <row r="7" spans="1:3" x14ac:dyDescent="0.25">
      <c r="A7" s="8" t="s">
        <v>376</v>
      </c>
    </row>
    <row r="8" spans="1:3" x14ac:dyDescent="0.25">
      <c r="A8" s="49" t="s">
        <v>382</v>
      </c>
    </row>
    <row r="9" spans="1:3" x14ac:dyDescent="0.25">
      <c r="A9" t="s">
        <v>382</v>
      </c>
    </row>
    <row r="11" spans="1:3" x14ac:dyDescent="0.25">
      <c r="A11" s="112" t="s">
        <v>380</v>
      </c>
    </row>
    <row r="14" spans="1:3" x14ac:dyDescent="0.25">
      <c r="A14" t="s">
        <v>373</v>
      </c>
    </row>
  </sheetData>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tabColor rgb="FF0000FF"/>
  </sheetPr>
  <dimension ref="A1:C8"/>
  <sheetViews>
    <sheetView zoomScale="130" zoomScaleNormal="130" workbookViewId="0">
      <selection activeCell="E3" sqref="E3"/>
    </sheetView>
  </sheetViews>
  <sheetFormatPr defaultRowHeight="15" x14ac:dyDescent="0.25"/>
  <cols>
    <col min="1" max="1" width="22.42578125" customWidth="1"/>
    <col min="2" max="2" width="10.28515625" bestFit="1" customWidth="1"/>
    <col min="3" max="3" width="9.85546875" bestFit="1" customWidth="1"/>
  </cols>
  <sheetData>
    <row r="1" spans="1:3" x14ac:dyDescent="0.25">
      <c r="A1" s="23" t="s">
        <v>384</v>
      </c>
    </row>
    <row r="2" spans="1:3" x14ac:dyDescent="0.25">
      <c r="A2" s="8" t="s">
        <v>36</v>
      </c>
      <c r="B2" s="7">
        <v>41252</v>
      </c>
      <c r="C2" s="34"/>
    </row>
    <row r="3" spans="1:3" x14ac:dyDescent="0.25">
      <c r="A3" s="8" t="s">
        <v>37</v>
      </c>
      <c r="B3" s="7">
        <f>B2+700</f>
        <v>41952</v>
      </c>
      <c r="C3" s="34"/>
    </row>
    <row r="4" spans="1:3" x14ac:dyDescent="0.25">
      <c r="A4" s="8" t="s">
        <v>384</v>
      </c>
      <c r="B4" s="6">
        <f ca="1">SUMPRODUCT(--(TEXT(ROW(INDIRECT(B2&amp;":"&amp;B3)),"ddd d")="Fri 13"))</f>
        <v>3</v>
      </c>
    </row>
    <row r="6" spans="1:3" x14ac:dyDescent="0.25">
      <c r="A6" t="s">
        <v>385</v>
      </c>
    </row>
    <row r="8" spans="1:3" x14ac:dyDescent="0.25">
      <c r="A8" t="s">
        <v>319</v>
      </c>
    </row>
  </sheetData>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0">
    <tabColor rgb="FF0000FF"/>
  </sheetPr>
  <dimension ref="A1:C27"/>
  <sheetViews>
    <sheetView zoomScale="130" zoomScaleNormal="130" workbookViewId="0">
      <selection activeCell="E3" sqref="E3"/>
    </sheetView>
  </sheetViews>
  <sheetFormatPr defaultRowHeight="15" x14ac:dyDescent="0.25"/>
  <cols>
    <col min="1" max="3" width="13.140625" customWidth="1"/>
    <col min="4" max="4" width="51.42578125" customWidth="1"/>
    <col min="8" max="8" width="10.85546875" customWidth="1"/>
  </cols>
  <sheetData>
    <row r="1" spans="1:3" x14ac:dyDescent="0.25">
      <c r="A1" s="26" t="s">
        <v>8</v>
      </c>
      <c r="B1" s="26" t="s">
        <v>8</v>
      </c>
      <c r="C1" s="26" t="s">
        <v>257</v>
      </c>
    </row>
    <row r="2" spans="1:3" x14ac:dyDescent="0.25">
      <c r="A2" s="7">
        <v>41554</v>
      </c>
      <c r="B2" s="7">
        <v>41560</v>
      </c>
      <c r="C2" s="5" t="s">
        <v>39</v>
      </c>
    </row>
    <row r="4" spans="1:3" x14ac:dyDescent="0.25">
      <c r="A4" s="8" t="s">
        <v>372</v>
      </c>
      <c r="B4" s="8" t="s">
        <v>356</v>
      </c>
    </row>
    <row r="5" spans="1:3" x14ac:dyDescent="0.25">
      <c r="A5" s="49" t="e">
        <f>SUMPRODUCT(IF(A14:A25&gt;=A2,IF(A14:A25&lt;=B2,IF(B14:B25=C2,C14:C25))))</f>
        <v>#VALUE!</v>
      </c>
      <c r="B5" t="s">
        <v>1625</v>
      </c>
    </row>
    <row r="6" spans="1:3" x14ac:dyDescent="0.25">
      <c r="A6" s="49">
        <f t="array" ref="A6">SUMPRODUCT(IF(A14:A25&gt;=A2,IF(A14:A25&lt;=B2,IF(B14:B25=C2,C14:C25))))</f>
        <v>58.7</v>
      </c>
      <c r="B6" t="s">
        <v>1626</v>
      </c>
    </row>
    <row r="8" spans="1:3" x14ac:dyDescent="0.25">
      <c r="A8" s="23" t="s">
        <v>386</v>
      </c>
    </row>
    <row r="9" spans="1:3" x14ac:dyDescent="0.25">
      <c r="A9" s="8" t="s">
        <v>372</v>
      </c>
      <c r="B9" s="8" t="s">
        <v>356</v>
      </c>
    </row>
    <row r="10" spans="1:3" x14ac:dyDescent="0.25">
      <c r="A10" s="49">
        <f>SUMPRODUCT(--(A14:A25&gt;=A2),--(A14:A25&lt;=B2),--(B14:B25=C2),C14:C25)</f>
        <v>58.7</v>
      </c>
      <c r="B10" t="s">
        <v>1627</v>
      </c>
    </row>
    <row r="11" spans="1:3" x14ac:dyDescent="0.25">
      <c r="A11" s="49">
        <f t="array" ref="A11">SUM(IF(A14:A25&gt;=A2,IF(A14:A25&lt;=B2,IF(B14:B25=C2,C14:C25))))</f>
        <v>58.7</v>
      </c>
      <c r="B11" t="s">
        <v>1628</v>
      </c>
    </row>
    <row r="13" spans="1:3" x14ac:dyDescent="0.25">
      <c r="A13" s="8" t="s">
        <v>8</v>
      </c>
      <c r="B13" s="8" t="s">
        <v>257</v>
      </c>
      <c r="C13" s="8" t="s">
        <v>181</v>
      </c>
    </row>
    <row r="14" spans="1:3" x14ac:dyDescent="0.25">
      <c r="A14" s="19">
        <v>41560</v>
      </c>
      <c r="B14" s="5" t="s">
        <v>39</v>
      </c>
      <c r="C14" s="107">
        <v>18.2</v>
      </c>
    </row>
    <row r="15" spans="1:3" x14ac:dyDescent="0.25">
      <c r="A15" s="19">
        <v>41562</v>
      </c>
      <c r="B15" s="5" t="s">
        <v>92</v>
      </c>
      <c r="C15" s="107">
        <v>19</v>
      </c>
    </row>
    <row r="16" spans="1:3" x14ac:dyDescent="0.25">
      <c r="A16" s="19">
        <v>41554</v>
      </c>
      <c r="B16" s="5" t="s">
        <v>371</v>
      </c>
      <c r="C16" s="107">
        <v>47</v>
      </c>
    </row>
    <row r="17" spans="1:3" x14ac:dyDescent="0.25">
      <c r="A17" s="19">
        <v>41562</v>
      </c>
      <c r="B17" s="5" t="s">
        <v>371</v>
      </c>
      <c r="C17" s="107">
        <v>17.899999999999999</v>
      </c>
    </row>
    <row r="18" spans="1:3" x14ac:dyDescent="0.25">
      <c r="A18" s="19">
        <v>41560</v>
      </c>
      <c r="B18" s="5" t="s">
        <v>39</v>
      </c>
      <c r="C18" s="107">
        <v>40.5</v>
      </c>
    </row>
    <row r="19" spans="1:3" x14ac:dyDescent="0.25">
      <c r="A19" s="19">
        <v>41565</v>
      </c>
      <c r="B19" s="5" t="s">
        <v>371</v>
      </c>
      <c r="C19" s="107">
        <v>26</v>
      </c>
    </row>
    <row r="20" spans="1:3" x14ac:dyDescent="0.25">
      <c r="A20" s="19">
        <v>41555</v>
      </c>
      <c r="B20" s="5" t="s">
        <v>92</v>
      </c>
      <c r="C20" s="107">
        <v>12.1</v>
      </c>
    </row>
    <row r="21" spans="1:3" x14ac:dyDescent="0.25">
      <c r="A21" s="19">
        <v>41553</v>
      </c>
      <c r="B21" s="5" t="s">
        <v>39</v>
      </c>
      <c r="C21" s="107">
        <v>27.5</v>
      </c>
    </row>
    <row r="22" spans="1:3" x14ac:dyDescent="0.25">
      <c r="A22" s="19">
        <v>41559</v>
      </c>
      <c r="B22" s="5" t="s">
        <v>371</v>
      </c>
      <c r="C22" s="107">
        <v>19.2</v>
      </c>
    </row>
    <row r="23" spans="1:3" x14ac:dyDescent="0.25">
      <c r="A23" s="19">
        <v>41565</v>
      </c>
      <c r="B23" s="5" t="s">
        <v>92</v>
      </c>
      <c r="C23" s="107">
        <v>6</v>
      </c>
    </row>
    <row r="24" spans="1:3" x14ac:dyDescent="0.25">
      <c r="A24" s="19">
        <v>41561</v>
      </c>
      <c r="B24" s="5" t="s">
        <v>39</v>
      </c>
      <c r="C24" s="107">
        <v>25</v>
      </c>
    </row>
    <row r="25" spans="1:3" x14ac:dyDescent="0.25">
      <c r="A25" s="19">
        <v>41559</v>
      </c>
      <c r="B25" s="5" t="s">
        <v>92</v>
      </c>
      <c r="C25" s="107">
        <v>29.2</v>
      </c>
    </row>
    <row r="27" spans="1:3" x14ac:dyDescent="0.25">
      <c r="A27" t="s">
        <v>320</v>
      </c>
    </row>
  </sheetData>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1">
    <tabColor rgb="FF0000FF"/>
  </sheetPr>
  <dimension ref="A1:E17"/>
  <sheetViews>
    <sheetView zoomScale="145" zoomScaleNormal="145" workbookViewId="0">
      <selection activeCell="E3" sqref="E3"/>
    </sheetView>
  </sheetViews>
  <sheetFormatPr defaultRowHeight="15" x14ac:dyDescent="0.25"/>
  <cols>
    <col min="5" max="5" width="36" bestFit="1" customWidth="1"/>
  </cols>
  <sheetData>
    <row r="1" spans="1:5" x14ac:dyDescent="0.25">
      <c r="A1" t="b">
        <v>1</v>
      </c>
      <c r="B1" t="b">
        <v>1</v>
      </c>
      <c r="C1" t="b">
        <v>1</v>
      </c>
      <c r="E1" t="str">
        <f t="shared" ref="E1:E8" si="0">A1&amp;"*"&amp;B1&amp;"*"&amp;C1&amp;" = "&amp;--A1&amp;"*"&amp;--B1&amp;"*"&amp;--C1&amp;" = "&amp;A1*B1*C1&amp;" = "&amp;AND(A1*B1*C1)</f>
        <v>TRUE*TRUE*TRUE = 1*1*1 = 1 = TRUE</v>
      </c>
    </row>
    <row r="2" spans="1:5" x14ac:dyDescent="0.25">
      <c r="A2" t="b">
        <v>0</v>
      </c>
      <c r="B2" t="b">
        <v>1</v>
      </c>
      <c r="C2" t="b">
        <v>1</v>
      </c>
      <c r="E2" t="str">
        <f t="shared" si="0"/>
        <v>FALSE*TRUE*TRUE = 0*1*1 = 0 = FALSE</v>
      </c>
    </row>
    <row r="3" spans="1:5" x14ac:dyDescent="0.25">
      <c r="A3" t="b">
        <v>1</v>
      </c>
      <c r="B3" t="b">
        <v>0</v>
      </c>
      <c r="C3" t="b">
        <v>1</v>
      </c>
      <c r="E3" t="str">
        <f t="shared" si="0"/>
        <v>TRUE*FALSE*TRUE = 1*0*1 = 0 = FALSE</v>
      </c>
    </row>
    <row r="4" spans="1:5" x14ac:dyDescent="0.25">
      <c r="A4" t="b">
        <v>1</v>
      </c>
      <c r="B4" t="b">
        <v>1</v>
      </c>
      <c r="C4" t="b">
        <v>0</v>
      </c>
      <c r="E4" t="str">
        <f t="shared" si="0"/>
        <v>TRUE*TRUE*FALSE = 1*1*0 = 0 = FALSE</v>
      </c>
    </row>
    <row r="5" spans="1:5" x14ac:dyDescent="0.25">
      <c r="A5" t="b">
        <v>1</v>
      </c>
      <c r="B5" t="b">
        <v>0</v>
      </c>
      <c r="C5" t="b">
        <v>0</v>
      </c>
      <c r="E5" t="str">
        <f t="shared" si="0"/>
        <v>TRUE*FALSE*FALSE = 1*0*0 = 0 = FALSE</v>
      </c>
    </row>
    <row r="6" spans="1:5" x14ac:dyDescent="0.25">
      <c r="A6" t="b">
        <v>0</v>
      </c>
      <c r="B6" t="b">
        <v>1</v>
      </c>
      <c r="C6" t="b">
        <v>0</v>
      </c>
      <c r="E6" t="str">
        <f t="shared" si="0"/>
        <v>FALSE*TRUE*FALSE = 0*1*0 = 0 = FALSE</v>
      </c>
    </row>
    <row r="7" spans="1:5" x14ac:dyDescent="0.25">
      <c r="A7" t="b">
        <v>0</v>
      </c>
      <c r="B7" t="b">
        <v>0</v>
      </c>
      <c r="C7" t="b">
        <v>1</v>
      </c>
      <c r="E7" t="str">
        <f t="shared" si="0"/>
        <v>FALSE*FALSE*TRUE = 0*0*1 = 0 = FALSE</v>
      </c>
    </row>
    <row r="8" spans="1:5" x14ac:dyDescent="0.25">
      <c r="A8" t="b">
        <v>0</v>
      </c>
      <c r="B8" t="b">
        <v>0</v>
      </c>
      <c r="C8" t="b">
        <v>0</v>
      </c>
      <c r="E8" t="str">
        <f t="shared" si="0"/>
        <v>FALSE*FALSE*FALSE = 0*0*0 = 0 = FALSE</v>
      </c>
    </row>
    <row r="10" spans="1:5" x14ac:dyDescent="0.25">
      <c r="A10" t="b">
        <v>1</v>
      </c>
      <c r="B10" t="b">
        <v>1</v>
      </c>
      <c r="C10" t="b">
        <v>1</v>
      </c>
      <c r="E10" t="str">
        <f>A10&amp;"+"&amp;B10&amp;"+"&amp;C10&amp;" = "&amp;--A10&amp;"+"&amp;--B10&amp;"+"&amp;--C10&amp;" = "&amp;A10+B10+C10&amp;" = "&amp;OR(A10+B10+C10)</f>
        <v>TRUE+TRUE+TRUE = 1+1+1 = 3 = TRUE</v>
      </c>
    </row>
    <row r="11" spans="1:5" x14ac:dyDescent="0.25">
      <c r="A11" t="b">
        <v>0</v>
      </c>
      <c r="B11" t="b">
        <v>1</v>
      </c>
      <c r="C11" t="b">
        <v>1</v>
      </c>
      <c r="E11" t="str">
        <f t="shared" ref="E11:E17" si="1">A11&amp;"+"&amp;B11&amp;"+"&amp;C11&amp;" = "&amp;--A11&amp;"+"&amp;--B11&amp;"+"&amp;--C11&amp;" = "&amp;A11+B11+C11&amp;" = "&amp;OR(A11+B11+C11)</f>
        <v>FALSE+TRUE+TRUE = 0+1+1 = 2 = TRUE</v>
      </c>
    </row>
    <row r="12" spans="1:5" x14ac:dyDescent="0.25">
      <c r="A12" t="b">
        <v>1</v>
      </c>
      <c r="B12" t="b">
        <v>0</v>
      </c>
      <c r="C12" t="b">
        <v>1</v>
      </c>
      <c r="E12" t="str">
        <f t="shared" si="1"/>
        <v>TRUE+FALSE+TRUE = 1+0+1 = 2 = TRUE</v>
      </c>
    </row>
    <row r="13" spans="1:5" x14ac:dyDescent="0.25">
      <c r="A13" t="b">
        <v>1</v>
      </c>
      <c r="B13" t="b">
        <v>1</v>
      </c>
      <c r="C13" t="b">
        <v>0</v>
      </c>
      <c r="E13" t="str">
        <f t="shared" si="1"/>
        <v>TRUE+TRUE+FALSE = 1+1+0 = 2 = TRUE</v>
      </c>
    </row>
    <row r="14" spans="1:5" x14ac:dyDescent="0.25">
      <c r="A14" t="b">
        <v>1</v>
      </c>
      <c r="B14" t="b">
        <v>0</v>
      </c>
      <c r="C14" t="b">
        <v>0</v>
      </c>
      <c r="E14" t="str">
        <f t="shared" si="1"/>
        <v>TRUE+FALSE+FALSE = 1+0+0 = 1 = TRUE</v>
      </c>
    </row>
    <row r="15" spans="1:5" x14ac:dyDescent="0.25">
      <c r="A15" t="b">
        <v>0</v>
      </c>
      <c r="B15" t="b">
        <v>1</v>
      </c>
      <c r="C15" t="b">
        <v>0</v>
      </c>
      <c r="E15" t="str">
        <f t="shared" si="1"/>
        <v>FALSE+TRUE+FALSE = 0+1+0 = 1 = TRUE</v>
      </c>
    </row>
    <row r="16" spans="1:5" x14ac:dyDescent="0.25">
      <c r="A16" t="b">
        <v>0</v>
      </c>
      <c r="B16" t="b">
        <v>0</v>
      </c>
      <c r="C16" t="b">
        <v>1</v>
      </c>
      <c r="E16" t="str">
        <f t="shared" si="1"/>
        <v>FALSE+FALSE+TRUE = 0+0+1 = 1 = TRUE</v>
      </c>
    </row>
    <row r="17" spans="1:5" x14ac:dyDescent="0.25">
      <c r="A17" t="b">
        <v>0</v>
      </c>
      <c r="B17" t="b">
        <v>0</v>
      </c>
      <c r="C17" t="b">
        <v>0</v>
      </c>
      <c r="E17" t="str">
        <f t="shared" si="1"/>
        <v>FALSE+FALSE+FALSE = 0+0+0 = 0 = FALSE</v>
      </c>
    </row>
  </sheetData>
  <pageMargins left="0.7" right="0.7" top="0.75" bottom="0.75" header="0.3" footer="0.3"/>
  <pageSetup orientation="portrait" r:id="rId1"/>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2">
    <tabColor rgb="FF0000FF"/>
  </sheetPr>
  <dimension ref="A1:I18"/>
  <sheetViews>
    <sheetView zoomScale="160" zoomScaleNormal="160" workbookViewId="0">
      <selection activeCell="E3" sqref="E3"/>
    </sheetView>
  </sheetViews>
  <sheetFormatPr defaultRowHeight="15" x14ac:dyDescent="0.25"/>
  <cols>
    <col min="1" max="1" width="9.28515625" bestFit="1" customWidth="1"/>
    <col min="2" max="2" width="7.140625" customWidth="1"/>
    <col min="4" max="4" width="6.85546875" customWidth="1"/>
    <col min="10" max="10" width="21.42578125" customWidth="1"/>
    <col min="11" max="11" width="10.140625" customWidth="1"/>
  </cols>
  <sheetData>
    <row r="1" spans="1:9" x14ac:dyDescent="0.25">
      <c r="A1" s="8" t="s">
        <v>8</v>
      </c>
      <c r="B1" s="8" t="s">
        <v>387</v>
      </c>
      <c r="C1" s="8" t="s">
        <v>390</v>
      </c>
      <c r="D1" s="8" t="s">
        <v>11</v>
      </c>
    </row>
    <row r="2" spans="1:9" x14ac:dyDescent="0.25">
      <c r="A2" s="7">
        <v>41338</v>
      </c>
      <c r="B2" s="5" t="s">
        <v>388</v>
      </c>
      <c r="C2" s="5" t="s">
        <v>322</v>
      </c>
      <c r="D2" s="5">
        <v>1290</v>
      </c>
    </row>
    <row r="3" spans="1:9" x14ac:dyDescent="0.25">
      <c r="A3" s="7">
        <v>41339</v>
      </c>
      <c r="B3" s="5" t="s">
        <v>389</v>
      </c>
      <c r="C3" s="5" t="s">
        <v>92</v>
      </c>
      <c r="D3" s="5">
        <v>955</v>
      </c>
    </row>
    <row r="4" spans="1:9" x14ac:dyDescent="0.25">
      <c r="A4" s="7">
        <v>41338</v>
      </c>
      <c r="B4" s="5" t="s">
        <v>388</v>
      </c>
      <c r="C4" s="5" t="s">
        <v>322</v>
      </c>
      <c r="D4" s="5">
        <v>2051</v>
      </c>
    </row>
    <row r="5" spans="1:9" x14ac:dyDescent="0.25">
      <c r="A5" s="7">
        <v>41338</v>
      </c>
      <c r="B5" s="5" t="s">
        <v>388</v>
      </c>
      <c r="C5" s="5" t="s">
        <v>322</v>
      </c>
      <c r="D5" s="5">
        <v>489</v>
      </c>
    </row>
    <row r="6" spans="1:9" x14ac:dyDescent="0.25">
      <c r="A6" s="7">
        <v>41339</v>
      </c>
      <c r="B6" s="5" t="s">
        <v>388</v>
      </c>
      <c r="C6" s="5" t="s">
        <v>391</v>
      </c>
      <c r="D6" s="5">
        <v>219</v>
      </c>
    </row>
    <row r="8" spans="1:9" x14ac:dyDescent="0.25">
      <c r="A8" s="26" t="s">
        <v>21</v>
      </c>
      <c r="F8" s="104" t="s">
        <v>397</v>
      </c>
      <c r="G8" s="105"/>
    </row>
    <row r="9" spans="1:9" x14ac:dyDescent="0.25">
      <c r="A9" s="8" t="s">
        <v>8</v>
      </c>
      <c r="B9" s="8" t="s">
        <v>387</v>
      </c>
      <c r="C9" s="8" t="s">
        <v>390</v>
      </c>
      <c r="D9" s="8" t="s">
        <v>11</v>
      </c>
      <c r="F9" s="8" t="s">
        <v>8</v>
      </c>
      <c r="G9" s="8" t="s">
        <v>387</v>
      </c>
      <c r="H9" s="8" t="s">
        <v>390</v>
      </c>
      <c r="I9" s="8" t="s">
        <v>11</v>
      </c>
    </row>
    <row r="10" spans="1:9" x14ac:dyDescent="0.25">
      <c r="A10" s="7">
        <v>41338</v>
      </c>
      <c r="B10" s="7" t="s">
        <v>388</v>
      </c>
      <c r="C10" s="7" t="s">
        <v>322</v>
      </c>
      <c r="D10" s="113">
        <v>1000</v>
      </c>
      <c r="F10" s="7">
        <v>41338</v>
      </c>
      <c r="G10" s="7" t="s">
        <v>388</v>
      </c>
      <c r="H10" s="7" t="s">
        <v>322</v>
      </c>
      <c r="I10" s="113" t="s">
        <v>392</v>
      </c>
    </row>
    <row r="12" spans="1:9" x14ac:dyDescent="0.25">
      <c r="A12" s="8" t="s">
        <v>33</v>
      </c>
      <c r="B12" s="6">
        <f>COUNTIFS(A2:A6,A10,B2:B6,B10,C2:C6,C10,D2:D6,"&gt;"&amp;D10)</f>
        <v>2</v>
      </c>
      <c r="C12" t="s">
        <v>1629</v>
      </c>
    </row>
    <row r="13" spans="1:9" x14ac:dyDescent="0.25">
      <c r="A13" s="8" t="s">
        <v>51</v>
      </c>
      <c r="B13" s="334">
        <f>SUMIFS(D2:D6,A2:A6,A10,B2:B6,B10,C2:C6,C10,D2:D6,"&gt;"&amp;D10)</f>
        <v>3341</v>
      </c>
      <c r="C13" t="s">
        <v>1630</v>
      </c>
    </row>
    <row r="14" spans="1:9" x14ac:dyDescent="0.25">
      <c r="A14" s="8" t="s">
        <v>393</v>
      </c>
      <c r="B14" s="334">
        <f>AVERAGEIFS(D2:D6,A2:A6,A10,B2:B6,B10,C2:C6,C10,D2:D6,"&gt;"&amp;D10)</f>
        <v>1670.5</v>
      </c>
      <c r="C14" t="s">
        <v>1631</v>
      </c>
    </row>
    <row r="15" spans="1:9" x14ac:dyDescent="0.25">
      <c r="A15" s="8" t="s">
        <v>394</v>
      </c>
      <c r="B15" s="334">
        <f>DMAX(A1:D6,D1,F9:I10)</f>
        <v>2051</v>
      </c>
      <c r="C15" t="s">
        <v>1632</v>
      </c>
    </row>
    <row r="16" spans="1:9" x14ac:dyDescent="0.25">
      <c r="A16" s="8" t="s">
        <v>33</v>
      </c>
      <c r="B16" s="6">
        <f>SUMPRODUCT(--(A2:A6=A10),--(B2:B6=B10),--(C2:C6=C10),--(D2:D6&gt;D10))</f>
        <v>2</v>
      </c>
      <c r="C16" t="s">
        <v>1633</v>
      </c>
    </row>
    <row r="17" spans="1:3" x14ac:dyDescent="0.25">
      <c r="A17" s="8" t="s">
        <v>396</v>
      </c>
      <c r="B17" s="334">
        <f>_xlfn.AGGREGATE(15,6,D2:D6/((A2:A6=A10)*(B2:B6=B10)*(C2:C6=C10)*(D2:D6&gt;D10)),1)</f>
        <v>1290</v>
      </c>
      <c r="C17" t="s">
        <v>1634</v>
      </c>
    </row>
    <row r="18" spans="1:3" x14ac:dyDescent="0.25">
      <c r="A18" s="8" t="s">
        <v>395</v>
      </c>
      <c r="B18" s="334">
        <f t="array" ref="B18">_xlfn.STDEV.S(IF(A2:A6=A10,IF(B2:B6=B10,IF(C2:C6=C10,IF(D2:D6&gt;D10,D2:D6)))))</f>
        <v>538.10826048296269</v>
      </c>
      <c r="C18" t="s">
        <v>1635</v>
      </c>
    </row>
  </sheetData>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7">
    <tabColor rgb="FF0000FF"/>
  </sheetPr>
  <dimension ref="A1:G8"/>
  <sheetViews>
    <sheetView zoomScale="160" zoomScaleNormal="160" workbookViewId="0">
      <selection activeCell="E3" sqref="E3"/>
    </sheetView>
  </sheetViews>
  <sheetFormatPr defaultRowHeight="15" x14ac:dyDescent="0.25"/>
  <cols>
    <col min="1" max="1" width="9.28515625" bestFit="1" customWidth="1"/>
    <col min="4" max="4" width="9.7109375" bestFit="1" customWidth="1"/>
    <col min="5" max="5" width="4.28515625" customWidth="1"/>
    <col min="6" max="6" width="11.28515625" bestFit="1" customWidth="1"/>
    <col min="7" max="8" width="11.42578125" customWidth="1"/>
    <col min="9" max="9" width="11.42578125" bestFit="1" customWidth="1"/>
  </cols>
  <sheetData>
    <row r="1" spans="1:7" x14ac:dyDescent="0.25">
      <c r="A1" s="8" t="s">
        <v>8</v>
      </c>
      <c r="B1" s="8" t="s">
        <v>387</v>
      </c>
      <c r="C1" s="8" t="s">
        <v>390</v>
      </c>
      <c r="D1" s="8" t="s">
        <v>11</v>
      </c>
      <c r="F1" s="33" t="s">
        <v>8</v>
      </c>
      <c r="G1" s="114">
        <v>41338</v>
      </c>
    </row>
    <row r="2" spans="1:7" x14ac:dyDescent="0.25">
      <c r="A2" s="7">
        <v>41338</v>
      </c>
      <c r="B2" s="5" t="s">
        <v>388</v>
      </c>
      <c r="C2" s="5" t="s">
        <v>322</v>
      </c>
      <c r="D2" s="5">
        <v>1290</v>
      </c>
      <c r="F2" s="33" t="s">
        <v>390</v>
      </c>
      <c r="G2" t="s">
        <v>322</v>
      </c>
    </row>
    <row r="3" spans="1:7" x14ac:dyDescent="0.25">
      <c r="A3" s="7">
        <v>41339</v>
      </c>
      <c r="B3" s="5" t="s">
        <v>389</v>
      </c>
      <c r="C3" s="5" t="s">
        <v>92</v>
      </c>
      <c r="D3" s="5">
        <v>955</v>
      </c>
      <c r="F3" s="33" t="s">
        <v>387</v>
      </c>
      <c r="G3" t="s">
        <v>388</v>
      </c>
    </row>
    <row r="4" spans="1:7" x14ac:dyDescent="0.25">
      <c r="A4" s="7">
        <v>41338</v>
      </c>
      <c r="B4" s="5" t="s">
        <v>388</v>
      </c>
      <c r="C4" s="5" t="s">
        <v>322</v>
      </c>
      <c r="D4" s="5">
        <v>2051</v>
      </c>
    </row>
    <row r="5" spans="1:7" x14ac:dyDescent="0.25">
      <c r="A5" s="7">
        <v>41338</v>
      </c>
      <c r="B5" s="5" t="s">
        <v>388</v>
      </c>
      <c r="C5" s="5" t="s">
        <v>322</v>
      </c>
      <c r="D5" s="5">
        <v>489</v>
      </c>
      <c r="F5" s="33" t="s">
        <v>11</v>
      </c>
      <c r="G5" t="s">
        <v>398</v>
      </c>
    </row>
    <row r="6" spans="1:7" x14ac:dyDescent="0.25">
      <c r="A6" s="7">
        <v>41339</v>
      </c>
      <c r="B6" s="5" t="s">
        <v>388</v>
      </c>
      <c r="C6" s="5" t="s">
        <v>391</v>
      </c>
      <c r="D6" s="5">
        <v>219</v>
      </c>
      <c r="F6">
        <v>1290</v>
      </c>
      <c r="G6" s="34">
        <v>1290</v>
      </c>
    </row>
    <row r="7" spans="1:7" x14ac:dyDescent="0.25">
      <c r="F7">
        <v>2051</v>
      </c>
      <c r="G7" s="34">
        <v>2051</v>
      </c>
    </row>
    <row r="8" spans="1:7" x14ac:dyDescent="0.25">
      <c r="F8" t="s">
        <v>89</v>
      </c>
      <c r="G8" s="34">
        <v>3341</v>
      </c>
    </row>
  </sheetData>
  <pageMargins left="0.7" right="0.7" top="0.75" bottom="0.75" header="0.3" footer="0.3"/>
  <pageSetup orientation="portrait" r:id="rId2"/>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8">
    <tabColor rgb="FF0000FF"/>
  </sheetPr>
  <dimension ref="A1:F9"/>
  <sheetViews>
    <sheetView zoomScale="160" zoomScaleNormal="160" workbookViewId="0">
      <selection activeCell="E3" sqref="E3"/>
    </sheetView>
  </sheetViews>
  <sheetFormatPr defaultRowHeight="15" x14ac:dyDescent="0.25"/>
  <cols>
    <col min="1" max="1" width="9.28515625" bestFit="1" customWidth="1"/>
    <col min="3" max="3" width="10.28515625" customWidth="1"/>
    <col min="4" max="4" width="9.7109375" bestFit="1" customWidth="1"/>
    <col min="5" max="5" width="2.140625" customWidth="1"/>
    <col min="6" max="6" width="32.28515625" customWidth="1"/>
    <col min="7" max="7" width="11.42578125" customWidth="1"/>
  </cols>
  <sheetData>
    <row r="1" spans="1:6" x14ac:dyDescent="0.25">
      <c r="A1" s="61" t="s">
        <v>8</v>
      </c>
      <c r="B1" s="4" t="s">
        <v>387</v>
      </c>
      <c r="C1" s="4" t="s">
        <v>390</v>
      </c>
      <c r="D1" s="62" t="s">
        <v>11</v>
      </c>
    </row>
    <row r="2" spans="1:6" x14ac:dyDescent="0.25">
      <c r="A2" s="115">
        <v>41338</v>
      </c>
      <c r="B2" s="5" t="s">
        <v>388</v>
      </c>
      <c r="C2" s="5" t="s">
        <v>322</v>
      </c>
      <c r="D2" s="116">
        <v>1290</v>
      </c>
    </row>
    <row r="3" spans="1:6" hidden="1" x14ac:dyDescent="0.25">
      <c r="A3" s="115">
        <v>41339</v>
      </c>
      <c r="B3" s="5" t="s">
        <v>389</v>
      </c>
      <c r="C3" s="5" t="s">
        <v>92</v>
      </c>
      <c r="D3" s="116">
        <v>955</v>
      </c>
    </row>
    <row r="4" spans="1:6" x14ac:dyDescent="0.25">
      <c r="A4" s="115">
        <v>41338</v>
      </c>
      <c r="B4" s="5" t="s">
        <v>388</v>
      </c>
      <c r="C4" s="5" t="s">
        <v>322</v>
      </c>
      <c r="D4" s="116">
        <v>2051</v>
      </c>
    </row>
    <row r="5" spans="1:6" hidden="1" x14ac:dyDescent="0.25">
      <c r="A5" s="115">
        <v>41338</v>
      </c>
      <c r="B5" s="5" t="s">
        <v>388</v>
      </c>
      <c r="C5" s="5" t="s">
        <v>322</v>
      </c>
      <c r="D5" s="116">
        <v>489</v>
      </c>
    </row>
    <row r="6" spans="1:6" hidden="1" x14ac:dyDescent="0.25">
      <c r="A6" s="117">
        <v>41339</v>
      </c>
      <c r="B6" s="118" t="s">
        <v>388</v>
      </c>
      <c r="C6" s="118" t="s">
        <v>391</v>
      </c>
      <c r="D6" s="119">
        <v>219</v>
      </c>
    </row>
    <row r="7" spans="1:6" x14ac:dyDescent="0.25">
      <c r="A7" s="117"/>
      <c r="B7" s="118"/>
      <c r="C7" s="118"/>
      <c r="D7" s="119">
        <f>SUBTOTAL(101,Table2[Cost])</f>
        <v>1670.5</v>
      </c>
      <c r="F7" t="s">
        <v>1636</v>
      </c>
    </row>
    <row r="8" spans="1:6" x14ac:dyDescent="0.25">
      <c r="F8" s="173" t="s">
        <v>1895</v>
      </c>
    </row>
    <row r="9" spans="1:6" x14ac:dyDescent="0.25">
      <c r="F9" s="173" t="s">
        <v>1896</v>
      </c>
    </row>
  </sheetData>
  <pageMargins left="0.7" right="0.7" top="0.75" bottom="0.75" header="0.3" footer="0.3"/>
  <pageSetup orientation="portrait" r:id="rId1"/>
  <tableParts count="1">
    <tablePart r:id="rId2"/>
  </tableParts>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9" filterMode="1">
    <tabColor rgb="FF0000FF"/>
  </sheetPr>
  <dimension ref="A1:D6"/>
  <sheetViews>
    <sheetView zoomScale="160" zoomScaleNormal="160" workbookViewId="0">
      <selection activeCell="E3" sqref="E3"/>
    </sheetView>
  </sheetViews>
  <sheetFormatPr defaultRowHeight="15" x14ac:dyDescent="0.25"/>
  <cols>
    <col min="1" max="1" width="9.28515625" bestFit="1" customWidth="1"/>
    <col min="3" max="3" width="10.28515625" customWidth="1"/>
    <col min="4" max="4" width="9.7109375" bestFit="1" customWidth="1"/>
    <col min="5" max="5" width="4.28515625" customWidth="1"/>
    <col min="6" max="6" width="11.28515625" customWidth="1"/>
    <col min="7" max="7" width="11.42578125" customWidth="1"/>
  </cols>
  <sheetData>
    <row r="1" spans="1:4" x14ac:dyDescent="0.25">
      <c r="A1" s="8" t="s">
        <v>8</v>
      </c>
      <c r="B1" s="8" t="s">
        <v>387</v>
      </c>
      <c r="C1" s="8" t="s">
        <v>390</v>
      </c>
      <c r="D1" s="8" t="s">
        <v>11</v>
      </c>
    </row>
    <row r="2" spans="1:4" x14ac:dyDescent="0.25">
      <c r="A2" s="7">
        <v>41338</v>
      </c>
      <c r="B2" s="5" t="s">
        <v>388</v>
      </c>
      <c r="C2" s="5" t="s">
        <v>322</v>
      </c>
      <c r="D2" s="5">
        <v>1290</v>
      </c>
    </row>
    <row r="3" spans="1:4" hidden="1" x14ac:dyDescent="0.25">
      <c r="A3" s="7">
        <v>41339</v>
      </c>
      <c r="B3" s="5" t="s">
        <v>389</v>
      </c>
      <c r="C3" s="5" t="s">
        <v>92</v>
      </c>
      <c r="D3" s="5">
        <v>955</v>
      </c>
    </row>
    <row r="4" spans="1:4" x14ac:dyDescent="0.25">
      <c r="A4" s="7">
        <v>41338</v>
      </c>
      <c r="B4" s="5" t="s">
        <v>388</v>
      </c>
      <c r="C4" s="5" t="s">
        <v>322</v>
      </c>
      <c r="D4" s="5">
        <v>2051</v>
      </c>
    </row>
    <row r="5" spans="1:4" hidden="1" x14ac:dyDescent="0.25">
      <c r="A5" s="7">
        <v>41338</v>
      </c>
      <c r="B5" s="5" t="s">
        <v>388</v>
      </c>
      <c r="C5" s="5" t="s">
        <v>322</v>
      </c>
      <c r="D5" s="5">
        <v>489</v>
      </c>
    </row>
    <row r="6" spans="1:4" hidden="1" x14ac:dyDescent="0.25">
      <c r="A6" s="7">
        <v>41339</v>
      </c>
      <c r="B6" s="5" t="s">
        <v>388</v>
      </c>
      <c r="C6" s="5" t="s">
        <v>391</v>
      </c>
      <c r="D6" s="5">
        <v>219</v>
      </c>
    </row>
  </sheetData>
  <autoFilter ref="A1:D6">
    <filterColumn colId="0">
      <filters>
        <dateGroupItem year="2013" month="3" day="5" dateTimeGrouping="day"/>
      </filters>
    </filterColumn>
    <filterColumn colId="3">
      <customFilters>
        <customFilter operator="greaterThan" val="1000"/>
      </customFilters>
    </filterColumn>
  </autoFilter>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0">
    <tabColor rgb="FF0000FF"/>
  </sheetPr>
  <dimension ref="A1:I10"/>
  <sheetViews>
    <sheetView zoomScale="160" zoomScaleNormal="160" workbookViewId="0">
      <selection activeCell="E3" sqref="E3"/>
    </sheetView>
  </sheetViews>
  <sheetFormatPr defaultRowHeight="15" x14ac:dyDescent="0.25"/>
  <cols>
    <col min="1" max="1" width="9.28515625" bestFit="1" customWidth="1"/>
    <col min="4" max="4" width="9.7109375" bestFit="1" customWidth="1"/>
    <col min="5" max="5" width="4.140625" customWidth="1"/>
  </cols>
  <sheetData>
    <row r="1" spans="1:9" x14ac:dyDescent="0.25">
      <c r="A1" s="26" t="s">
        <v>21</v>
      </c>
    </row>
    <row r="2" spans="1:9" x14ac:dyDescent="0.25">
      <c r="A2" s="8" t="s">
        <v>8</v>
      </c>
      <c r="B2" s="8" t="s">
        <v>387</v>
      </c>
      <c r="C2" s="8" t="s">
        <v>390</v>
      </c>
      <c r="D2" s="8" t="s">
        <v>11</v>
      </c>
    </row>
    <row r="3" spans="1:9" x14ac:dyDescent="0.25">
      <c r="A3" s="7">
        <v>41338</v>
      </c>
      <c r="B3" s="7" t="s">
        <v>388</v>
      </c>
      <c r="C3" s="7" t="s">
        <v>322</v>
      </c>
      <c r="D3" s="113" t="s">
        <v>392</v>
      </c>
    </row>
    <row r="5" spans="1:9" x14ac:dyDescent="0.25">
      <c r="A5" s="8" t="s">
        <v>8</v>
      </c>
      <c r="B5" s="8" t="s">
        <v>387</v>
      </c>
      <c r="C5" s="8" t="s">
        <v>390</v>
      </c>
      <c r="D5" s="8" t="s">
        <v>11</v>
      </c>
      <c r="F5" s="51" t="s">
        <v>26</v>
      </c>
      <c r="G5" s="47"/>
    </row>
    <row r="6" spans="1:9" x14ac:dyDescent="0.25">
      <c r="A6" s="7">
        <v>41338</v>
      </c>
      <c r="B6" s="5" t="s">
        <v>388</v>
      </c>
      <c r="C6" s="5" t="s">
        <v>322</v>
      </c>
      <c r="D6" s="5">
        <v>1290</v>
      </c>
      <c r="F6" s="8" t="s">
        <v>8</v>
      </c>
      <c r="G6" s="8" t="s">
        <v>387</v>
      </c>
      <c r="H6" s="8" t="s">
        <v>390</v>
      </c>
      <c r="I6" s="8" t="s">
        <v>11</v>
      </c>
    </row>
    <row r="7" spans="1:9" x14ac:dyDescent="0.25">
      <c r="A7" s="7">
        <v>41339</v>
      </c>
      <c r="B7" s="5" t="s">
        <v>389</v>
      </c>
      <c r="C7" s="5" t="s">
        <v>92</v>
      </c>
      <c r="D7" s="5">
        <v>955</v>
      </c>
      <c r="F7" s="7">
        <v>41338</v>
      </c>
      <c r="G7" s="5" t="s">
        <v>388</v>
      </c>
      <c r="H7" s="5" t="s">
        <v>322</v>
      </c>
      <c r="I7" s="5">
        <v>1290</v>
      </c>
    </row>
    <row r="8" spans="1:9" x14ac:dyDescent="0.25">
      <c r="A8" s="7">
        <v>41338</v>
      </c>
      <c r="B8" s="5" t="s">
        <v>388</v>
      </c>
      <c r="C8" s="5" t="s">
        <v>322</v>
      </c>
      <c r="D8" s="5">
        <v>2051</v>
      </c>
      <c r="F8" s="7">
        <v>41338</v>
      </c>
      <c r="G8" s="5" t="s">
        <v>388</v>
      </c>
      <c r="H8" s="5" t="s">
        <v>322</v>
      </c>
      <c r="I8" s="5">
        <v>2051</v>
      </c>
    </row>
    <row r="9" spans="1:9" x14ac:dyDescent="0.25">
      <c r="A9" s="7">
        <v>41338</v>
      </c>
      <c r="B9" s="5" t="s">
        <v>388</v>
      </c>
      <c r="C9" s="5" t="s">
        <v>322</v>
      </c>
      <c r="D9" s="5">
        <v>489</v>
      </c>
    </row>
    <row r="10" spans="1:9" x14ac:dyDescent="0.25">
      <c r="A10" s="7">
        <v>41339</v>
      </c>
      <c r="B10" s="5" t="s">
        <v>388</v>
      </c>
      <c r="C10" s="5" t="s">
        <v>391</v>
      </c>
      <c r="D10" s="5">
        <v>219</v>
      </c>
    </row>
  </sheetData>
  <pageMargins left="0.7" right="0.7" top="0.75" bottom="0.75" header="0.3" footer="0.3"/>
  <pageSetup orientation="portrait" r:id="rId1"/>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1">
    <tabColor rgb="FF0000FF"/>
  </sheetPr>
  <dimension ref="A1:F12"/>
  <sheetViews>
    <sheetView zoomScale="160" zoomScaleNormal="160" workbookViewId="0">
      <selection activeCell="E3" sqref="E3"/>
    </sheetView>
  </sheetViews>
  <sheetFormatPr defaultRowHeight="15" x14ac:dyDescent="0.25"/>
  <cols>
    <col min="2" max="2" width="7" bestFit="1" customWidth="1"/>
    <col min="4" max="4" width="5.140625" bestFit="1" customWidth="1"/>
    <col min="5" max="5" width="7.28515625" customWidth="1"/>
    <col min="6" max="6" width="54" customWidth="1"/>
  </cols>
  <sheetData>
    <row r="1" spans="1:6" x14ac:dyDescent="0.25">
      <c r="A1" s="8" t="s">
        <v>8</v>
      </c>
      <c r="B1" s="8" t="s">
        <v>387</v>
      </c>
      <c r="C1" s="8" t="s">
        <v>390</v>
      </c>
      <c r="D1" s="8" t="s">
        <v>11</v>
      </c>
      <c r="E1" s="8" t="s">
        <v>399</v>
      </c>
    </row>
    <row r="2" spans="1:6" x14ac:dyDescent="0.25">
      <c r="A2" s="7">
        <v>41338</v>
      </c>
      <c r="B2" s="5" t="s">
        <v>388</v>
      </c>
      <c r="C2" s="5" t="s">
        <v>322</v>
      </c>
      <c r="D2" s="5">
        <v>1290</v>
      </c>
      <c r="E2" s="6" t="b">
        <f>AND(A2=$A$10,B2=$B$10,C2=$C$10,D2&gt;=$D$10)</f>
        <v>1</v>
      </c>
      <c r="F2" t="s">
        <v>1637</v>
      </c>
    </row>
    <row r="3" spans="1:6" x14ac:dyDescent="0.25">
      <c r="A3" s="7">
        <v>41339</v>
      </c>
      <c r="B3" s="5" t="s">
        <v>389</v>
      </c>
      <c r="C3" s="5" t="s">
        <v>92</v>
      </c>
      <c r="D3" s="5">
        <v>955</v>
      </c>
      <c r="E3" s="6" t="b">
        <f>AND(A3=$A$10,B3=$B$10,C3=$C$10,D3&gt;=$D$10)</f>
        <v>0</v>
      </c>
      <c r="F3" t="s">
        <v>1638</v>
      </c>
    </row>
    <row r="4" spans="1:6" x14ac:dyDescent="0.25">
      <c r="A4" s="7">
        <v>41338</v>
      </c>
      <c r="B4" s="5" t="s">
        <v>388</v>
      </c>
      <c r="C4" s="5" t="s">
        <v>322</v>
      </c>
      <c r="D4" s="5">
        <v>2051</v>
      </c>
      <c r="E4" s="6" t="b">
        <f>AND(A4=$A$10,B4=$B$10,C4=$C$10,D4&gt;=$D$10)</f>
        <v>1</v>
      </c>
      <c r="F4" t="s">
        <v>1639</v>
      </c>
    </row>
    <row r="5" spans="1:6" x14ac:dyDescent="0.25">
      <c r="A5" s="7">
        <v>41338</v>
      </c>
      <c r="B5" s="5" t="s">
        <v>388</v>
      </c>
      <c r="C5" s="5" t="s">
        <v>322</v>
      </c>
      <c r="D5" s="5">
        <v>489</v>
      </c>
      <c r="E5" s="6" t="b">
        <f>AND(A5=$A$10,B5=$B$10,C5=$C$10,D5&gt;=$D$10)</f>
        <v>0</v>
      </c>
      <c r="F5" t="s">
        <v>1640</v>
      </c>
    </row>
    <row r="6" spans="1:6" x14ac:dyDescent="0.25">
      <c r="A6" s="7">
        <v>41339</v>
      </c>
      <c r="B6" s="5" t="s">
        <v>388</v>
      </c>
      <c r="C6" s="5" t="s">
        <v>391</v>
      </c>
      <c r="D6" s="5">
        <v>219</v>
      </c>
      <c r="E6" s="6" t="b">
        <f>AND(A6=$A$10,B6=$B$10,C6=$C$10,D6&gt;=$D$10)</f>
        <v>0</v>
      </c>
      <c r="F6" t="s">
        <v>1641</v>
      </c>
    </row>
    <row r="8" spans="1:6" x14ac:dyDescent="0.25">
      <c r="A8" s="26" t="s">
        <v>21</v>
      </c>
    </row>
    <row r="9" spans="1:6" x14ac:dyDescent="0.25">
      <c r="A9" s="8" t="s">
        <v>8</v>
      </c>
      <c r="B9" s="8" t="s">
        <v>387</v>
      </c>
      <c r="C9" s="8" t="s">
        <v>390</v>
      </c>
      <c r="D9" s="8" t="s">
        <v>11</v>
      </c>
    </row>
    <row r="10" spans="1:6" x14ac:dyDescent="0.25">
      <c r="A10" s="7">
        <v>41338</v>
      </c>
      <c r="B10" s="7" t="s">
        <v>388</v>
      </c>
      <c r="C10" s="7" t="s">
        <v>322</v>
      </c>
      <c r="D10" s="113">
        <v>1000</v>
      </c>
    </row>
    <row r="12" spans="1:6" x14ac:dyDescent="0.25">
      <c r="A12" s="8" t="s">
        <v>33</v>
      </c>
      <c r="B12" s="6">
        <f>COUNTIF(E2:E6,TRUE)</f>
        <v>2</v>
      </c>
      <c r="C12" t="s">
        <v>1642</v>
      </c>
    </row>
  </sheetData>
  <pageMargins left="0.7" right="0.7" top="0.75" bottom="0.75" header="0.3" footer="0.3"/>
  <pageSetup orientation="portrait" r:id="rId1"/>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2">
    <tabColor rgb="FF0000FF"/>
  </sheetPr>
  <dimension ref="A1:F12"/>
  <sheetViews>
    <sheetView zoomScale="160" zoomScaleNormal="160" workbookViewId="0">
      <selection activeCell="E3" sqref="E3"/>
    </sheetView>
  </sheetViews>
  <sheetFormatPr defaultRowHeight="15" x14ac:dyDescent="0.25"/>
  <cols>
    <col min="2" max="2" width="7" bestFit="1" customWidth="1"/>
    <col min="4" max="4" width="5.140625" bestFit="1" customWidth="1"/>
    <col min="5" max="5" width="7.28515625" customWidth="1"/>
    <col min="6" max="6" width="54.85546875" customWidth="1"/>
  </cols>
  <sheetData>
    <row r="1" spans="1:6" x14ac:dyDescent="0.25">
      <c r="A1" s="8" t="s">
        <v>8</v>
      </c>
      <c r="B1" s="8" t="s">
        <v>387</v>
      </c>
      <c r="C1" s="8" t="s">
        <v>390</v>
      </c>
      <c r="D1" s="8" t="s">
        <v>11</v>
      </c>
      <c r="E1" s="8" t="s">
        <v>399</v>
      </c>
    </row>
    <row r="2" spans="1:6" x14ac:dyDescent="0.25">
      <c r="A2" s="7">
        <v>41338</v>
      </c>
      <c r="B2" s="5" t="s">
        <v>388</v>
      </c>
      <c r="C2" s="5" t="s">
        <v>322</v>
      </c>
      <c r="D2" s="5">
        <v>1290</v>
      </c>
      <c r="E2" s="6">
        <f>(A2=$A$10)*(B2=$B$10)*(C2=$C$10)*(D2&gt;=$D$10)</f>
        <v>1</v>
      </c>
      <c r="F2" t="s">
        <v>1643</v>
      </c>
    </row>
    <row r="3" spans="1:6" x14ac:dyDescent="0.25">
      <c r="A3" s="7">
        <v>41339</v>
      </c>
      <c r="B3" s="5" t="s">
        <v>389</v>
      </c>
      <c r="C3" s="5" t="s">
        <v>92</v>
      </c>
      <c r="D3" s="5">
        <v>955</v>
      </c>
      <c r="E3" s="6">
        <f>(A3=$A$10)*(B3=$B$10)*(C3=$C$10)*(D3&gt;=$D$10)</f>
        <v>0</v>
      </c>
      <c r="F3" t="s">
        <v>1644</v>
      </c>
    </row>
    <row r="4" spans="1:6" x14ac:dyDescent="0.25">
      <c r="A4" s="7">
        <v>41338</v>
      </c>
      <c r="B4" s="5" t="s">
        <v>388</v>
      </c>
      <c r="C4" s="5" t="s">
        <v>322</v>
      </c>
      <c r="D4" s="5">
        <v>2051</v>
      </c>
      <c r="E4" s="6">
        <f>(A4=$A$10)*(B4=$B$10)*(C4=$C$10)*(D4&gt;=$D$10)</f>
        <v>1</v>
      </c>
      <c r="F4" t="s">
        <v>1645</v>
      </c>
    </row>
    <row r="5" spans="1:6" x14ac:dyDescent="0.25">
      <c r="A5" s="7">
        <v>41338</v>
      </c>
      <c r="B5" s="5" t="s">
        <v>388</v>
      </c>
      <c r="C5" s="5" t="s">
        <v>322</v>
      </c>
      <c r="D5" s="5">
        <v>489</v>
      </c>
      <c r="E5" s="6">
        <f>(A5=$A$10)*(B5=$B$10)*(C5=$C$10)*(D5&gt;=$D$10)</f>
        <v>0</v>
      </c>
      <c r="F5" t="s">
        <v>1646</v>
      </c>
    </row>
    <row r="6" spans="1:6" x14ac:dyDescent="0.25">
      <c r="A6" s="7">
        <v>41339</v>
      </c>
      <c r="B6" s="5" t="s">
        <v>388</v>
      </c>
      <c r="C6" s="5" t="s">
        <v>391</v>
      </c>
      <c r="D6" s="5">
        <v>219</v>
      </c>
      <c r="E6" s="6">
        <f>(A6=$A$10)*(B6=$B$10)*(C6=$C$10)*(D6&gt;=$D$10)</f>
        <v>0</v>
      </c>
      <c r="F6" t="s">
        <v>1647</v>
      </c>
    </row>
    <row r="8" spans="1:6" x14ac:dyDescent="0.25">
      <c r="A8" s="26" t="s">
        <v>21</v>
      </c>
    </row>
    <row r="9" spans="1:6" x14ac:dyDescent="0.25">
      <c r="A9" s="8" t="s">
        <v>8</v>
      </c>
      <c r="B9" s="8" t="s">
        <v>387</v>
      </c>
      <c r="C9" s="8" t="s">
        <v>390</v>
      </c>
      <c r="D9" s="8" t="s">
        <v>11</v>
      </c>
    </row>
    <row r="10" spans="1:6" x14ac:dyDescent="0.25">
      <c r="A10" s="7">
        <v>41338</v>
      </c>
      <c r="B10" s="7" t="s">
        <v>388</v>
      </c>
      <c r="C10" s="7" t="s">
        <v>322</v>
      </c>
      <c r="D10" s="113">
        <v>1000</v>
      </c>
    </row>
    <row r="12" spans="1:6" x14ac:dyDescent="0.25">
      <c r="A12" s="8" t="s">
        <v>33</v>
      </c>
      <c r="B12" s="6">
        <f>SUM(E2:E6)</f>
        <v>2</v>
      </c>
      <c r="C12" t="s">
        <v>1648</v>
      </c>
    </row>
  </sheetData>
  <pageMargins left="0.7" right="0.7" top="0.75" bottom="0.75" header="0.3" footer="0.3"/>
  <pageSetup orientation="portrait" r:id="rId1"/>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3">
    <tabColor rgb="FF0000FF"/>
  </sheetPr>
  <dimension ref="A1:E6"/>
  <sheetViews>
    <sheetView zoomScale="160" zoomScaleNormal="160" workbookViewId="0">
      <selection activeCell="E3" sqref="E3"/>
    </sheetView>
  </sheetViews>
  <sheetFormatPr defaultRowHeight="15" x14ac:dyDescent="0.25"/>
  <cols>
    <col min="1" max="1" width="10.7109375" bestFit="1" customWidth="1"/>
    <col min="2" max="2" width="10.42578125" customWidth="1"/>
    <col min="3" max="3" width="53" bestFit="1" customWidth="1"/>
    <col min="4" max="4" width="2.5703125" customWidth="1"/>
    <col min="5" max="5" width="9.5703125" bestFit="1" customWidth="1"/>
  </cols>
  <sheetData>
    <row r="1" spans="1:5" ht="30" x14ac:dyDescent="0.25">
      <c r="A1" s="8" t="s">
        <v>411</v>
      </c>
      <c r="B1" s="28" t="str">
        <f>$E$2&amp;" or "&amp;$E$3&amp;"?"</f>
        <v>Gidget or Rodger?</v>
      </c>
      <c r="E1" s="8" t="s">
        <v>411</v>
      </c>
    </row>
    <row r="2" spans="1:5" x14ac:dyDescent="0.25">
      <c r="A2" s="5" t="s">
        <v>466</v>
      </c>
      <c r="B2" s="6">
        <f>(A2=$E$2)+(A2=$E$3)</f>
        <v>1</v>
      </c>
      <c r="C2" t="s">
        <v>1649</v>
      </c>
      <c r="E2" s="5" t="s">
        <v>466</v>
      </c>
    </row>
    <row r="3" spans="1:5" x14ac:dyDescent="0.25">
      <c r="A3" s="5" t="s">
        <v>467</v>
      </c>
      <c r="B3" s="6">
        <f>(A3=$E$2)+(A3=$E$3)</f>
        <v>1</v>
      </c>
      <c r="C3" t="s">
        <v>1650</v>
      </c>
      <c r="E3" s="5" t="s">
        <v>467</v>
      </c>
    </row>
    <row r="4" spans="1:5" x14ac:dyDescent="0.25">
      <c r="A4" s="5" t="s">
        <v>468</v>
      </c>
      <c r="B4" s="6">
        <f>(A4=$E$2)+(A4=$E$3)</f>
        <v>0</v>
      </c>
      <c r="C4" t="s">
        <v>1651</v>
      </c>
    </row>
    <row r="5" spans="1:5" x14ac:dyDescent="0.25">
      <c r="A5" s="5" t="s">
        <v>467</v>
      </c>
      <c r="B5" s="6">
        <f>(A5=$E$2)+(A5=$E$3)</f>
        <v>1</v>
      </c>
      <c r="C5" t="s">
        <v>1652</v>
      </c>
    </row>
    <row r="6" spans="1:5" x14ac:dyDescent="0.25">
      <c r="A6" s="5" t="s">
        <v>469</v>
      </c>
      <c r="B6" s="6">
        <f>(A6=$E$2)+(A6=$E$3)</f>
        <v>0</v>
      </c>
      <c r="C6" t="s">
        <v>1653</v>
      </c>
    </row>
  </sheetData>
  <pageMargins left="0.7" right="0.7" top="0.75" bottom="0.75" header="0.3" footer="0.3"/>
  <pageSetup orientation="portrait" r:id="rId1"/>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4">
    <tabColor rgb="FF0000FF"/>
  </sheetPr>
  <dimension ref="A1:G6"/>
  <sheetViews>
    <sheetView zoomScale="160" zoomScaleNormal="160" workbookViewId="0">
      <selection activeCell="E3" sqref="E3"/>
    </sheetView>
  </sheetViews>
  <sheetFormatPr defaultRowHeight="15" x14ac:dyDescent="0.25"/>
  <cols>
    <col min="1" max="1" width="9.140625" customWidth="1"/>
    <col min="2" max="2" width="10" customWidth="1"/>
    <col min="3" max="3" width="7.7109375" customWidth="1"/>
    <col min="4" max="4" width="7.5703125" customWidth="1"/>
    <col min="5" max="5" width="54" customWidth="1"/>
    <col min="6" max="6" width="1.85546875" customWidth="1"/>
    <col min="7" max="7" width="12.42578125" bestFit="1" customWidth="1"/>
  </cols>
  <sheetData>
    <row r="1" spans="1:7" ht="30" x14ac:dyDescent="0.25">
      <c r="A1" s="28" t="s">
        <v>24</v>
      </c>
      <c r="B1" s="28" t="s">
        <v>401</v>
      </c>
      <c r="C1" s="28" t="s">
        <v>400</v>
      </c>
      <c r="D1" s="28" t="s">
        <v>403</v>
      </c>
      <c r="G1" s="26" t="s">
        <v>402</v>
      </c>
    </row>
    <row r="2" spans="1:7" x14ac:dyDescent="0.25">
      <c r="A2" s="120" t="s">
        <v>407</v>
      </c>
      <c r="B2" s="120">
        <v>85024</v>
      </c>
      <c r="C2" s="5">
        <v>4</v>
      </c>
      <c r="D2" s="6">
        <f>(B2&gt;$G$3)+(C2&gt;=$G$5)</f>
        <v>1</v>
      </c>
      <c r="E2" t="s">
        <v>1654</v>
      </c>
      <c r="G2" s="25" t="s">
        <v>401</v>
      </c>
    </row>
    <row r="3" spans="1:7" x14ac:dyDescent="0.25">
      <c r="A3" s="121" t="s">
        <v>408</v>
      </c>
      <c r="B3" s="121">
        <v>111104</v>
      </c>
      <c r="C3" s="14">
        <v>3.5</v>
      </c>
      <c r="D3" s="6">
        <f>(B3&gt;$G$3)+(C3&gt;=$G$5)</f>
        <v>2</v>
      </c>
      <c r="E3" t="s">
        <v>1655</v>
      </c>
      <c r="G3" s="120">
        <v>100000</v>
      </c>
    </row>
    <row r="4" spans="1:7" x14ac:dyDescent="0.25">
      <c r="A4" s="120" t="s">
        <v>30</v>
      </c>
      <c r="B4" s="120">
        <v>89236</v>
      </c>
      <c r="C4" s="5">
        <v>2.4</v>
      </c>
      <c r="D4" s="6">
        <f>(B4&gt;$G$3)+(C4&gt;=$G$5)</f>
        <v>0</v>
      </c>
      <c r="E4" t="s">
        <v>1656</v>
      </c>
      <c r="G4" s="25" t="s">
        <v>400</v>
      </c>
    </row>
    <row r="5" spans="1:7" x14ac:dyDescent="0.25">
      <c r="A5" s="120" t="s">
        <v>409</v>
      </c>
      <c r="B5" s="120">
        <v>113212</v>
      </c>
      <c r="C5" s="5">
        <v>3</v>
      </c>
      <c r="D5" s="6">
        <f>(B5&gt;$G$3)+(C5&gt;=$G$5)</f>
        <v>1</v>
      </c>
      <c r="E5" t="s">
        <v>1657</v>
      </c>
      <c r="G5" s="5">
        <v>3.5</v>
      </c>
    </row>
    <row r="6" spans="1:7" x14ac:dyDescent="0.25">
      <c r="A6" s="121" t="s">
        <v>410</v>
      </c>
      <c r="B6" s="121">
        <v>100000</v>
      </c>
      <c r="C6" s="14">
        <v>1.4</v>
      </c>
      <c r="D6" s="6">
        <f>(B6&gt;$G$3)+(C6&gt;=$G$5)</f>
        <v>0</v>
      </c>
      <c r="E6" t="s">
        <v>1658</v>
      </c>
    </row>
  </sheetData>
  <pageMargins left="0.7" right="0.7" top="0.75" bottom="0.75" header="0.3" footer="0.3"/>
  <pageSetup orientation="portrait" r:id="rId1"/>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5">
    <tabColor rgb="FF0000FF"/>
  </sheetPr>
  <dimension ref="A1:C12"/>
  <sheetViews>
    <sheetView zoomScale="160" zoomScaleNormal="160" workbookViewId="0">
      <selection activeCell="E3" sqref="E3"/>
    </sheetView>
  </sheetViews>
  <sheetFormatPr defaultRowHeight="15" x14ac:dyDescent="0.25"/>
  <cols>
    <col min="1" max="1" width="10.7109375" bestFit="1" customWidth="1"/>
    <col min="2" max="2" width="10.42578125" customWidth="1"/>
    <col min="3" max="3" width="11.7109375" customWidth="1"/>
    <col min="4" max="4" width="46.7109375" customWidth="1"/>
    <col min="5" max="5" width="9.5703125" bestFit="1" customWidth="1"/>
    <col min="6" max="6" width="7.28515625" customWidth="1"/>
    <col min="7" max="8" width="11.5703125" customWidth="1"/>
  </cols>
  <sheetData>
    <row r="1" spans="1:3" x14ac:dyDescent="0.25">
      <c r="A1" s="8" t="s">
        <v>411</v>
      </c>
      <c r="C1" s="8" t="s">
        <v>411</v>
      </c>
    </row>
    <row r="2" spans="1:3" x14ac:dyDescent="0.25">
      <c r="A2" s="5" t="s">
        <v>466</v>
      </c>
      <c r="C2" s="5" t="s">
        <v>466</v>
      </c>
    </row>
    <row r="3" spans="1:3" x14ac:dyDescent="0.25">
      <c r="A3" s="5" t="s">
        <v>467</v>
      </c>
      <c r="C3" s="5" t="s">
        <v>467</v>
      </c>
    </row>
    <row r="4" spans="1:3" x14ac:dyDescent="0.25">
      <c r="A4" s="5" t="s">
        <v>468</v>
      </c>
    </row>
    <row r="5" spans="1:3" x14ac:dyDescent="0.25">
      <c r="A5" s="5" t="s">
        <v>467</v>
      </c>
    </row>
    <row r="6" spans="1:3" x14ac:dyDescent="0.25">
      <c r="A6" s="5" t="s">
        <v>469</v>
      </c>
    </row>
    <row r="7" spans="1:3" ht="3.75" customHeight="1" x14ac:dyDescent="0.25"/>
    <row r="8" spans="1:3" x14ac:dyDescent="0.25">
      <c r="A8" s="8" t="s">
        <v>33</v>
      </c>
      <c r="B8" s="6">
        <f>COUNTIF(A2:A6,C2)+COUNTIF(A2:A6,C3)</f>
        <v>3</v>
      </c>
      <c r="C8" t="s">
        <v>1659</v>
      </c>
    </row>
    <row r="9" spans="1:3" x14ac:dyDescent="0.25">
      <c r="A9" s="8" t="s">
        <v>33</v>
      </c>
      <c r="B9" s="6">
        <f>DCOUNTA(A1:A6,A1,C1:C3)</f>
        <v>3</v>
      </c>
      <c r="C9" t="s">
        <v>1660</v>
      </c>
    </row>
    <row r="10" spans="1:3" x14ac:dyDescent="0.25">
      <c r="A10" s="8" t="s">
        <v>33</v>
      </c>
      <c r="B10" s="6">
        <f>SUMPRODUCT((A2:A6=C2)+(A2:A6=C3))</f>
        <v>3</v>
      </c>
      <c r="C10" t="s">
        <v>1661</v>
      </c>
    </row>
    <row r="11" spans="1:3" x14ac:dyDescent="0.25">
      <c r="A11" s="8" t="s">
        <v>33</v>
      </c>
      <c r="B11" s="6">
        <f t="array" ref="B11">SUM(IF((A2:A6=C2)+(A2:A6=C3),1))</f>
        <v>3</v>
      </c>
      <c r="C11" t="s">
        <v>1662</v>
      </c>
    </row>
    <row r="12" spans="1:3" x14ac:dyDescent="0.25">
      <c r="A12" s="8" t="s">
        <v>33</v>
      </c>
      <c r="B12" s="6">
        <f>SUMPRODUCT(--ISNUMBER(MATCH(A2:A6,C2:C3,0)))</f>
        <v>3</v>
      </c>
      <c r="C12" t="s">
        <v>1663</v>
      </c>
    </row>
  </sheetData>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6">
    <tabColor rgb="FF0000FF"/>
  </sheetPr>
  <dimension ref="A1:E518"/>
  <sheetViews>
    <sheetView zoomScale="160" zoomScaleNormal="160" workbookViewId="0">
      <selection activeCell="E3" sqref="E3"/>
    </sheetView>
  </sheetViews>
  <sheetFormatPr defaultRowHeight="15" x14ac:dyDescent="0.25"/>
  <cols>
    <col min="1" max="1" width="10.42578125" customWidth="1"/>
    <col min="2" max="2" width="19.7109375" bestFit="1" customWidth="1"/>
    <col min="3" max="3" width="3.5703125" customWidth="1"/>
    <col min="4" max="4" width="14.85546875" customWidth="1"/>
    <col min="5" max="5" width="49.5703125" customWidth="1"/>
  </cols>
  <sheetData>
    <row r="1" spans="1:5" x14ac:dyDescent="0.25">
      <c r="A1" s="23" t="s">
        <v>458</v>
      </c>
    </row>
    <row r="2" spans="1:5" ht="30" customHeight="1" x14ac:dyDescent="0.25">
      <c r="A2" s="8" t="s">
        <v>33</v>
      </c>
      <c r="B2" s="6">
        <f>COUNTIF(B9:B518,D11)+COUNTIF(B9:B518,D12)+COUNTIF(B9:B518,D13)+COUNTIF(B9:B518,D14)+COUNTIF(B9:B518,D15)+COUNTIF(B9:B518,D16)</f>
        <v>68</v>
      </c>
      <c r="C2" s="335" t="s">
        <v>471</v>
      </c>
      <c r="D2" s="336"/>
      <c r="E2" s="337"/>
    </row>
    <row r="3" spans="1:5" x14ac:dyDescent="0.25">
      <c r="A3" s="8" t="s">
        <v>33</v>
      </c>
      <c r="B3" s="6">
        <f>DCOUNTA(B8:B518,B8,D10:D16)</f>
        <v>68</v>
      </c>
      <c r="C3" s="335" t="s">
        <v>470</v>
      </c>
      <c r="D3" s="336"/>
      <c r="E3" s="337"/>
    </row>
    <row r="4" spans="1:5" ht="30" customHeight="1" x14ac:dyDescent="0.25">
      <c r="A4" s="8" t="s">
        <v>33</v>
      </c>
      <c r="B4" s="6">
        <f>SUMPRODUCT((B9:B518=D11)+(B9:B518=D12)+(B9:B518=D13)+(B9:B518=D14)+(B9:B518=D15)+(B9:B518=D16))</f>
        <v>68</v>
      </c>
      <c r="C4" s="335" t="s">
        <v>472</v>
      </c>
      <c r="D4" s="336"/>
      <c r="E4" s="337"/>
    </row>
    <row r="5" spans="1:5" ht="30" customHeight="1" x14ac:dyDescent="0.25">
      <c r="A5" s="8" t="s">
        <v>33</v>
      </c>
      <c r="B5" s="6">
        <f t="array" ref="B5">SUM(IF((B9:B518=D11)+(B9:B518=D12)+(B9:B518=D13)+(B9:B518=D14)+(B9:B518=D15)+(B9:B518=D16),1))</f>
        <v>68</v>
      </c>
      <c r="C5" s="335" t="s">
        <v>473</v>
      </c>
      <c r="D5" s="336"/>
      <c r="E5" s="337"/>
    </row>
    <row r="6" spans="1:5" x14ac:dyDescent="0.25">
      <c r="A6" s="8" t="s">
        <v>33</v>
      </c>
      <c r="B6" s="6">
        <f>SUMPRODUCT(--ISNUMBER(MATCH(B9:B518,D11:D16,0)))</f>
        <v>68</v>
      </c>
      <c r="C6" s="335" t="s">
        <v>474</v>
      </c>
      <c r="D6" s="336"/>
      <c r="E6" s="337"/>
    </row>
    <row r="8" spans="1:5" x14ac:dyDescent="0.25">
      <c r="A8" s="8" t="s">
        <v>457</v>
      </c>
      <c r="B8" s="8" t="s">
        <v>411</v>
      </c>
      <c r="D8" s="26" t="s">
        <v>412</v>
      </c>
    </row>
    <row r="9" spans="1:5" x14ac:dyDescent="0.25">
      <c r="A9" s="19">
        <v>41565</v>
      </c>
      <c r="B9" s="5" t="s">
        <v>413</v>
      </c>
      <c r="D9" s="97" t="s">
        <v>414</v>
      </c>
    </row>
    <row r="10" spans="1:5" x14ac:dyDescent="0.25">
      <c r="A10" s="19">
        <v>41553</v>
      </c>
      <c r="B10" s="5" t="s">
        <v>415</v>
      </c>
      <c r="D10" s="8" t="s">
        <v>411</v>
      </c>
    </row>
    <row r="11" spans="1:5" x14ac:dyDescent="0.25">
      <c r="A11" s="19">
        <v>41566</v>
      </c>
      <c r="B11" s="5" t="s">
        <v>415</v>
      </c>
      <c r="D11" s="5" t="s">
        <v>416</v>
      </c>
    </row>
    <row r="12" spans="1:5" x14ac:dyDescent="0.25">
      <c r="A12" s="19">
        <v>41567</v>
      </c>
      <c r="B12" s="5" t="s">
        <v>417</v>
      </c>
      <c r="D12" s="5" t="s">
        <v>418</v>
      </c>
    </row>
    <row r="13" spans="1:5" x14ac:dyDescent="0.25">
      <c r="A13" s="19">
        <v>41560</v>
      </c>
      <c r="B13" s="5" t="s">
        <v>419</v>
      </c>
      <c r="D13" s="5" t="s">
        <v>420</v>
      </c>
    </row>
    <row r="14" spans="1:5" x14ac:dyDescent="0.25">
      <c r="A14" s="19">
        <v>41565</v>
      </c>
      <c r="B14" s="5" t="s">
        <v>419</v>
      </c>
      <c r="D14" s="5" t="s">
        <v>421</v>
      </c>
    </row>
    <row r="15" spans="1:5" x14ac:dyDescent="0.25">
      <c r="A15" s="19">
        <v>41598</v>
      </c>
      <c r="B15" s="5" t="s">
        <v>422</v>
      </c>
      <c r="D15" s="5" t="s">
        <v>423</v>
      </c>
    </row>
    <row r="16" spans="1:5" x14ac:dyDescent="0.25">
      <c r="A16" s="19">
        <v>41573</v>
      </c>
      <c r="B16" s="5" t="s">
        <v>424</v>
      </c>
      <c r="D16" s="5" t="s">
        <v>425</v>
      </c>
    </row>
    <row r="17" spans="1:2" x14ac:dyDescent="0.25">
      <c r="A17" s="19">
        <v>41565</v>
      </c>
      <c r="B17" s="5" t="s">
        <v>426</v>
      </c>
    </row>
    <row r="18" spans="1:2" x14ac:dyDescent="0.25">
      <c r="A18" s="19">
        <v>41556</v>
      </c>
      <c r="B18" s="5" t="s">
        <v>427</v>
      </c>
    </row>
    <row r="19" spans="1:2" x14ac:dyDescent="0.25">
      <c r="A19" s="19">
        <v>41600</v>
      </c>
      <c r="B19" s="5" t="s">
        <v>421</v>
      </c>
    </row>
    <row r="20" spans="1:2" x14ac:dyDescent="0.25">
      <c r="A20" s="19">
        <v>41581</v>
      </c>
      <c r="B20" s="5" t="s">
        <v>428</v>
      </c>
    </row>
    <row r="21" spans="1:2" x14ac:dyDescent="0.25">
      <c r="A21" s="19">
        <v>41557</v>
      </c>
      <c r="B21" s="5" t="s">
        <v>424</v>
      </c>
    </row>
    <row r="22" spans="1:2" x14ac:dyDescent="0.25">
      <c r="A22" s="19">
        <v>41596</v>
      </c>
      <c r="B22" s="5" t="s">
        <v>429</v>
      </c>
    </row>
    <row r="23" spans="1:2" x14ac:dyDescent="0.25">
      <c r="A23" s="19">
        <v>41565</v>
      </c>
      <c r="B23" s="5" t="s">
        <v>430</v>
      </c>
    </row>
    <row r="24" spans="1:2" x14ac:dyDescent="0.25">
      <c r="A24" s="19">
        <v>41566</v>
      </c>
      <c r="B24" s="5" t="s">
        <v>431</v>
      </c>
    </row>
    <row r="25" spans="1:2" x14ac:dyDescent="0.25">
      <c r="A25" s="19">
        <v>41580</v>
      </c>
      <c r="B25" s="5" t="s">
        <v>418</v>
      </c>
    </row>
    <row r="26" spans="1:2" x14ac:dyDescent="0.25">
      <c r="A26" s="19">
        <v>41561</v>
      </c>
      <c r="B26" s="5" t="s">
        <v>413</v>
      </c>
    </row>
    <row r="27" spans="1:2" x14ac:dyDescent="0.25">
      <c r="A27" s="19">
        <v>41579</v>
      </c>
      <c r="B27" s="5" t="s">
        <v>432</v>
      </c>
    </row>
    <row r="28" spans="1:2" x14ac:dyDescent="0.25">
      <c r="A28" s="19">
        <v>41591</v>
      </c>
      <c r="B28" s="5" t="s">
        <v>413</v>
      </c>
    </row>
    <row r="29" spans="1:2" x14ac:dyDescent="0.25">
      <c r="A29" s="19">
        <v>41571</v>
      </c>
      <c r="B29" s="5" t="s">
        <v>433</v>
      </c>
    </row>
    <row r="30" spans="1:2" x14ac:dyDescent="0.25">
      <c r="A30" s="19">
        <v>41574</v>
      </c>
      <c r="B30" s="5" t="s">
        <v>422</v>
      </c>
    </row>
    <row r="31" spans="1:2" x14ac:dyDescent="0.25">
      <c r="A31" s="19">
        <v>41591</v>
      </c>
      <c r="B31" s="5" t="s">
        <v>434</v>
      </c>
    </row>
    <row r="32" spans="1:2" x14ac:dyDescent="0.25">
      <c r="A32" s="19">
        <v>41560</v>
      </c>
      <c r="B32" s="5" t="s">
        <v>435</v>
      </c>
    </row>
    <row r="33" spans="1:2" x14ac:dyDescent="0.25">
      <c r="A33" s="19">
        <v>41589</v>
      </c>
      <c r="B33" s="5" t="s">
        <v>436</v>
      </c>
    </row>
    <row r="34" spans="1:2" x14ac:dyDescent="0.25">
      <c r="A34" s="19">
        <v>41565</v>
      </c>
      <c r="B34" s="5" t="s">
        <v>429</v>
      </c>
    </row>
    <row r="35" spans="1:2" x14ac:dyDescent="0.25">
      <c r="A35" s="19">
        <v>41554</v>
      </c>
      <c r="B35" s="5" t="s">
        <v>429</v>
      </c>
    </row>
    <row r="36" spans="1:2" x14ac:dyDescent="0.25">
      <c r="A36" s="19">
        <v>41598</v>
      </c>
      <c r="B36" s="5" t="s">
        <v>437</v>
      </c>
    </row>
    <row r="37" spans="1:2" x14ac:dyDescent="0.25">
      <c r="A37" s="19">
        <v>41576</v>
      </c>
      <c r="B37" s="5" t="s">
        <v>438</v>
      </c>
    </row>
    <row r="38" spans="1:2" x14ac:dyDescent="0.25">
      <c r="A38" s="19">
        <v>41578</v>
      </c>
      <c r="B38" s="5" t="s">
        <v>439</v>
      </c>
    </row>
    <row r="39" spans="1:2" x14ac:dyDescent="0.25">
      <c r="A39" s="19">
        <v>41564</v>
      </c>
      <c r="B39" s="5" t="s">
        <v>437</v>
      </c>
    </row>
    <row r="40" spans="1:2" x14ac:dyDescent="0.25">
      <c r="A40" s="19">
        <v>41581</v>
      </c>
      <c r="B40" s="5" t="s">
        <v>440</v>
      </c>
    </row>
    <row r="41" spans="1:2" x14ac:dyDescent="0.25">
      <c r="A41" s="19">
        <v>41567</v>
      </c>
      <c r="B41" s="5" t="s">
        <v>441</v>
      </c>
    </row>
    <row r="42" spans="1:2" x14ac:dyDescent="0.25">
      <c r="A42" s="19">
        <v>41557</v>
      </c>
      <c r="B42" s="5" t="s">
        <v>417</v>
      </c>
    </row>
    <row r="43" spans="1:2" x14ac:dyDescent="0.25">
      <c r="A43" s="19">
        <v>41555</v>
      </c>
      <c r="B43" s="5" t="s">
        <v>442</v>
      </c>
    </row>
    <row r="44" spans="1:2" x14ac:dyDescent="0.25">
      <c r="A44" s="19">
        <v>41587</v>
      </c>
      <c r="B44" s="5" t="s">
        <v>443</v>
      </c>
    </row>
    <row r="45" spans="1:2" x14ac:dyDescent="0.25">
      <c r="A45" s="19">
        <v>41583</v>
      </c>
      <c r="B45" s="5" t="s">
        <v>437</v>
      </c>
    </row>
    <row r="46" spans="1:2" x14ac:dyDescent="0.25">
      <c r="A46" s="19">
        <v>41596</v>
      </c>
      <c r="B46" s="5" t="s">
        <v>444</v>
      </c>
    </row>
    <row r="47" spans="1:2" x14ac:dyDescent="0.25">
      <c r="A47" s="19">
        <v>41593</v>
      </c>
      <c r="B47" s="5" t="s">
        <v>436</v>
      </c>
    </row>
    <row r="48" spans="1:2" x14ac:dyDescent="0.25">
      <c r="A48" s="19">
        <v>41598</v>
      </c>
      <c r="B48" s="5" t="s">
        <v>444</v>
      </c>
    </row>
    <row r="49" spans="1:2" x14ac:dyDescent="0.25">
      <c r="A49" s="19">
        <v>41561</v>
      </c>
      <c r="B49" s="5" t="s">
        <v>439</v>
      </c>
    </row>
    <row r="50" spans="1:2" x14ac:dyDescent="0.25">
      <c r="A50" s="19">
        <v>41589</v>
      </c>
      <c r="B50" s="5" t="s">
        <v>445</v>
      </c>
    </row>
    <row r="51" spans="1:2" x14ac:dyDescent="0.25">
      <c r="A51" s="19">
        <v>41596</v>
      </c>
      <c r="B51" s="5" t="s">
        <v>421</v>
      </c>
    </row>
    <row r="52" spans="1:2" x14ac:dyDescent="0.25">
      <c r="A52" s="19">
        <v>41552</v>
      </c>
      <c r="B52" s="5" t="s">
        <v>446</v>
      </c>
    </row>
    <row r="53" spans="1:2" x14ac:dyDescent="0.25">
      <c r="A53" s="19">
        <v>41574</v>
      </c>
      <c r="B53" s="5" t="s">
        <v>447</v>
      </c>
    </row>
    <row r="54" spans="1:2" x14ac:dyDescent="0.25">
      <c r="A54" s="19">
        <v>41585</v>
      </c>
      <c r="B54" s="5" t="s">
        <v>427</v>
      </c>
    </row>
    <row r="55" spans="1:2" x14ac:dyDescent="0.25">
      <c r="A55" s="19">
        <v>41600</v>
      </c>
      <c r="B55" s="5" t="s">
        <v>438</v>
      </c>
    </row>
    <row r="56" spans="1:2" x14ac:dyDescent="0.25">
      <c r="A56" s="19">
        <v>41580</v>
      </c>
      <c r="B56" s="5" t="s">
        <v>421</v>
      </c>
    </row>
    <row r="57" spans="1:2" x14ac:dyDescent="0.25">
      <c r="A57" s="19">
        <v>41586</v>
      </c>
      <c r="B57" s="5" t="s">
        <v>422</v>
      </c>
    </row>
    <row r="58" spans="1:2" x14ac:dyDescent="0.25">
      <c r="A58" s="19">
        <v>41565</v>
      </c>
      <c r="B58" s="5" t="s">
        <v>424</v>
      </c>
    </row>
    <row r="59" spans="1:2" x14ac:dyDescent="0.25">
      <c r="A59" s="19">
        <v>41582</v>
      </c>
      <c r="B59" s="5" t="s">
        <v>438</v>
      </c>
    </row>
    <row r="60" spans="1:2" x14ac:dyDescent="0.25">
      <c r="A60" s="19">
        <v>41561</v>
      </c>
      <c r="B60" s="5" t="s">
        <v>433</v>
      </c>
    </row>
    <row r="61" spans="1:2" x14ac:dyDescent="0.25">
      <c r="A61" s="19">
        <v>41571</v>
      </c>
      <c r="B61" s="5" t="s">
        <v>413</v>
      </c>
    </row>
    <row r="62" spans="1:2" x14ac:dyDescent="0.25">
      <c r="A62" s="19">
        <v>41589</v>
      </c>
      <c r="B62" s="5" t="s">
        <v>447</v>
      </c>
    </row>
    <row r="63" spans="1:2" x14ac:dyDescent="0.25">
      <c r="A63" s="19">
        <v>41584</v>
      </c>
      <c r="B63" s="5" t="s">
        <v>448</v>
      </c>
    </row>
    <row r="64" spans="1:2" x14ac:dyDescent="0.25">
      <c r="A64" s="19">
        <v>41590</v>
      </c>
      <c r="B64" s="5" t="s">
        <v>428</v>
      </c>
    </row>
    <row r="65" spans="1:2" x14ac:dyDescent="0.25">
      <c r="A65" s="19">
        <v>41579</v>
      </c>
      <c r="B65" s="5" t="s">
        <v>449</v>
      </c>
    </row>
    <row r="66" spans="1:2" x14ac:dyDescent="0.25">
      <c r="A66" s="19">
        <v>41598</v>
      </c>
      <c r="B66" s="5" t="s">
        <v>423</v>
      </c>
    </row>
    <row r="67" spans="1:2" x14ac:dyDescent="0.25">
      <c r="A67" s="19">
        <v>41579</v>
      </c>
      <c r="B67" s="5" t="s">
        <v>415</v>
      </c>
    </row>
    <row r="68" spans="1:2" x14ac:dyDescent="0.25">
      <c r="A68" s="19">
        <v>41563</v>
      </c>
      <c r="B68" s="5" t="s">
        <v>450</v>
      </c>
    </row>
    <row r="69" spans="1:2" x14ac:dyDescent="0.25">
      <c r="A69" s="19">
        <v>41559</v>
      </c>
      <c r="B69" s="5" t="s">
        <v>451</v>
      </c>
    </row>
    <row r="70" spans="1:2" x14ac:dyDescent="0.25">
      <c r="A70" s="19">
        <v>41558</v>
      </c>
      <c r="B70" s="5" t="s">
        <v>428</v>
      </c>
    </row>
    <row r="71" spans="1:2" x14ac:dyDescent="0.25">
      <c r="A71" s="19">
        <v>41575</v>
      </c>
      <c r="B71" s="5" t="s">
        <v>443</v>
      </c>
    </row>
    <row r="72" spans="1:2" x14ac:dyDescent="0.25">
      <c r="A72" s="19">
        <v>41568</v>
      </c>
      <c r="B72" s="5" t="s">
        <v>423</v>
      </c>
    </row>
    <row r="73" spans="1:2" x14ac:dyDescent="0.25">
      <c r="A73" s="19">
        <v>41592</v>
      </c>
      <c r="B73" s="5" t="s">
        <v>442</v>
      </c>
    </row>
    <row r="74" spans="1:2" x14ac:dyDescent="0.25">
      <c r="A74" s="19">
        <v>41594</v>
      </c>
      <c r="B74" s="5" t="s">
        <v>452</v>
      </c>
    </row>
    <row r="75" spans="1:2" x14ac:dyDescent="0.25">
      <c r="A75" s="19">
        <v>41578</v>
      </c>
      <c r="B75" s="5" t="s">
        <v>418</v>
      </c>
    </row>
    <row r="76" spans="1:2" x14ac:dyDescent="0.25">
      <c r="A76" s="19">
        <v>41584</v>
      </c>
      <c r="B76" s="5" t="s">
        <v>430</v>
      </c>
    </row>
    <row r="77" spans="1:2" x14ac:dyDescent="0.25">
      <c r="A77" s="19">
        <v>41565</v>
      </c>
      <c r="B77" s="5" t="s">
        <v>426</v>
      </c>
    </row>
    <row r="78" spans="1:2" x14ac:dyDescent="0.25">
      <c r="A78" s="19">
        <v>41575</v>
      </c>
      <c r="B78" s="5" t="s">
        <v>453</v>
      </c>
    </row>
    <row r="79" spans="1:2" x14ac:dyDescent="0.25">
      <c r="A79" s="19">
        <v>41590</v>
      </c>
      <c r="B79" s="5" t="s">
        <v>416</v>
      </c>
    </row>
    <row r="80" spans="1:2" x14ac:dyDescent="0.25">
      <c r="A80" s="19">
        <v>41569</v>
      </c>
      <c r="B80" s="5" t="s">
        <v>419</v>
      </c>
    </row>
    <row r="81" spans="1:2" x14ac:dyDescent="0.25">
      <c r="A81" s="19">
        <v>41563</v>
      </c>
      <c r="B81" s="5" t="s">
        <v>437</v>
      </c>
    </row>
    <row r="82" spans="1:2" x14ac:dyDescent="0.25">
      <c r="A82" s="19">
        <v>41594</v>
      </c>
      <c r="B82" s="5" t="s">
        <v>422</v>
      </c>
    </row>
    <row r="83" spans="1:2" x14ac:dyDescent="0.25">
      <c r="A83" s="19">
        <v>41587</v>
      </c>
      <c r="B83" s="5" t="s">
        <v>445</v>
      </c>
    </row>
    <row r="84" spans="1:2" x14ac:dyDescent="0.25">
      <c r="A84" s="19">
        <v>41568</v>
      </c>
      <c r="B84" s="5" t="s">
        <v>433</v>
      </c>
    </row>
    <row r="85" spans="1:2" x14ac:dyDescent="0.25">
      <c r="A85" s="19">
        <v>41583</v>
      </c>
      <c r="B85" s="5" t="s">
        <v>420</v>
      </c>
    </row>
    <row r="86" spans="1:2" x14ac:dyDescent="0.25">
      <c r="A86" s="19">
        <v>41567</v>
      </c>
      <c r="B86" s="5" t="s">
        <v>449</v>
      </c>
    </row>
    <row r="87" spans="1:2" x14ac:dyDescent="0.25">
      <c r="A87" s="19">
        <v>41564</v>
      </c>
      <c r="B87" s="5" t="s">
        <v>454</v>
      </c>
    </row>
    <row r="88" spans="1:2" x14ac:dyDescent="0.25">
      <c r="A88" s="19">
        <v>41579</v>
      </c>
      <c r="B88" s="5" t="s">
        <v>455</v>
      </c>
    </row>
    <row r="89" spans="1:2" x14ac:dyDescent="0.25">
      <c r="A89" s="19">
        <v>41570</v>
      </c>
      <c r="B89" s="5" t="s">
        <v>416</v>
      </c>
    </row>
    <row r="90" spans="1:2" x14ac:dyDescent="0.25">
      <c r="A90" s="19">
        <v>41565</v>
      </c>
      <c r="B90" s="5" t="s">
        <v>429</v>
      </c>
    </row>
    <row r="91" spans="1:2" x14ac:dyDescent="0.25">
      <c r="A91" s="19">
        <v>41567</v>
      </c>
      <c r="B91" s="5" t="s">
        <v>448</v>
      </c>
    </row>
    <row r="92" spans="1:2" x14ac:dyDescent="0.25">
      <c r="A92" s="19">
        <v>41564</v>
      </c>
      <c r="B92" s="5" t="s">
        <v>415</v>
      </c>
    </row>
    <row r="93" spans="1:2" x14ac:dyDescent="0.25">
      <c r="A93" s="19">
        <v>41588</v>
      </c>
      <c r="B93" s="5" t="s">
        <v>444</v>
      </c>
    </row>
    <row r="94" spans="1:2" x14ac:dyDescent="0.25">
      <c r="A94" s="19">
        <v>41596</v>
      </c>
      <c r="B94" s="5" t="s">
        <v>432</v>
      </c>
    </row>
    <row r="95" spans="1:2" x14ac:dyDescent="0.25">
      <c r="A95" s="19">
        <v>41576</v>
      </c>
      <c r="B95" s="5" t="s">
        <v>437</v>
      </c>
    </row>
    <row r="96" spans="1:2" x14ac:dyDescent="0.25">
      <c r="A96" s="19">
        <v>41570</v>
      </c>
      <c r="B96" s="5" t="s">
        <v>434</v>
      </c>
    </row>
    <row r="97" spans="1:2" x14ac:dyDescent="0.25">
      <c r="A97" s="19">
        <v>41572</v>
      </c>
      <c r="B97" s="5" t="s">
        <v>452</v>
      </c>
    </row>
    <row r="98" spans="1:2" x14ac:dyDescent="0.25">
      <c r="A98" s="19">
        <v>41551</v>
      </c>
      <c r="B98" s="5" t="s">
        <v>441</v>
      </c>
    </row>
    <row r="99" spans="1:2" x14ac:dyDescent="0.25">
      <c r="A99" s="19">
        <v>41551</v>
      </c>
      <c r="B99" s="5" t="s">
        <v>447</v>
      </c>
    </row>
    <row r="100" spans="1:2" x14ac:dyDescent="0.25">
      <c r="A100" s="19">
        <v>41582</v>
      </c>
      <c r="B100" s="5" t="s">
        <v>456</v>
      </c>
    </row>
    <row r="101" spans="1:2" x14ac:dyDescent="0.25">
      <c r="A101" s="19">
        <v>41552</v>
      </c>
      <c r="B101" s="5" t="s">
        <v>459</v>
      </c>
    </row>
    <row r="102" spans="1:2" x14ac:dyDescent="0.25">
      <c r="A102" s="19">
        <v>41581</v>
      </c>
      <c r="B102" s="5" t="s">
        <v>441</v>
      </c>
    </row>
    <row r="103" spans="1:2" x14ac:dyDescent="0.25">
      <c r="A103" s="19">
        <v>41557</v>
      </c>
      <c r="B103" s="5" t="s">
        <v>434</v>
      </c>
    </row>
    <row r="104" spans="1:2" x14ac:dyDescent="0.25">
      <c r="A104" s="19">
        <v>41558</v>
      </c>
      <c r="B104" s="5" t="s">
        <v>452</v>
      </c>
    </row>
    <row r="105" spans="1:2" x14ac:dyDescent="0.25">
      <c r="A105" s="19">
        <v>41560</v>
      </c>
      <c r="B105" s="5" t="s">
        <v>439</v>
      </c>
    </row>
    <row r="106" spans="1:2" x14ac:dyDescent="0.25">
      <c r="A106" s="19">
        <v>41553</v>
      </c>
      <c r="B106" s="5" t="s">
        <v>448</v>
      </c>
    </row>
    <row r="107" spans="1:2" x14ac:dyDescent="0.25">
      <c r="A107" s="19">
        <v>41563</v>
      </c>
      <c r="B107" s="5" t="s">
        <v>425</v>
      </c>
    </row>
    <row r="108" spans="1:2" x14ac:dyDescent="0.25">
      <c r="A108" s="19">
        <v>41592</v>
      </c>
      <c r="B108" s="5" t="s">
        <v>460</v>
      </c>
    </row>
    <row r="109" spans="1:2" x14ac:dyDescent="0.25">
      <c r="A109" s="19">
        <v>41571</v>
      </c>
      <c r="B109" s="5" t="s">
        <v>419</v>
      </c>
    </row>
    <row r="110" spans="1:2" x14ac:dyDescent="0.25">
      <c r="A110" s="19">
        <v>41573</v>
      </c>
      <c r="B110" s="5" t="s">
        <v>422</v>
      </c>
    </row>
    <row r="111" spans="1:2" x14ac:dyDescent="0.25">
      <c r="A111" s="19">
        <v>41575</v>
      </c>
      <c r="B111" s="5" t="s">
        <v>439</v>
      </c>
    </row>
    <row r="112" spans="1:2" x14ac:dyDescent="0.25">
      <c r="A112" s="19">
        <v>41592</v>
      </c>
      <c r="B112" s="5" t="s">
        <v>450</v>
      </c>
    </row>
    <row r="113" spans="1:2" x14ac:dyDescent="0.25">
      <c r="A113" s="19">
        <v>41555</v>
      </c>
      <c r="B113" s="5" t="s">
        <v>439</v>
      </c>
    </row>
    <row r="114" spans="1:2" x14ac:dyDescent="0.25">
      <c r="A114" s="19">
        <v>41557</v>
      </c>
      <c r="B114" s="5" t="s">
        <v>453</v>
      </c>
    </row>
    <row r="115" spans="1:2" x14ac:dyDescent="0.25">
      <c r="A115" s="19">
        <v>41569</v>
      </c>
      <c r="B115" s="5" t="s">
        <v>427</v>
      </c>
    </row>
    <row r="116" spans="1:2" x14ac:dyDescent="0.25">
      <c r="A116" s="19">
        <v>41569</v>
      </c>
      <c r="B116" s="5" t="s">
        <v>419</v>
      </c>
    </row>
    <row r="117" spans="1:2" x14ac:dyDescent="0.25">
      <c r="A117" s="19">
        <v>41576</v>
      </c>
      <c r="B117" s="5" t="s">
        <v>428</v>
      </c>
    </row>
    <row r="118" spans="1:2" x14ac:dyDescent="0.25">
      <c r="A118" s="19">
        <v>41600</v>
      </c>
      <c r="B118" s="5" t="s">
        <v>415</v>
      </c>
    </row>
    <row r="119" spans="1:2" x14ac:dyDescent="0.25">
      <c r="A119" s="19">
        <v>41598</v>
      </c>
      <c r="B119" s="5" t="s">
        <v>448</v>
      </c>
    </row>
    <row r="120" spans="1:2" x14ac:dyDescent="0.25">
      <c r="A120" s="19">
        <v>41563</v>
      </c>
      <c r="B120" s="5" t="s">
        <v>453</v>
      </c>
    </row>
    <row r="121" spans="1:2" x14ac:dyDescent="0.25">
      <c r="A121" s="19">
        <v>41581</v>
      </c>
      <c r="B121" s="5" t="s">
        <v>413</v>
      </c>
    </row>
    <row r="122" spans="1:2" x14ac:dyDescent="0.25">
      <c r="A122" s="19">
        <v>41557</v>
      </c>
      <c r="B122" s="5" t="s">
        <v>452</v>
      </c>
    </row>
    <row r="123" spans="1:2" x14ac:dyDescent="0.25">
      <c r="A123" s="19">
        <v>41580</v>
      </c>
      <c r="B123" s="5" t="s">
        <v>425</v>
      </c>
    </row>
    <row r="124" spans="1:2" x14ac:dyDescent="0.25">
      <c r="A124" s="19">
        <v>41573</v>
      </c>
      <c r="B124" s="5" t="s">
        <v>433</v>
      </c>
    </row>
    <row r="125" spans="1:2" x14ac:dyDescent="0.25">
      <c r="A125" s="19">
        <v>41557</v>
      </c>
      <c r="B125" s="5" t="s">
        <v>451</v>
      </c>
    </row>
    <row r="126" spans="1:2" x14ac:dyDescent="0.25">
      <c r="A126" s="19">
        <v>41598</v>
      </c>
      <c r="B126" s="5" t="s">
        <v>442</v>
      </c>
    </row>
    <row r="127" spans="1:2" x14ac:dyDescent="0.25">
      <c r="A127" s="19">
        <v>41568</v>
      </c>
      <c r="B127" s="5" t="s">
        <v>461</v>
      </c>
    </row>
    <row r="128" spans="1:2" x14ac:dyDescent="0.25">
      <c r="A128" s="19">
        <v>41578</v>
      </c>
      <c r="B128" s="5" t="s">
        <v>433</v>
      </c>
    </row>
    <row r="129" spans="1:2" x14ac:dyDescent="0.25">
      <c r="A129" s="19">
        <v>41563</v>
      </c>
      <c r="B129" s="5" t="s">
        <v>436</v>
      </c>
    </row>
    <row r="130" spans="1:2" x14ac:dyDescent="0.25">
      <c r="A130" s="19">
        <v>41568</v>
      </c>
      <c r="B130" s="5" t="s">
        <v>462</v>
      </c>
    </row>
    <row r="131" spans="1:2" x14ac:dyDescent="0.25">
      <c r="A131" s="19">
        <v>41599</v>
      </c>
      <c r="B131" s="5" t="s">
        <v>449</v>
      </c>
    </row>
    <row r="132" spans="1:2" x14ac:dyDescent="0.25">
      <c r="A132" s="19">
        <v>41557</v>
      </c>
      <c r="B132" s="5" t="s">
        <v>450</v>
      </c>
    </row>
    <row r="133" spans="1:2" x14ac:dyDescent="0.25">
      <c r="A133" s="19">
        <v>41570</v>
      </c>
      <c r="B133" s="5" t="s">
        <v>451</v>
      </c>
    </row>
    <row r="134" spans="1:2" x14ac:dyDescent="0.25">
      <c r="A134" s="19">
        <v>41588</v>
      </c>
      <c r="B134" s="5" t="s">
        <v>433</v>
      </c>
    </row>
    <row r="135" spans="1:2" x14ac:dyDescent="0.25">
      <c r="A135" s="19">
        <v>41563</v>
      </c>
      <c r="B135" s="5" t="s">
        <v>423</v>
      </c>
    </row>
    <row r="136" spans="1:2" x14ac:dyDescent="0.25">
      <c r="A136" s="19">
        <v>41561</v>
      </c>
      <c r="B136" s="5" t="s">
        <v>431</v>
      </c>
    </row>
    <row r="137" spans="1:2" x14ac:dyDescent="0.25">
      <c r="A137" s="19">
        <v>41579</v>
      </c>
      <c r="B137" s="5" t="s">
        <v>417</v>
      </c>
    </row>
    <row r="138" spans="1:2" x14ac:dyDescent="0.25">
      <c r="A138" s="19">
        <v>41566</v>
      </c>
      <c r="B138" s="5" t="s">
        <v>439</v>
      </c>
    </row>
    <row r="139" spans="1:2" x14ac:dyDescent="0.25">
      <c r="A139" s="19">
        <v>41562</v>
      </c>
      <c r="B139" s="5" t="s">
        <v>424</v>
      </c>
    </row>
    <row r="140" spans="1:2" x14ac:dyDescent="0.25">
      <c r="A140" s="19">
        <v>41555</v>
      </c>
      <c r="B140" s="5" t="s">
        <v>444</v>
      </c>
    </row>
    <row r="141" spans="1:2" x14ac:dyDescent="0.25">
      <c r="A141" s="19">
        <v>41559</v>
      </c>
      <c r="B141" s="5" t="s">
        <v>416</v>
      </c>
    </row>
    <row r="142" spans="1:2" x14ac:dyDescent="0.25">
      <c r="A142" s="19">
        <v>41594</v>
      </c>
      <c r="B142" s="5" t="s">
        <v>456</v>
      </c>
    </row>
    <row r="143" spans="1:2" x14ac:dyDescent="0.25">
      <c r="A143" s="19">
        <v>41590</v>
      </c>
      <c r="B143" s="5" t="s">
        <v>440</v>
      </c>
    </row>
    <row r="144" spans="1:2" x14ac:dyDescent="0.25">
      <c r="A144" s="19">
        <v>41585</v>
      </c>
      <c r="B144" s="5" t="s">
        <v>429</v>
      </c>
    </row>
    <row r="145" spans="1:2" x14ac:dyDescent="0.25">
      <c r="A145" s="19">
        <v>41561</v>
      </c>
      <c r="B145" s="5" t="s">
        <v>441</v>
      </c>
    </row>
    <row r="146" spans="1:2" x14ac:dyDescent="0.25">
      <c r="A146" s="19">
        <v>41564</v>
      </c>
      <c r="B146" s="5" t="s">
        <v>420</v>
      </c>
    </row>
    <row r="147" spans="1:2" x14ac:dyDescent="0.25">
      <c r="A147" s="19">
        <v>41561</v>
      </c>
      <c r="B147" s="5" t="s">
        <v>425</v>
      </c>
    </row>
    <row r="148" spans="1:2" x14ac:dyDescent="0.25">
      <c r="A148" s="19">
        <v>41558</v>
      </c>
      <c r="B148" s="5" t="s">
        <v>441</v>
      </c>
    </row>
    <row r="149" spans="1:2" x14ac:dyDescent="0.25">
      <c r="A149" s="19">
        <v>41587</v>
      </c>
      <c r="B149" s="5" t="s">
        <v>438</v>
      </c>
    </row>
    <row r="150" spans="1:2" x14ac:dyDescent="0.25">
      <c r="A150" s="19">
        <v>41570</v>
      </c>
      <c r="B150" s="5" t="s">
        <v>435</v>
      </c>
    </row>
    <row r="151" spans="1:2" x14ac:dyDescent="0.25">
      <c r="A151" s="19">
        <v>41590</v>
      </c>
      <c r="B151" s="5" t="s">
        <v>438</v>
      </c>
    </row>
    <row r="152" spans="1:2" x14ac:dyDescent="0.25">
      <c r="A152" s="19">
        <v>41600</v>
      </c>
      <c r="B152" s="5" t="s">
        <v>429</v>
      </c>
    </row>
    <row r="153" spans="1:2" x14ac:dyDescent="0.25">
      <c r="A153" s="19">
        <v>41596</v>
      </c>
      <c r="B153" s="5" t="s">
        <v>418</v>
      </c>
    </row>
    <row r="154" spans="1:2" x14ac:dyDescent="0.25">
      <c r="A154" s="19">
        <v>41588</v>
      </c>
      <c r="B154" s="5" t="s">
        <v>416</v>
      </c>
    </row>
    <row r="155" spans="1:2" x14ac:dyDescent="0.25">
      <c r="A155" s="19">
        <v>41552</v>
      </c>
      <c r="B155" s="5" t="s">
        <v>440</v>
      </c>
    </row>
    <row r="156" spans="1:2" x14ac:dyDescent="0.25">
      <c r="A156" s="19">
        <v>41600</v>
      </c>
      <c r="B156" s="5" t="s">
        <v>433</v>
      </c>
    </row>
    <row r="157" spans="1:2" x14ac:dyDescent="0.25">
      <c r="A157" s="19">
        <v>41564</v>
      </c>
      <c r="B157" s="5" t="s">
        <v>449</v>
      </c>
    </row>
    <row r="158" spans="1:2" x14ac:dyDescent="0.25">
      <c r="A158" s="19">
        <v>41566</v>
      </c>
      <c r="B158" s="5" t="s">
        <v>463</v>
      </c>
    </row>
    <row r="159" spans="1:2" x14ac:dyDescent="0.25">
      <c r="A159" s="19">
        <v>41570</v>
      </c>
      <c r="B159" s="5" t="s">
        <v>450</v>
      </c>
    </row>
    <row r="160" spans="1:2" x14ac:dyDescent="0.25">
      <c r="A160" s="19">
        <v>41575</v>
      </c>
      <c r="B160" s="5" t="s">
        <v>439</v>
      </c>
    </row>
    <row r="161" spans="1:2" x14ac:dyDescent="0.25">
      <c r="A161" s="19">
        <v>41593</v>
      </c>
      <c r="B161" s="5" t="s">
        <v>416</v>
      </c>
    </row>
    <row r="162" spans="1:2" x14ac:dyDescent="0.25">
      <c r="A162" s="19">
        <v>41567</v>
      </c>
      <c r="B162" s="5" t="s">
        <v>435</v>
      </c>
    </row>
    <row r="163" spans="1:2" x14ac:dyDescent="0.25">
      <c r="A163" s="19">
        <v>41579</v>
      </c>
      <c r="B163" s="5" t="s">
        <v>443</v>
      </c>
    </row>
    <row r="164" spans="1:2" x14ac:dyDescent="0.25">
      <c r="A164" s="19">
        <v>41550</v>
      </c>
      <c r="B164" s="5" t="s">
        <v>452</v>
      </c>
    </row>
    <row r="165" spans="1:2" x14ac:dyDescent="0.25">
      <c r="A165" s="19">
        <v>41585</v>
      </c>
      <c r="B165" s="5" t="s">
        <v>418</v>
      </c>
    </row>
    <row r="166" spans="1:2" x14ac:dyDescent="0.25">
      <c r="A166" s="19">
        <v>41561</v>
      </c>
      <c r="B166" s="5" t="s">
        <v>426</v>
      </c>
    </row>
    <row r="167" spans="1:2" x14ac:dyDescent="0.25">
      <c r="A167" s="19">
        <v>41554</v>
      </c>
      <c r="B167" s="5" t="s">
        <v>418</v>
      </c>
    </row>
    <row r="168" spans="1:2" x14ac:dyDescent="0.25">
      <c r="A168" s="19">
        <v>41587</v>
      </c>
      <c r="B168" s="5" t="s">
        <v>431</v>
      </c>
    </row>
    <row r="169" spans="1:2" x14ac:dyDescent="0.25">
      <c r="A169" s="19">
        <v>41579</v>
      </c>
      <c r="B169" s="5" t="s">
        <v>447</v>
      </c>
    </row>
    <row r="170" spans="1:2" x14ac:dyDescent="0.25">
      <c r="A170" s="19">
        <v>41563</v>
      </c>
      <c r="B170" s="5" t="s">
        <v>435</v>
      </c>
    </row>
    <row r="171" spans="1:2" x14ac:dyDescent="0.25">
      <c r="A171" s="19">
        <v>41576</v>
      </c>
      <c r="B171" s="5" t="s">
        <v>462</v>
      </c>
    </row>
    <row r="172" spans="1:2" x14ac:dyDescent="0.25">
      <c r="A172" s="19">
        <v>41586</v>
      </c>
      <c r="B172" s="5" t="s">
        <v>438</v>
      </c>
    </row>
    <row r="173" spans="1:2" x14ac:dyDescent="0.25">
      <c r="A173" s="19">
        <v>41554</v>
      </c>
      <c r="B173" s="5" t="s">
        <v>432</v>
      </c>
    </row>
    <row r="174" spans="1:2" x14ac:dyDescent="0.25">
      <c r="A174" s="19">
        <v>41574</v>
      </c>
      <c r="B174" s="5" t="s">
        <v>429</v>
      </c>
    </row>
    <row r="175" spans="1:2" x14ac:dyDescent="0.25">
      <c r="A175" s="19">
        <v>41592</v>
      </c>
      <c r="B175" s="5" t="s">
        <v>432</v>
      </c>
    </row>
    <row r="176" spans="1:2" x14ac:dyDescent="0.25">
      <c r="A176" s="19">
        <v>41585</v>
      </c>
      <c r="B176" s="5" t="s">
        <v>460</v>
      </c>
    </row>
    <row r="177" spans="1:2" x14ac:dyDescent="0.25">
      <c r="A177" s="19">
        <v>41577</v>
      </c>
      <c r="B177" s="5" t="s">
        <v>451</v>
      </c>
    </row>
    <row r="178" spans="1:2" x14ac:dyDescent="0.25">
      <c r="A178" s="19">
        <v>41589</v>
      </c>
      <c r="B178" s="5" t="s">
        <v>432</v>
      </c>
    </row>
    <row r="179" spans="1:2" x14ac:dyDescent="0.25">
      <c r="A179" s="19">
        <v>41582</v>
      </c>
      <c r="B179" s="5" t="s">
        <v>440</v>
      </c>
    </row>
    <row r="180" spans="1:2" x14ac:dyDescent="0.25">
      <c r="A180" s="19">
        <v>41575</v>
      </c>
      <c r="B180" s="5" t="s">
        <v>443</v>
      </c>
    </row>
    <row r="181" spans="1:2" x14ac:dyDescent="0.25">
      <c r="A181" s="19">
        <v>41599</v>
      </c>
      <c r="B181" s="5" t="s">
        <v>440</v>
      </c>
    </row>
    <row r="182" spans="1:2" x14ac:dyDescent="0.25">
      <c r="A182" s="19">
        <v>41552</v>
      </c>
      <c r="B182" s="5" t="s">
        <v>445</v>
      </c>
    </row>
    <row r="183" spans="1:2" x14ac:dyDescent="0.25">
      <c r="A183" s="19">
        <v>41567</v>
      </c>
      <c r="B183" s="5" t="s">
        <v>413</v>
      </c>
    </row>
    <row r="184" spans="1:2" x14ac:dyDescent="0.25">
      <c r="A184" s="19">
        <v>41555</v>
      </c>
      <c r="B184" s="5" t="s">
        <v>420</v>
      </c>
    </row>
    <row r="185" spans="1:2" x14ac:dyDescent="0.25">
      <c r="A185" s="19">
        <v>41573</v>
      </c>
      <c r="B185" s="5" t="s">
        <v>463</v>
      </c>
    </row>
    <row r="186" spans="1:2" x14ac:dyDescent="0.25">
      <c r="A186" s="19">
        <v>41599</v>
      </c>
      <c r="B186" s="5" t="s">
        <v>454</v>
      </c>
    </row>
    <row r="187" spans="1:2" x14ac:dyDescent="0.25">
      <c r="A187" s="19">
        <v>41596</v>
      </c>
      <c r="B187" s="5" t="s">
        <v>420</v>
      </c>
    </row>
    <row r="188" spans="1:2" x14ac:dyDescent="0.25">
      <c r="A188" s="19">
        <v>41568</v>
      </c>
      <c r="B188" s="5" t="s">
        <v>451</v>
      </c>
    </row>
    <row r="189" spans="1:2" x14ac:dyDescent="0.25">
      <c r="A189" s="19">
        <v>41552</v>
      </c>
      <c r="B189" s="5" t="s">
        <v>440</v>
      </c>
    </row>
    <row r="190" spans="1:2" x14ac:dyDescent="0.25">
      <c r="A190" s="19">
        <v>41565</v>
      </c>
      <c r="B190" s="5" t="s">
        <v>423</v>
      </c>
    </row>
    <row r="191" spans="1:2" x14ac:dyDescent="0.25">
      <c r="A191" s="19">
        <v>41593</v>
      </c>
      <c r="B191" s="5" t="s">
        <v>422</v>
      </c>
    </row>
    <row r="192" spans="1:2" x14ac:dyDescent="0.25">
      <c r="A192" s="19">
        <v>41588</v>
      </c>
      <c r="B192" s="5" t="s">
        <v>425</v>
      </c>
    </row>
    <row r="193" spans="1:2" x14ac:dyDescent="0.25">
      <c r="A193" s="19">
        <v>41575</v>
      </c>
      <c r="B193" s="5" t="s">
        <v>460</v>
      </c>
    </row>
    <row r="194" spans="1:2" x14ac:dyDescent="0.25">
      <c r="A194" s="19">
        <v>41557</v>
      </c>
      <c r="B194" s="5" t="s">
        <v>420</v>
      </c>
    </row>
    <row r="195" spans="1:2" x14ac:dyDescent="0.25">
      <c r="A195" s="19">
        <v>41553</v>
      </c>
      <c r="B195" s="5" t="s">
        <v>423</v>
      </c>
    </row>
    <row r="196" spans="1:2" x14ac:dyDescent="0.25">
      <c r="A196" s="19">
        <v>41583</v>
      </c>
      <c r="B196" s="5" t="s">
        <v>441</v>
      </c>
    </row>
    <row r="197" spans="1:2" x14ac:dyDescent="0.25">
      <c r="A197" s="19">
        <v>41594</v>
      </c>
      <c r="B197" s="5" t="s">
        <v>452</v>
      </c>
    </row>
    <row r="198" spans="1:2" x14ac:dyDescent="0.25">
      <c r="A198" s="19">
        <v>41573</v>
      </c>
      <c r="B198" s="5" t="s">
        <v>439</v>
      </c>
    </row>
    <row r="199" spans="1:2" x14ac:dyDescent="0.25">
      <c r="A199" s="19">
        <v>41566</v>
      </c>
      <c r="B199" s="5" t="s">
        <v>421</v>
      </c>
    </row>
    <row r="200" spans="1:2" x14ac:dyDescent="0.25">
      <c r="A200" s="19">
        <v>41573</v>
      </c>
      <c r="B200" s="5" t="s">
        <v>463</v>
      </c>
    </row>
    <row r="201" spans="1:2" x14ac:dyDescent="0.25">
      <c r="A201" s="19">
        <v>41593</v>
      </c>
      <c r="B201" s="5" t="s">
        <v>464</v>
      </c>
    </row>
    <row r="202" spans="1:2" x14ac:dyDescent="0.25">
      <c r="A202" s="19">
        <v>41597</v>
      </c>
      <c r="B202" s="5" t="s">
        <v>455</v>
      </c>
    </row>
    <row r="203" spans="1:2" x14ac:dyDescent="0.25">
      <c r="A203" s="19">
        <v>41586</v>
      </c>
      <c r="B203" s="5" t="s">
        <v>435</v>
      </c>
    </row>
    <row r="204" spans="1:2" x14ac:dyDescent="0.25">
      <c r="A204" s="19">
        <v>41561</v>
      </c>
      <c r="B204" s="5" t="s">
        <v>439</v>
      </c>
    </row>
    <row r="205" spans="1:2" x14ac:dyDescent="0.25">
      <c r="A205" s="19">
        <v>41578</v>
      </c>
      <c r="B205" s="5" t="s">
        <v>460</v>
      </c>
    </row>
    <row r="206" spans="1:2" x14ac:dyDescent="0.25">
      <c r="A206" s="19">
        <v>41576</v>
      </c>
      <c r="B206" s="5" t="s">
        <v>439</v>
      </c>
    </row>
    <row r="207" spans="1:2" x14ac:dyDescent="0.25">
      <c r="A207" s="19">
        <v>41588</v>
      </c>
      <c r="B207" s="5" t="s">
        <v>462</v>
      </c>
    </row>
    <row r="208" spans="1:2" x14ac:dyDescent="0.25">
      <c r="A208" s="19">
        <v>41568</v>
      </c>
      <c r="B208" s="5" t="s">
        <v>443</v>
      </c>
    </row>
    <row r="209" spans="1:2" x14ac:dyDescent="0.25">
      <c r="A209" s="19">
        <v>41567</v>
      </c>
      <c r="B209" s="5" t="s">
        <v>461</v>
      </c>
    </row>
    <row r="210" spans="1:2" x14ac:dyDescent="0.25">
      <c r="A210" s="19">
        <v>41583</v>
      </c>
      <c r="B210" s="5" t="s">
        <v>418</v>
      </c>
    </row>
    <row r="211" spans="1:2" x14ac:dyDescent="0.25">
      <c r="A211" s="19">
        <v>41557</v>
      </c>
      <c r="B211" s="5" t="s">
        <v>451</v>
      </c>
    </row>
    <row r="212" spans="1:2" x14ac:dyDescent="0.25">
      <c r="A212" s="19">
        <v>41576</v>
      </c>
      <c r="B212" s="5" t="s">
        <v>426</v>
      </c>
    </row>
    <row r="213" spans="1:2" x14ac:dyDescent="0.25">
      <c r="A213" s="19">
        <v>41585</v>
      </c>
      <c r="B213" s="5" t="s">
        <v>419</v>
      </c>
    </row>
    <row r="214" spans="1:2" x14ac:dyDescent="0.25">
      <c r="A214" s="19">
        <v>41565</v>
      </c>
      <c r="B214" s="5" t="s">
        <v>447</v>
      </c>
    </row>
    <row r="215" spans="1:2" x14ac:dyDescent="0.25">
      <c r="A215" s="19">
        <v>41593</v>
      </c>
      <c r="B215" s="5" t="s">
        <v>446</v>
      </c>
    </row>
    <row r="216" spans="1:2" x14ac:dyDescent="0.25">
      <c r="A216" s="19">
        <v>41567</v>
      </c>
      <c r="B216" s="5" t="s">
        <v>418</v>
      </c>
    </row>
    <row r="217" spans="1:2" x14ac:dyDescent="0.25">
      <c r="A217" s="19">
        <v>41570</v>
      </c>
      <c r="B217" s="5" t="s">
        <v>447</v>
      </c>
    </row>
    <row r="218" spans="1:2" x14ac:dyDescent="0.25">
      <c r="A218" s="19">
        <v>41583</v>
      </c>
      <c r="B218" s="5" t="s">
        <v>437</v>
      </c>
    </row>
    <row r="219" spans="1:2" x14ac:dyDescent="0.25">
      <c r="A219" s="19">
        <v>41600</v>
      </c>
      <c r="B219" s="5" t="s">
        <v>445</v>
      </c>
    </row>
    <row r="220" spans="1:2" x14ac:dyDescent="0.25">
      <c r="A220" s="19">
        <v>41551</v>
      </c>
      <c r="B220" s="5" t="s">
        <v>452</v>
      </c>
    </row>
    <row r="221" spans="1:2" x14ac:dyDescent="0.25">
      <c r="A221" s="19">
        <v>41568</v>
      </c>
      <c r="B221" s="5" t="s">
        <v>435</v>
      </c>
    </row>
    <row r="222" spans="1:2" x14ac:dyDescent="0.25">
      <c r="A222" s="19">
        <v>41585</v>
      </c>
      <c r="B222" s="5" t="s">
        <v>428</v>
      </c>
    </row>
    <row r="223" spans="1:2" x14ac:dyDescent="0.25">
      <c r="A223" s="19">
        <v>41599</v>
      </c>
      <c r="B223" s="5" t="s">
        <v>465</v>
      </c>
    </row>
    <row r="224" spans="1:2" x14ac:dyDescent="0.25">
      <c r="A224" s="19">
        <v>41584</v>
      </c>
      <c r="B224" s="5" t="s">
        <v>433</v>
      </c>
    </row>
    <row r="225" spans="1:2" x14ac:dyDescent="0.25">
      <c r="A225" s="19">
        <v>41564</v>
      </c>
      <c r="B225" s="5" t="s">
        <v>446</v>
      </c>
    </row>
    <row r="226" spans="1:2" x14ac:dyDescent="0.25">
      <c r="A226" s="19">
        <v>41570</v>
      </c>
      <c r="B226" s="5" t="s">
        <v>413</v>
      </c>
    </row>
    <row r="227" spans="1:2" x14ac:dyDescent="0.25">
      <c r="A227" s="19">
        <v>41589</v>
      </c>
      <c r="B227" s="5" t="s">
        <v>428</v>
      </c>
    </row>
    <row r="228" spans="1:2" x14ac:dyDescent="0.25">
      <c r="A228" s="19">
        <v>41581</v>
      </c>
      <c r="B228" s="5" t="s">
        <v>443</v>
      </c>
    </row>
    <row r="229" spans="1:2" x14ac:dyDescent="0.25">
      <c r="A229" s="19">
        <v>41580</v>
      </c>
      <c r="B229" s="5" t="s">
        <v>442</v>
      </c>
    </row>
    <row r="230" spans="1:2" x14ac:dyDescent="0.25">
      <c r="A230" s="19">
        <v>41594</v>
      </c>
      <c r="B230" s="5" t="s">
        <v>434</v>
      </c>
    </row>
    <row r="231" spans="1:2" x14ac:dyDescent="0.25">
      <c r="A231" s="19">
        <v>41583</v>
      </c>
      <c r="B231" s="5" t="s">
        <v>456</v>
      </c>
    </row>
    <row r="232" spans="1:2" x14ac:dyDescent="0.25">
      <c r="A232" s="19">
        <v>41572</v>
      </c>
      <c r="B232" s="5" t="s">
        <v>443</v>
      </c>
    </row>
    <row r="233" spans="1:2" x14ac:dyDescent="0.25">
      <c r="A233" s="19">
        <v>41559</v>
      </c>
      <c r="B233" s="5" t="s">
        <v>416</v>
      </c>
    </row>
    <row r="234" spans="1:2" x14ac:dyDescent="0.25">
      <c r="A234" s="19">
        <v>41556</v>
      </c>
      <c r="B234" s="5" t="s">
        <v>443</v>
      </c>
    </row>
    <row r="235" spans="1:2" x14ac:dyDescent="0.25">
      <c r="A235" s="19">
        <v>41596</v>
      </c>
      <c r="B235" s="5" t="s">
        <v>418</v>
      </c>
    </row>
    <row r="236" spans="1:2" x14ac:dyDescent="0.25">
      <c r="A236" s="19">
        <v>41588</v>
      </c>
      <c r="B236" s="5" t="s">
        <v>460</v>
      </c>
    </row>
    <row r="237" spans="1:2" x14ac:dyDescent="0.25">
      <c r="A237" s="19">
        <v>41566</v>
      </c>
      <c r="B237" s="5" t="s">
        <v>422</v>
      </c>
    </row>
    <row r="238" spans="1:2" x14ac:dyDescent="0.25">
      <c r="A238" s="19">
        <v>41588</v>
      </c>
      <c r="B238" s="5" t="s">
        <v>449</v>
      </c>
    </row>
    <row r="239" spans="1:2" x14ac:dyDescent="0.25">
      <c r="A239" s="19">
        <v>41585</v>
      </c>
      <c r="B239" s="5" t="s">
        <v>436</v>
      </c>
    </row>
    <row r="240" spans="1:2" x14ac:dyDescent="0.25">
      <c r="A240" s="19">
        <v>41559</v>
      </c>
      <c r="B240" s="5" t="s">
        <v>417</v>
      </c>
    </row>
    <row r="241" spans="1:2" x14ac:dyDescent="0.25">
      <c r="A241" s="19">
        <v>41558</v>
      </c>
      <c r="B241" s="5" t="s">
        <v>463</v>
      </c>
    </row>
    <row r="242" spans="1:2" x14ac:dyDescent="0.25">
      <c r="A242" s="19">
        <v>41555</v>
      </c>
      <c r="B242" s="5" t="s">
        <v>462</v>
      </c>
    </row>
    <row r="243" spans="1:2" x14ac:dyDescent="0.25">
      <c r="A243" s="19">
        <v>41568</v>
      </c>
      <c r="B243" s="5" t="s">
        <v>431</v>
      </c>
    </row>
    <row r="244" spans="1:2" x14ac:dyDescent="0.25">
      <c r="A244" s="19">
        <v>41596</v>
      </c>
      <c r="B244" s="5" t="s">
        <v>438</v>
      </c>
    </row>
    <row r="245" spans="1:2" x14ac:dyDescent="0.25">
      <c r="A245" s="19">
        <v>41573</v>
      </c>
      <c r="B245" s="5" t="s">
        <v>422</v>
      </c>
    </row>
    <row r="246" spans="1:2" x14ac:dyDescent="0.25">
      <c r="A246" s="19">
        <v>41589</v>
      </c>
      <c r="B246" s="5" t="s">
        <v>441</v>
      </c>
    </row>
    <row r="247" spans="1:2" x14ac:dyDescent="0.25">
      <c r="A247" s="19">
        <v>41550</v>
      </c>
      <c r="B247" s="5" t="s">
        <v>423</v>
      </c>
    </row>
    <row r="248" spans="1:2" x14ac:dyDescent="0.25">
      <c r="A248" s="19">
        <v>41595</v>
      </c>
      <c r="B248" s="5" t="s">
        <v>429</v>
      </c>
    </row>
    <row r="249" spans="1:2" x14ac:dyDescent="0.25">
      <c r="A249" s="19">
        <v>41571</v>
      </c>
      <c r="B249" s="5" t="s">
        <v>419</v>
      </c>
    </row>
    <row r="250" spans="1:2" x14ac:dyDescent="0.25">
      <c r="A250" s="19">
        <v>41562</v>
      </c>
      <c r="B250" s="5" t="s">
        <v>425</v>
      </c>
    </row>
    <row r="251" spans="1:2" x14ac:dyDescent="0.25">
      <c r="A251" s="19">
        <v>41551</v>
      </c>
      <c r="B251" s="5" t="s">
        <v>439</v>
      </c>
    </row>
    <row r="252" spans="1:2" x14ac:dyDescent="0.25">
      <c r="A252" s="19">
        <v>41576</v>
      </c>
      <c r="B252" s="5" t="s">
        <v>435</v>
      </c>
    </row>
    <row r="253" spans="1:2" x14ac:dyDescent="0.25">
      <c r="A253" s="19">
        <v>41577</v>
      </c>
      <c r="B253" s="5" t="s">
        <v>432</v>
      </c>
    </row>
    <row r="254" spans="1:2" x14ac:dyDescent="0.25">
      <c r="A254" s="19">
        <v>41593</v>
      </c>
      <c r="B254" s="5" t="s">
        <v>413</v>
      </c>
    </row>
    <row r="255" spans="1:2" x14ac:dyDescent="0.25">
      <c r="A255" s="19">
        <v>41554</v>
      </c>
      <c r="B255" s="5" t="s">
        <v>441</v>
      </c>
    </row>
    <row r="256" spans="1:2" x14ac:dyDescent="0.25">
      <c r="A256" s="19">
        <v>41569</v>
      </c>
      <c r="B256" s="5" t="s">
        <v>437</v>
      </c>
    </row>
    <row r="257" spans="1:2" x14ac:dyDescent="0.25">
      <c r="A257" s="19">
        <v>41594</v>
      </c>
      <c r="B257" s="5" t="s">
        <v>451</v>
      </c>
    </row>
    <row r="258" spans="1:2" x14ac:dyDescent="0.25">
      <c r="A258" s="19">
        <v>41558</v>
      </c>
      <c r="B258" s="5" t="s">
        <v>429</v>
      </c>
    </row>
    <row r="259" spans="1:2" x14ac:dyDescent="0.25">
      <c r="A259" s="19">
        <v>41564</v>
      </c>
      <c r="B259" s="5" t="s">
        <v>442</v>
      </c>
    </row>
    <row r="260" spans="1:2" x14ac:dyDescent="0.25">
      <c r="A260" s="19">
        <v>41594</v>
      </c>
      <c r="B260" s="5" t="s">
        <v>444</v>
      </c>
    </row>
    <row r="261" spans="1:2" x14ac:dyDescent="0.25">
      <c r="A261" s="19">
        <v>41587</v>
      </c>
      <c r="B261" s="5" t="s">
        <v>426</v>
      </c>
    </row>
    <row r="262" spans="1:2" x14ac:dyDescent="0.25">
      <c r="A262" s="19">
        <v>41588</v>
      </c>
      <c r="B262" s="5" t="s">
        <v>446</v>
      </c>
    </row>
    <row r="263" spans="1:2" x14ac:dyDescent="0.25">
      <c r="A263" s="19">
        <v>41560</v>
      </c>
      <c r="B263" s="5" t="s">
        <v>453</v>
      </c>
    </row>
    <row r="264" spans="1:2" x14ac:dyDescent="0.25">
      <c r="A264" s="19">
        <v>41555</v>
      </c>
      <c r="B264" s="5" t="s">
        <v>431</v>
      </c>
    </row>
    <row r="265" spans="1:2" x14ac:dyDescent="0.25">
      <c r="A265" s="19">
        <v>41561</v>
      </c>
      <c r="B265" s="5" t="s">
        <v>460</v>
      </c>
    </row>
    <row r="266" spans="1:2" x14ac:dyDescent="0.25">
      <c r="A266" s="19">
        <v>41552</v>
      </c>
      <c r="B266" s="5" t="s">
        <v>443</v>
      </c>
    </row>
    <row r="267" spans="1:2" x14ac:dyDescent="0.25">
      <c r="A267" s="19">
        <v>41595</v>
      </c>
      <c r="B267" s="5" t="s">
        <v>421</v>
      </c>
    </row>
    <row r="268" spans="1:2" x14ac:dyDescent="0.25">
      <c r="A268" s="19">
        <v>41551</v>
      </c>
      <c r="B268" s="5" t="s">
        <v>418</v>
      </c>
    </row>
    <row r="269" spans="1:2" x14ac:dyDescent="0.25">
      <c r="A269" s="19">
        <v>41571</v>
      </c>
      <c r="B269" s="5" t="s">
        <v>462</v>
      </c>
    </row>
    <row r="270" spans="1:2" x14ac:dyDescent="0.25">
      <c r="A270" s="19">
        <v>41599</v>
      </c>
      <c r="B270" s="5" t="s">
        <v>451</v>
      </c>
    </row>
    <row r="271" spans="1:2" x14ac:dyDescent="0.25">
      <c r="A271" s="19">
        <v>41550</v>
      </c>
      <c r="B271" s="5" t="s">
        <v>434</v>
      </c>
    </row>
    <row r="272" spans="1:2" x14ac:dyDescent="0.25">
      <c r="A272" s="19">
        <v>41578</v>
      </c>
      <c r="B272" s="5" t="s">
        <v>438</v>
      </c>
    </row>
    <row r="273" spans="1:2" x14ac:dyDescent="0.25">
      <c r="A273" s="19">
        <v>41599</v>
      </c>
      <c r="B273" s="5" t="s">
        <v>453</v>
      </c>
    </row>
    <row r="274" spans="1:2" x14ac:dyDescent="0.25">
      <c r="A274" s="19">
        <v>41560</v>
      </c>
      <c r="B274" s="5" t="s">
        <v>424</v>
      </c>
    </row>
    <row r="275" spans="1:2" x14ac:dyDescent="0.25">
      <c r="A275" s="19">
        <v>41581</v>
      </c>
      <c r="B275" s="5" t="s">
        <v>437</v>
      </c>
    </row>
    <row r="276" spans="1:2" x14ac:dyDescent="0.25">
      <c r="A276" s="19">
        <v>41598</v>
      </c>
      <c r="B276" s="5" t="s">
        <v>432</v>
      </c>
    </row>
    <row r="277" spans="1:2" x14ac:dyDescent="0.25">
      <c r="A277" s="19">
        <v>41590</v>
      </c>
      <c r="B277" s="5" t="s">
        <v>464</v>
      </c>
    </row>
    <row r="278" spans="1:2" x14ac:dyDescent="0.25">
      <c r="A278" s="19">
        <v>41559</v>
      </c>
      <c r="B278" s="5" t="s">
        <v>420</v>
      </c>
    </row>
    <row r="279" spans="1:2" x14ac:dyDescent="0.25">
      <c r="A279" s="19">
        <v>41573</v>
      </c>
      <c r="B279" s="5" t="s">
        <v>460</v>
      </c>
    </row>
    <row r="280" spans="1:2" x14ac:dyDescent="0.25">
      <c r="A280" s="19">
        <v>41550</v>
      </c>
      <c r="B280" s="5" t="s">
        <v>452</v>
      </c>
    </row>
    <row r="281" spans="1:2" x14ac:dyDescent="0.25">
      <c r="A281" s="19">
        <v>41565</v>
      </c>
      <c r="B281" s="5" t="s">
        <v>459</v>
      </c>
    </row>
    <row r="282" spans="1:2" x14ac:dyDescent="0.25">
      <c r="A282" s="19">
        <v>41561</v>
      </c>
      <c r="B282" s="5" t="s">
        <v>456</v>
      </c>
    </row>
    <row r="283" spans="1:2" x14ac:dyDescent="0.25">
      <c r="A283" s="19">
        <v>41559</v>
      </c>
      <c r="B283" s="5" t="s">
        <v>429</v>
      </c>
    </row>
    <row r="284" spans="1:2" x14ac:dyDescent="0.25">
      <c r="A284" s="19">
        <v>41565</v>
      </c>
      <c r="B284" s="5" t="s">
        <v>452</v>
      </c>
    </row>
    <row r="285" spans="1:2" x14ac:dyDescent="0.25">
      <c r="A285" s="19">
        <v>41591</v>
      </c>
      <c r="B285" s="5" t="s">
        <v>436</v>
      </c>
    </row>
    <row r="286" spans="1:2" x14ac:dyDescent="0.25">
      <c r="A286" s="19">
        <v>41583</v>
      </c>
      <c r="B286" s="5" t="s">
        <v>444</v>
      </c>
    </row>
    <row r="287" spans="1:2" x14ac:dyDescent="0.25">
      <c r="A287" s="19">
        <v>41554</v>
      </c>
      <c r="B287" s="5" t="s">
        <v>450</v>
      </c>
    </row>
    <row r="288" spans="1:2" x14ac:dyDescent="0.25">
      <c r="A288" s="19">
        <v>41575</v>
      </c>
      <c r="B288" s="5" t="s">
        <v>437</v>
      </c>
    </row>
    <row r="289" spans="1:2" x14ac:dyDescent="0.25">
      <c r="A289" s="19">
        <v>41579</v>
      </c>
      <c r="B289" s="5" t="s">
        <v>422</v>
      </c>
    </row>
    <row r="290" spans="1:2" x14ac:dyDescent="0.25">
      <c r="A290" s="19">
        <v>41556</v>
      </c>
      <c r="B290" s="5" t="s">
        <v>443</v>
      </c>
    </row>
    <row r="291" spans="1:2" x14ac:dyDescent="0.25">
      <c r="A291" s="19">
        <v>41594</v>
      </c>
      <c r="B291" s="5" t="s">
        <v>417</v>
      </c>
    </row>
    <row r="292" spans="1:2" x14ac:dyDescent="0.25">
      <c r="A292" s="19">
        <v>41590</v>
      </c>
      <c r="B292" s="5" t="s">
        <v>464</v>
      </c>
    </row>
    <row r="293" spans="1:2" x14ac:dyDescent="0.25">
      <c r="A293" s="19">
        <v>41565</v>
      </c>
      <c r="B293" s="5" t="s">
        <v>464</v>
      </c>
    </row>
    <row r="294" spans="1:2" x14ac:dyDescent="0.25">
      <c r="A294" s="19">
        <v>41579</v>
      </c>
      <c r="B294" s="5" t="s">
        <v>426</v>
      </c>
    </row>
    <row r="295" spans="1:2" x14ac:dyDescent="0.25">
      <c r="A295" s="19">
        <v>41559</v>
      </c>
      <c r="B295" s="5" t="s">
        <v>445</v>
      </c>
    </row>
    <row r="296" spans="1:2" x14ac:dyDescent="0.25">
      <c r="A296" s="19">
        <v>41596</v>
      </c>
      <c r="B296" s="5" t="s">
        <v>450</v>
      </c>
    </row>
    <row r="297" spans="1:2" x14ac:dyDescent="0.25">
      <c r="A297" s="19">
        <v>41587</v>
      </c>
      <c r="B297" s="5" t="s">
        <v>464</v>
      </c>
    </row>
    <row r="298" spans="1:2" x14ac:dyDescent="0.25">
      <c r="A298" s="19">
        <v>41563</v>
      </c>
      <c r="B298" s="5" t="s">
        <v>435</v>
      </c>
    </row>
    <row r="299" spans="1:2" x14ac:dyDescent="0.25">
      <c r="A299" s="19">
        <v>41557</v>
      </c>
      <c r="B299" s="5" t="s">
        <v>442</v>
      </c>
    </row>
    <row r="300" spans="1:2" x14ac:dyDescent="0.25">
      <c r="A300" s="19">
        <v>41583</v>
      </c>
      <c r="B300" s="5" t="s">
        <v>462</v>
      </c>
    </row>
    <row r="301" spans="1:2" x14ac:dyDescent="0.25">
      <c r="A301" s="19">
        <v>41566</v>
      </c>
      <c r="B301" s="5" t="s">
        <v>465</v>
      </c>
    </row>
    <row r="302" spans="1:2" x14ac:dyDescent="0.25">
      <c r="A302" s="19">
        <v>41553</v>
      </c>
      <c r="B302" s="5" t="s">
        <v>417</v>
      </c>
    </row>
    <row r="303" spans="1:2" x14ac:dyDescent="0.25">
      <c r="A303" s="19">
        <v>41566</v>
      </c>
      <c r="B303" s="5" t="s">
        <v>465</v>
      </c>
    </row>
    <row r="304" spans="1:2" x14ac:dyDescent="0.25">
      <c r="A304" s="19">
        <v>41584</v>
      </c>
      <c r="B304" s="5" t="s">
        <v>427</v>
      </c>
    </row>
    <row r="305" spans="1:2" x14ac:dyDescent="0.25">
      <c r="A305" s="19">
        <v>41591</v>
      </c>
      <c r="B305" s="5" t="s">
        <v>464</v>
      </c>
    </row>
    <row r="306" spans="1:2" x14ac:dyDescent="0.25">
      <c r="A306" s="19">
        <v>41594</v>
      </c>
      <c r="B306" s="5" t="s">
        <v>420</v>
      </c>
    </row>
    <row r="307" spans="1:2" x14ac:dyDescent="0.25">
      <c r="A307" s="19">
        <v>41592</v>
      </c>
      <c r="B307" s="5" t="s">
        <v>422</v>
      </c>
    </row>
    <row r="308" spans="1:2" x14ac:dyDescent="0.25">
      <c r="A308" s="19">
        <v>41575</v>
      </c>
      <c r="B308" s="5" t="s">
        <v>421</v>
      </c>
    </row>
    <row r="309" spans="1:2" x14ac:dyDescent="0.25">
      <c r="A309" s="19">
        <v>41596</v>
      </c>
      <c r="B309" s="5" t="s">
        <v>462</v>
      </c>
    </row>
    <row r="310" spans="1:2" x14ac:dyDescent="0.25">
      <c r="A310" s="19">
        <v>41589</v>
      </c>
      <c r="B310" s="5" t="s">
        <v>461</v>
      </c>
    </row>
    <row r="311" spans="1:2" x14ac:dyDescent="0.25">
      <c r="A311" s="19">
        <v>41566</v>
      </c>
      <c r="B311" s="5" t="s">
        <v>444</v>
      </c>
    </row>
    <row r="312" spans="1:2" x14ac:dyDescent="0.25">
      <c r="A312" s="19">
        <v>41555</v>
      </c>
      <c r="B312" s="5" t="s">
        <v>420</v>
      </c>
    </row>
    <row r="313" spans="1:2" x14ac:dyDescent="0.25">
      <c r="A313" s="19">
        <v>41580</v>
      </c>
      <c r="B313" s="5" t="s">
        <v>439</v>
      </c>
    </row>
    <row r="314" spans="1:2" x14ac:dyDescent="0.25">
      <c r="A314" s="19">
        <v>41578</v>
      </c>
      <c r="B314" s="5" t="s">
        <v>465</v>
      </c>
    </row>
    <row r="315" spans="1:2" x14ac:dyDescent="0.25">
      <c r="A315" s="19">
        <v>41556</v>
      </c>
      <c r="B315" s="5" t="s">
        <v>450</v>
      </c>
    </row>
    <row r="316" spans="1:2" x14ac:dyDescent="0.25">
      <c r="A316" s="19">
        <v>41592</v>
      </c>
      <c r="B316" s="5" t="s">
        <v>429</v>
      </c>
    </row>
    <row r="317" spans="1:2" x14ac:dyDescent="0.25">
      <c r="A317" s="19">
        <v>41552</v>
      </c>
      <c r="B317" s="5" t="s">
        <v>430</v>
      </c>
    </row>
    <row r="318" spans="1:2" x14ac:dyDescent="0.25">
      <c r="A318" s="19">
        <v>41564</v>
      </c>
      <c r="B318" s="5" t="s">
        <v>420</v>
      </c>
    </row>
    <row r="319" spans="1:2" x14ac:dyDescent="0.25">
      <c r="A319" s="19">
        <v>41578</v>
      </c>
      <c r="B319" s="5" t="s">
        <v>461</v>
      </c>
    </row>
    <row r="320" spans="1:2" x14ac:dyDescent="0.25">
      <c r="A320" s="19">
        <v>41576</v>
      </c>
      <c r="B320" s="5" t="s">
        <v>429</v>
      </c>
    </row>
    <row r="321" spans="1:2" x14ac:dyDescent="0.25">
      <c r="A321" s="19">
        <v>41554</v>
      </c>
      <c r="B321" s="5" t="s">
        <v>464</v>
      </c>
    </row>
    <row r="322" spans="1:2" x14ac:dyDescent="0.25">
      <c r="A322" s="19">
        <v>41566</v>
      </c>
      <c r="B322" s="5" t="s">
        <v>426</v>
      </c>
    </row>
    <row r="323" spans="1:2" x14ac:dyDescent="0.25">
      <c r="A323" s="19">
        <v>41581</v>
      </c>
      <c r="B323" s="5" t="s">
        <v>455</v>
      </c>
    </row>
    <row r="324" spans="1:2" x14ac:dyDescent="0.25">
      <c r="A324" s="19">
        <v>41587</v>
      </c>
      <c r="B324" s="5" t="s">
        <v>440</v>
      </c>
    </row>
    <row r="325" spans="1:2" x14ac:dyDescent="0.25">
      <c r="A325" s="19">
        <v>41597</v>
      </c>
      <c r="B325" s="5" t="s">
        <v>418</v>
      </c>
    </row>
    <row r="326" spans="1:2" x14ac:dyDescent="0.25">
      <c r="A326" s="19">
        <v>41573</v>
      </c>
      <c r="B326" s="5" t="s">
        <v>417</v>
      </c>
    </row>
    <row r="327" spans="1:2" x14ac:dyDescent="0.25">
      <c r="A327" s="19">
        <v>41561</v>
      </c>
      <c r="B327" s="5" t="s">
        <v>417</v>
      </c>
    </row>
    <row r="328" spans="1:2" x14ac:dyDescent="0.25">
      <c r="A328" s="19">
        <v>41565</v>
      </c>
      <c r="B328" s="5" t="s">
        <v>413</v>
      </c>
    </row>
    <row r="329" spans="1:2" x14ac:dyDescent="0.25">
      <c r="A329" s="19">
        <v>41570</v>
      </c>
      <c r="B329" s="5" t="s">
        <v>455</v>
      </c>
    </row>
    <row r="330" spans="1:2" x14ac:dyDescent="0.25">
      <c r="A330" s="19">
        <v>41567</v>
      </c>
      <c r="B330" s="5" t="s">
        <v>452</v>
      </c>
    </row>
    <row r="331" spans="1:2" x14ac:dyDescent="0.25">
      <c r="A331" s="19">
        <v>41586</v>
      </c>
      <c r="B331" s="5" t="s">
        <v>441</v>
      </c>
    </row>
    <row r="332" spans="1:2" x14ac:dyDescent="0.25">
      <c r="A332" s="19">
        <v>41590</v>
      </c>
      <c r="B332" s="5" t="s">
        <v>425</v>
      </c>
    </row>
    <row r="333" spans="1:2" x14ac:dyDescent="0.25">
      <c r="A333" s="19">
        <v>41572</v>
      </c>
      <c r="B333" s="5" t="s">
        <v>459</v>
      </c>
    </row>
    <row r="334" spans="1:2" x14ac:dyDescent="0.25">
      <c r="A334" s="19">
        <v>41557</v>
      </c>
      <c r="B334" s="5" t="s">
        <v>431</v>
      </c>
    </row>
    <row r="335" spans="1:2" x14ac:dyDescent="0.25">
      <c r="A335" s="19">
        <v>41596</v>
      </c>
      <c r="B335" s="5" t="s">
        <v>462</v>
      </c>
    </row>
    <row r="336" spans="1:2" x14ac:dyDescent="0.25">
      <c r="A336" s="19">
        <v>41557</v>
      </c>
      <c r="B336" s="5" t="s">
        <v>425</v>
      </c>
    </row>
    <row r="337" spans="1:2" x14ac:dyDescent="0.25">
      <c r="A337" s="19">
        <v>41590</v>
      </c>
      <c r="B337" s="5" t="s">
        <v>428</v>
      </c>
    </row>
    <row r="338" spans="1:2" x14ac:dyDescent="0.25">
      <c r="A338" s="19">
        <v>41564</v>
      </c>
      <c r="B338" s="5" t="s">
        <v>418</v>
      </c>
    </row>
    <row r="339" spans="1:2" x14ac:dyDescent="0.25">
      <c r="A339" s="19">
        <v>41566</v>
      </c>
      <c r="B339" s="5" t="s">
        <v>441</v>
      </c>
    </row>
    <row r="340" spans="1:2" x14ac:dyDescent="0.25">
      <c r="A340" s="19">
        <v>41594</v>
      </c>
      <c r="B340" s="5" t="s">
        <v>422</v>
      </c>
    </row>
    <row r="341" spans="1:2" x14ac:dyDescent="0.25">
      <c r="A341" s="19">
        <v>41590</v>
      </c>
      <c r="B341" s="5" t="s">
        <v>450</v>
      </c>
    </row>
    <row r="342" spans="1:2" x14ac:dyDescent="0.25">
      <c r="A342" s="19">
        <v>41578</v>
      </c>
      <c r="B342" s="5" t="s">
        <v>447</v>
      </c>
    </row>
    <row r="343" spans="1:2" x14ac:dyDescent="0.25">
      <c r="A343" s="19">
        <v>41581</v>
      </c>
      <c r="B343" s="5" t="s">
        <v>443</v>
      </c>
    </row>
    <row r="344" spans="1:2" x14ac:dyDescent="0.25">
      <c r="A344" s="19">
        <v>41578</v>
      </c>
      <c r="B344" s="5" t="s">
        <v>435</v>
      </c>
    </row>
    <row r="345" spans="1:2" x14ac:dyDescent="0.25">
      <c r="A345" s="19">
        <v>41576</v>
      </c>
      <c r="B345" s="5" t="s">
        <v>432</v>
      </c>
    </row>
    <row r="346" spans="1:2" x14ac:dyDescent="0.25">
      <c r="A346" s="19">
        <v>41558</v>
      </c>
      <c r="B346" s="5" t="s">
        <v>437</v>
      </c>
    </row>
    <row r="347" spans="1:2" x14ac:dyDescent="0.25">
      <c r="A347" s="19">
        <v>41552</v>
      </c>
      <c r="B347" s="5" t="s">
        <v>454</v>
      </c>
    </row>
    <row r="348" spans="1:2" x14ac:dyDescent="0.25">
      <c r="A348" s="19">
        <v>41568</v>
      </c>
      <c r="B348" s="5" t="s">
        <v>451</v>
      </c>
    </row>
    <row r="349" spans="1:2" x14ac:dyDescent="0.25">
      <c r="A349" s="19">
        <v>41553</v>
      </c>
      <c r="B349" s="5" t="s">
        <v>449</v>
      </c>
    </row>
    <row r="350" spans="1:2" x14ac:dyDescent="0.25">
      <c r="A350" s="19">
        <v>41577</v>
      </c>
      <c r="B350" s="5" t="s">
        <v>444</v>
      </c>
    </row>
    <row r="351" spans="1:2" x14ac:dyDescent="0.25">
      <c r="A351" s="19">
        <v>41597</v>
      </c>
      <c r="B351" s="5" t="s">
        <v>434</v>
      </c>
    </row>
    <row r="352" spans="1:2" x14ac:dyDescent="0.25">
      <c r="A352" s="19">
        <v>41571</v>
      </c>
      <c r="B352" s="5" t="s">
        <v>452</v>
      </c>
    </row>
    <row r="353" spans="1:2" x14ac:dyDescent="0.25">
      <c r="A353" s="19">
        <v>41600</v>
      </c>
      <c r="B353" s="5" t="s">
        <v>427</v>
      </c>
    </row>
    <row r="354" spans="1:2" x14ac:dyDescent="0.25">
      <c r="A354" s="19">
        <v>41584</v>
      </c>
      <c r="B354" s="5" t="s">
        <v>451</v>
      </c>
    </row>
    <row r="355" spans="1:2" x14ac:dyDescent="0.25">
      <c r="A355" s="19">
        <v>41595</v>
      </c>
      <c r="B355" s="5" t="s">
        <v>429</v>
      </c>
    </row>
    <row r="356" spans="1:2" x14ac:dyDescent="0.25">
      <c r="A356" s="19">
        <v>41600</v>
      </c>
      <c r="B356" s="5" t="s">
        <v>435</v>
      </c>
    </row>
    <row r="357" spans="1:2" x14ac:dyDescent="0.25">
      <c r="A357" s="19">
        <v>41574</v>
      </c>
      <c r="B357" s="5" t="s">
        <v>447</v>
      </c>
    </row>
    <row r="358" spans="1:2" x14ac:dyDescent="0.25">
      <c r="A358" s="19">
        <v>41571</v>
      </c>
      <c r="B358" s="5" t="s">
        <v>455</v>
      </c>
    </row>
    <row r="359" spans="1:2" x14ac:dyDescent="0.25">
      <c r="A359" s="19">
        <v>41554</v>
      </c>
      <c r="B359" s="5" t="s">
        <v>462</v>
      </c>
    </row>
    <row r="360" spans="1:2" x14ac:dyDescent="0.25">
      <c r="A360" s="19">
        <v>41555</v>
      </c>
      <c r="B360" s="5" t="s">
        <v>429</v>
      </c>
    </row>
    <row r="361" spans="1:2" x14ac:dyDescent="0.25">
      <c r="A361" s="19">
        <v>41575</v>
      </c>
      <c r="B361" s="5" t="s">
        <v>453</v>
      </c>
    </row>
    <row r="362" spans="1:2" x14ac:dyDescent="0.25">
      <c r="A362" s="19">
        <v>41568</v>
      </c>
      <c r="B362" s="5" t="s">
        <v>427</v>
      </c>
    </row>
    <row r="363" spans="1:2" x14ac:dyDescent="0.25">
      <c r="A363" s="19">
        <v>41557</v>
      </c>
      <c r="B363" s="5" t="s">
        <v>435</v>
      </c>
    </row>
    <row r="364" spans="1:2" x14ac:dyDescent="0.25">
      <c r="A364" s="19">
        <v>41573</v>
      </c>
      <c r="B364" s="5" t="s">
        <v>445</v>
      </c>
    </row>
    <row r="365" spans="1:2" x14ac:dyDescent="0.25">
      <c r="A365" s="19">
        <v>41588</v>
      </c>
      <c r="B365" s="5" t="s">
        <v>441</v>
      </c>
    </row>
    <row r="366" spans="1:2" x14ac:dyDescent="0.25">
      <c r="A366" s="19">
        <v>41557</v>
      </c>
      <c r="B366" s="5" t="s">
        <v>439</v>
      </c>
    </row>
    <row r="367" spans="1:2" x14ac:dyDescent="0.25">
      <c r="A367" s="19">
        <v>41581</v>
      </c>
      <c r="B367" s="5" t="s">
        <v>441</v>
      </c>
    </row>
    <row r="368" spans="1:2" x14ac:dyDescent="0.25">
      <c r="A368" s="19">
        <v>41585</v>
      </c>
      <c r="B368" s="5" t="s">
        <v>413</v>
      </c>
    </row>
    <row r="369" spans="1:2" x14ac:dyDescent="0.25">
      <c r="A369" s="19">
        <v>41600</v>
      </c>
      <c r="B369" s="5" t="s">
        <v>429</v>
      </c>
    </row>
    <row r="370" spans="1:2" x14ac:dyDescent="0.25">
      <c r="A370" s="19">
        <v>41580</v>
      </c>
      <c r="B370" s="5" t="s">
        <v>451</v>
      </c>
    </row>
    <row r="371" spans="1:2" x14ac:dyDescent="0.25">
      <c r="A371" s="19">
        <v>41573</v>
      </c>
      <c r="B371" s="5" t="s">
        <v>439</v>
      </c>
    </row>
    <row r="372" spans="1:2" x14ac:dyDescent="0.25">
      <c r="A372" s="19">
        <v>41588</v>
      </c>
      <c r="B372" s="5" t="s">
        <v>451</v>
      </c>
    </row>
    <row r="373" spans="1:2" x14ac:dyDescent="0.25">
      <c r="A373" s="19">
        <v>41576</v>
      </c>
      <c r="B373" s="5" t="s">
        <v>465</v>
      </c>
    </row>
    <row r="374" spans="1:2" x14ac:dyDescent="0.25">
      <c r="A374" s="19">
        <v>41574</v>
      </c>
      <c r="B374" s="5" t="s">
        <v>442</v>
      </c>
    </row>
    <row r="375" spans="1:2" x14ac:dyDescent="0.25">
      <c r="A375" s="19">
        <v>41567</v>
      </c>
      <c r="B375" s="5" t="s">
        <v>420</v>
      </c>
    </row>
    <row r="376" spans="1:2" x14ac:dyDescent="0.25">
      <c r="A376" s="19">
        <v>41567</v>
      </c>
      <c r="B376" s="5" t="s">
        <v>418</v>
      </c>
    </row>
    <row r="377" spans="1:2" x14ac:dyDescent="0.25">
      <c r="A377" s="19">
        <v>41594</v>
      </c>
      <c r="B377" s="5" t="s">
        <v>417</v>
      </c>
    </row>
    <row r="378" spans="1:2" x14ac:dyDescent="0.25">
      <c r="A378" s="19">
        <v>41594</v>
      </c>
      <c r="B378" s="5" t="s">
        <v>456</v>
      </c>
    </row>
    <row r="379" spans="1:2" x14ac:dyDescent="0.25">
      <c r="A379" s="19">
        <v>41583</v>
      </c>
      <c r="B379" s="5" t="s">
        <v>464</v>
      </c>
    </row>
    <row r="380" spans="1:2" x14ac:dyDescent="0.25">
      <c r="A380" s="19">
        <v>41563</v>
      </c>
      <c r="B380" s="5" t="s">
        <v>462</v>
      </c>
    </row>
    <row r="381" spans="1:2" x14ac:dyDescent="0.25">
      <c r="A381" s="19">
        <v>41570</v>
      </c>
      <c r="B381" s="5" t="s">
        <v>449</v>
      </c>
    </row>
    <row r="382" spans="1:2" x14ac:dyDescent="0.25">
      <c r="A382" s="19">
        <v>41599</v>
      </c>
      <c r="B382" s="5" t="s">
        <v>429</v>
      </c>
    </row>
    <row r="383" spans="1:2" x14ac:dyDescent="0.25">
      <c r="A383" s="19">
        <v>41563</v>
      </c>
      <c r="B383" s="5" t="s">
        <v>450</v>
      </c>
    </row>
    <row r="384" spans="1:2" x14ac:dyDescent="0.25">
      <c r="A384" s="19">
        <v>41565</v>
      </c>
      <c r="B384" s="5" t="s">
        <v>450</v>
      </c>
    </row>
    <row r="385" spans="1:2" x14ac:dyDescent="0.25">
      <c r="A385" s="19">
        <v>41555</v>
      </c>
      <c r="B385" s="5" t="s">
        <v>416</v>
      </c>
    </row>
    <row r="386" spans="1:2" x14ac:dyDescent="0.25">
      <c r="A386" s="19">
        <v>41578</v>
      </c>
      <c r="B386" s="5" t="s">
        <v>415</v>
      </c>
    </row>
    <row r="387" spans="1:2" x14ac:dyDescent="0.25">
      <c r="A387" s="19">
        <v>41561</v>
      </c>
      <c r="B387" s="5" t="s">
        <v>416</v>
      </c>
    </row>
    <row r="388" spans="1:2" x14ac:dyDescent="0.25">
      <c r="A388" s="19">
        <v>41576</v>
      </c>
      <c r="B388" s="5" t="s">
        <v>436</v>
      </c>
    </row>
    <row r="389" spans="1:2" x14ac:dyDescent="0.25">
      <c r="A389" s="19">
        <v>41570</v>
      </c>
      <c r="B389" s="5" t="s">
        <v>439</v>
      </c>
    </row>
    <row r="390" spans="1:2" x14ac:dyDescent="0.25">
      <c r="A390" s="19">
        <v>41582</v>
      </c>
      <c r="B390" s="5" t="s">
        <v>452</v>
      </c>
    </row>
    <row r="391" spans="1:2" x14ac:dyDescent="0.25">
      <c r="A391" s="19">
        <v>41574</v>
      </c>
      <c r="B391" s="5" t="s">
        <v>424</v>
      </c>
    </row>
    <row r="392" spans="1:2" x14ac:dyDescent="0.25">
      <c r="A392" s="19">
        <v>41560</v>
      </c>
      <c r="B392" s="5" t="s">
        <v>432</v>
      </c>
    </row>
    <row r="393" spans="1:2" x14ac:dyDescent="0.25">
      <c r="A393" s="19">
        <v>41576</v>
      </c>
      <c r="B393" s="5" t="s">
        <v>422</v>
      </c>
    </row>
    <row r="394" spans="1:2" x14ac:dyDescent="0.25">
      <c r="A394" s="19">
        <v>41556</v>
      </c>
      <c r="B394" s="5" t="s">
        <v>427</v>
      </c>
    </row>
    <row r="395" spans="1:2" x14ac:dyDescent="0.25">
      <c r="A395" s="19">
        <v>41561</v>
      </c>
      <c r="B395" s="5" t="s">
        <v>426</v>
      </c>
    </row>
    <row r="396" spans="1:2" x14ac:dyDescent="0.25">
      <c r="A396" s="19">
        <v>41560</v>
      </c>
      <c r="B396" s="5" t="s">
        <v>451</v>
      </c>
    </row>
    <row r="397" spans="1:2" x14ac:dyDescent="0.25">
      <c r="A397" s="19">
        <v>41579</v>
      </c>
      <c r="B397" s="5" t="s">
        <v>464</v>
      </c>
    </row>
    <row r="398" spans="1:2" x14ac:dyDescent="0.25">
      <c r="A398" s="19">
        <v>41576</v>
      </c>
      <c r="B398" s="5" t="s">
        <v>437</v>
      </c>
    </row>
    <row r="399" spans="1:2" x14ac:dyDescent="0.25">
      <c r="A399" s="19">
        <v>41556</v>
      </c>
      <c r="B399" s="5" t="s">
        <v>426</v>
      </c>
    </row>
    <row r="400" spans="1:2" x14ac:dyDescent="0.25">
      <c r="A400" s="19">
        <v>41587</v>
      </c>
      <c r="B400" s="5" t="s">
        <v>423</v>
      </c>
    </row>
    <row r="401" spans="1:2" x14ac:dyDescent="0.25">
      <c r="A401" s="19">
        <v>41568</v>
      </c>
      <c r="B401" s="5" t="s">
        <v>439</v>
      </c>
    </row>
    <row r="402" spans="1:2" x14ac:dyDescent="0.25">
      <c r="A402" s="19">
        <v>41551</v>
      </c>
      <c r="B402" s="5" t="s">
        <v>441</v>
      </c>
    </row>
    <row r="403" spans="1:2" x14ac:dyDescent="0.25">
      <c r="A403" s="19">
        <v>41583</v>
      </c>
      <c r="B403" s="5" t="s">
        <v>442</v>
      </c>
    </row>
    <row r="404" spans="1:2" x14ac:dyDescent="0.25">
      <c r="A404" s="19">
        <v>41591</v>
      </c>
      <c r="B404" s="5" t="s">
        <v>420</v>
      </c>
    </row>
    <row r="405" spans="1:2" x14ac:dyDescent="0.25">
      <c r="A405" s="19">
        <v>41586</v>
      </c>
      <c r="B405" s="5" t="s">
        <v>425</v>
      </c>
    </row>
    <row r="406" spans="1:2" x14ac:dyDescent="0.25">
      <c r="A406" s="19">
        <v>41569</v>
      </c>
      <c r="B406" s="5" t="s">
        <v>439</v>
      </c>
    </row>
    <row r="407" spans="1:2" x14ac:dyDescent="0.25">
      <c r="A407" s="19">
        <v>41594</v>
      </c>
      <c r="B407" s="5" t="s">
        <v>446</v>
      </c>
    </row>
    <row r="408" spans="1:2" x14ac:dyDescent="0.25">
      <c r="A408" s="19">
        <v>41586</v>
      </c>
      <c r="B408" s="5" t="s">
        <v>456</v>
      </c>
    </row>
    <row r="409" spans="1:2" x14ac:dyDescent="0.25">
      <c r="A409" s="19">
        <v>41585</v>
      </c>
      <c r="B409" s="5" t="s">
        <v>421</v>
      </c>
    </row>
    <row r="410" spans="1:2" x14ac:dyDescent="0.25">
      <c r="A410" s="19">
        <v>41561</v>
      </c>
      <c r="B410" s="5" t="s">
        <v>435</v>
      </c>
    </row>
    <row r="411" spans="1:2" x14ac:dyDescent="0.25">
      <c r="A411" s="19">
        <v>41597</v>
      </c>
      <c r="B411" s="5" t="s">
        <v>433</v>
      </c>
    </row>
    <row r="412" spans="1:2" x14ac:dyDescent="0.25">
      <c r="A412" s="19">
        <v>41573</v>
      </c>
      <c r="B412" s="5" t="s">
        <v>443</v>
      </c>
    </row>
    <row r="413" spans="1:2" x14ac:dyDescent="0.25">
      <c r="A413" s="19">
        <v>41583</v>
      </c>
      <c r="B413" s="5" t="s">
        <v>456</v>
      </c>
    </row>
    <row r="414" spans="1:2" x14ac:dyDescent="0.25">
      <c r="A414" s="19">
        <v>41554</v>
      </c>
      <c r="B414" s="5" t="s">
        <v>413</v>
      </c>
    </row>
    <row r="415" spans="1:2" x14ac:dyDescent="0.25">
      <c r="A415" s="19">
        <v>41600</v>
      </c>
      <c r="B415" s="5" t="s">
        <v>464</v>
      </c>
    </row>
    <row r="416" spans="1:2" x14ac:dyDescent="0.25">
      <c r="A416" s="19">
        <v>41598</v>
      </c>
      <c r="B416" s="5" t="s">
        <v>436</v>
      </c>
    </row>
    <row r="417" spans="1:2" x14ac:dyDescent="0.25">
      <c r="A417" s="19">
        <v>41594</v>
      </c>
      <c r="B417" s="5" t="s">
        <v>432</v>
      </c>
    </row>
    <row r="418" spans="1:2" x14ac:dyDescent="0.25">
      <c r="A418" s="19">
        <v>41581</v>
      </c>
      <c r="B418" s="5" t="s">
        <v>460</v>
      </c>
    </row>
    <row r="419" spans="1:2" x14ac:dyDescent="0.25">
      <c r="A419" s="19">
        <v>41570</v>
      </c>
      <c r="B419" s="5" t="s">
        <v>465</v>
      </c>
    </row>
    <row r="420" spans="1:2" x14ac:dyDescent="0.25">
      <c r="A420" s="19">
        <v>41580</v>
      </c>
      <c r="B420" s="5" t="s">
        <v>455</v>
      </c>
    </row>
    <row r="421" spans="1:2" x14ac:dyDescent="0.25">
      <c r="A421" s="19">
        <v>41558</v>
      </c>
      <c r="B421" s="5" t="s">
        <v>446</v>
      </c>
    </row>
    <row r="422" spans="1:2" x14ac:dyDescent="0.25">
      <c r="A422" s="19">
        <v>41550</v>
      </c>
      <c r="B422" s="5" t="s">
        <v>459</v>
      </c>
    </row>
    <row r="423" spans="1:2" x14ac:dyDescent="0.25">
      <c r="A423" s="19">
        <v>41579</v>
      </c>
      <c r="B423" s="5" t="s">
        <v>421</v>
      </c>
    </row>
    <row r="424" spans="1:2" x14ac:dyDescent="0.25">
      <c r="A424" s="19">
        <v>41568</v>
      </c>
      <c r="B424" s="5" t="s">
        <v>428</v>
      </c>
    </row>
    <row r="425" spans="1:2" x14ac:dyDescent="0.25">
      <c r="A425" s="19">
        <v>41550</v>
      </c>
      <c r="B425" s="5" t="s">
        <v>428</v>
      </c>
    </row>
    <row r="426" spans="1:2" x14ac:dyDescent="0.25">
      <c r="A426" s="19">
        <v>41586</v>
      </c>
      <c r="B426" s="5" t="s">
        <v>444</v>
      </c>
    </row>
    <row r="427" spans="1:2" x14ac:dyDescent="0.25">
      <c r="A427" s="19">
        <v>41557</v>
      </c>
      <c r="B427" s="5" t="s">
        <v>455</v>
      </c>
    </row>
    <row r="428" spans="1:2" x14ac:dyDescent="0.25">
      <c r="A428" s="19">
        <v>41587</v>
      </c>
      <c r="B428" s="5" t="s">
        <v>421</v>
      </c>
    </row>
    <row r="429" spans="1:2" x14ac:dyDescent="0.25">
      <c r="A429" s="19">
        <v>41557</v>
      </c>
      <c r="B429" s="5" t="s">
        <v>420</v>
      </c>
    </row>
    <row r="430" spans="1:2" x14ac:dyDescent="0.25">
      <c r="A430" s="19">
        <v>41587</v>
      </c>
      <c r="B430" s="5" t="s">
        <v>418</v>
      </c>
    </row>
    <row r="431" spans="1:2" x14ac:dyDescent="0.25">
      <c r="A431" s="19">
        <v>41581</v>
      </c>
      <c r="B431" s="5" t="s">
        <v>449</v>
      </c>
    </row>
    <row r="432" spans="1:2" x14ac:dyDescent="0.25">
      <c r="A432" s="19">
        <v>41564</v>
      </c>
      <c r="B432" s="5" t="s">
        <v>443</v>
      </c>
    </row>
    <row r="433" spans="1:2" x14ac:dyDescent="0.25">
      <c r="A433" s="19">
        <v>41582</v>
      </c>
      <c r="B433" s="5" t="s">
        <v>446</v>
      </c>
    </row>
    <row r="434" spans="1:2" x14ac:dyDescent="0.25">
      <c r="A434" s="19">
        <v>41551</v>
      </c>
      <c r="B434" s="5" t="s">
        <v>456</v>
      </c>
    </row>
    <row r="435" spans="1:2" x14ac:dyDescent="0.25">
      <c r="A435" s="19">
        <v>41598</v>
      </c>
      <c r="B435" s="5" t="s">
        <v>449</v>
      </c>
    </row>
    <row r="436" spans="1:2" x14ac:dyDescent="0.25">
      <c r="A436" s="19">
        <v>41561</v>
      </c>
      <c r="B436" s="5" t="s">
        <v>459</v>
      </c>
    </row>
    <row r="437" spans="1:2" x14ac:dyDescent="0.25">
      <c r="A437" s="19">
        <v>41572</v>
      </c>
      <c r="B437" s="5" t="s">
        <v>431</v>
      </c>
    </row>
    <row r="438" spans="1:2" x14ac:dyDescent="0.25">
      <c r="A438" s="19">
        <v>41554</v>
      </c>
      <c r="B438" s="5" t="s">
        <v>435</v>
      </c>
    </row>
    <row r="439" spans="1:2" x14ac:dyDescent="0.25">
      <c r="A439" s="19">
        <v>41582</v>
      </c>
      <c r="B439" s="5" t="s">
        <v>427</v>
      </c>
    </row>
    <row r="440" spans="1:2" x14ac:dyDescent="0.25">
      <c r="A440" s="19">
        <v>41558</v>
      </c>
      <c r="B440" s="5" t="s">
        <v>456</v>
      </c>
    </row>
    <row r="441" spans="1:2" x14ac:dyDescent="0.25">
      <c r="A441" s="19">
        <v>41563</v>
      </c>
      <c r="B441" s="5" t="s">
        <v>462</v>
      </c>
    </row>
    <row r="442" spans="1:2" x14ac:dyDescent="0.25">
      <c r="A442" s="19">
        <v>41570</v>
      </c>
      <c r="B442" s="5" t="s">
        <v>433</v>
      </c>
    </row>
    <row r="443" spans="1:2" x14ac:dyDescent="0.25">
      <c r="A443" s="19">
        <v>41590</v>
      </c>
      <c r="B443" s="5" t="s">
        <v>432</v>
      </c>
    </row>
    <row r="444" spans="1:2" x14ac:dyDescent="0.25">
      <c r="A444" s="19">
        <v>41560</v>
      </c>
      <c r="B444" s="5" t="s">
        <v>413</v>
      </c>
    </row>
    <row r="445" spans="1:2" x14ac:dyDescent="0.25">
      <c r="A445" s="19">
        <v>41576</v>
      </c>
      <c r="B445" s="5" t="s">
        <v>453</v>
      </c>
    </row>
    <row r="446" spans="1:2" x14ac:dyDescent="0.25">
      <c r="A446" s="19">
        <v>41577</v>
      </c>
      <c r="B446" s="5" t="s">
        <v>453</v>
      </c>
    </row>
    <row r="447" spans="1:2" x14ac:dyDescent="0.25">
      <c r="A447" s="19">
        <v>41584</v>
      </c>
      <c r="B447" s="5" t="s">
        <v>437</v>
      </c>
    </row>
    <row r="448" spans="1:2" x14ac:dyDescent="0.25">
      <c r="A448" s="19">
        <v>41561</v>
      </c>
      <c r="B448" s="5" t="s">
        <v>422</v>
      </c>
    </row>
    <row r="449" spans="1:2" x14ac:dyDescent="0.25">
      <c r="A449" s="19">
        <v>41588</v>
      </c>
      <c r="B449" s="5" t="s">
        <v>418</v>
      </c>
    </row>
    <row r="450" spans="1:2" x14ac:dyDescent="0.25">
      <c r="A450" s="19">
        <v>41559</v>
      </c>
      <c r="B450" s="5" t="s">
        <v>453</v>
      </c>
    </row>
    <row r="451" spans="1:2" x14ac:dyDescent="0.25">
      <c r="A451" s="19">
        <v>41581</v>
      </c>
      <c r="B451" s="5" t="s">
        <v>413</v>
      </c>
    </row>
    <row r="452" spans="1:2" x14ac:dyDescent="0.25">
      <c r="A452" s="19">
        <v>41595</v>
      </c>
      <c r="B452" s="5" t="s">
        <v>427</v>
      </c>
    </row>
    <row r="453" spans="1:2" x14ac:dyDescent="0.25">
      <c r="A453" s="19">
        <v>41599</v>
      </c>
      <c r="B453" s="5" t="s">
        <v>423</v>
      </c>
    </row>
    <row r="454" spans="1:2" x14ac:dyDescent="0.25">
      <c r="A454" s="19">
        <v>41551</v>
      </c>
      <c r="B454" s="5" t="s">
        <v>424</v>
      </c>
    </row>
    <row r="455" spans="1:2" x14ac:dyDescent="0.25">
      <c r="A455" s="19">
        <v>41577</v>
      </c>
      <c r="B455" s="5" t="s">
        <v>436</v>
      </c>
    </row>
    <row r="456" spans="1:2" x14ac:dyDescent="0.25">
      <c r="A456" s="19">
        <v>41579</v>
      </c>
      <c r="B456" s="5" t="s">
        <v>439</v>
      </c>
    </row>
    <row r="457" spans="1:2" x14ac:dyDescent="0.25">
      <c r="A457" s="19">
        <v>41599</v>
      </c>
      <c r="B457" s="5" t="s">
        <v>441</v>
      </c>
    </row>
    <row r="458" spans="1:2" x14ac:dyDescent="0.25">
      <c r="A458" s="19">
        <v>41595</v>
      </c>
      <c r="B458" s="5" t="s">
        <v>441</v>
      </c>
    </row>
    <row r="459" spans="1:2" x14ac:dyDescent="0.25">
      <c r="A459" s="19">
        <v>41587</v>
      </c>
      <c r="B459" s="5" t="s">
        <v>447</v>
      </c>
    </row>
    <row r="460" spans="1:2" x14ac:dyDescent="0.25">
      <c r="A460" s="19">
        <v>41572</v>
      </c>
      <c r="B460" s="5" t="s">
        <v>418</v>
      </c>
    </row>
    <row r="461" spans="1:2" x14ac:dyDescent="0.25">
      <c r="A461" s="19">
        <v>41596</v>
      </c>
      <c r="B461" s="5" t="s">
        <v>447</v>
      </c>
    </row>
    <row r="462" spans="1:2" x14ac:dyDescent="0.25">
      <c r="A462" s="19">
        <v>41591</v>
      </c>
      <c r="B462" s="5" t="s">
        <v>428</v>
      </c>
    </row>
    <row r="463" spans="1:2" x14ac:dyDescent="0.25">
      <c r="A463" s="19">
        <v>41551</v>
      </c>
      <c r="B463" s="5" t="s">
        <v>461</v>
      </c>
    </row>
    <row r="464" spans="1:2" x14ac:dyDescent="0.25">
      <c r="A464" s="19">
        <v>41571</v>
      </c>
      <c r="B464" s="5" t="s">
        <v>423</v>
      </c>
    </row>
    <row r="465" spans="1:2" x14ac:dyDescent="0.25">
      <c r="A465" s="19">
        <v>41583</v>
      </c>
      <c r="B465" s="5" t="s">
        <v>427</v>
      </c>
    </row>
    <row r="466" spans="1:2" x14ac:dyDescent="0.25">
      <c r="A466" s="19">
        <v>41551</v>
      </c>
      <c r="B466" s="5" t="s">
        <v>434</v>
      </c>
    </row>
    <row r="467" spans="1:2" x14ac:dyDescent="0.25">
      <c r="A467" s="19">
        <v>41569</v>
      </c>
      <c r="B467" s="5" t="s">
        <v>418</v>
      </c>
    </row>
    <row r="468" spans="1:2" x14ac:dyDescent="0.25">
      <c r="A468" s="19">
        <v>41594</v>
      </c>
      <c r="B468" s="5" t="s">
        <v>450</v>
      </c>
    </row>
    <row r="469" spans="1:2" x14ac:dyDescent="0.25">
      <c r="A469" s="19">
        <v>41552</v>
      </c>
      <c r="B469" s="5" t="s">
        <v>448</v>
      </c>
    </row>
    <row r="470" spans="1:2" x14ac:dyDescent="0.25">
      <c r="A470" s="19">
        <v>41591</v>
      </c>
      <c r="B470" s="5" t="s">
        <v>419</v>
      </c>
    </row>
    <row r="471" spans="1:2" x14ac:dyDescent="0.25">
      <c r="A471" s="19">
        <v>41573</v>
      </c>
      <c r="B471" s="5" t="s">
        <v>460</v>
      </c>
    </row>
    <row r="472" spans="1:2" x14ac:dyDescent="0.25">
      <c r="A472" s="19">
        <v>41569</v>
      </c>
      <c r="B472" s="5" t="s">
        <v>436</v>
      </c>
    </row>
    <row r="473" spans="1:2" x14ac:dyDescent="0.25">
      <c r="A473" s="19">
        <v>41591</v>
      </c>
      <c r="B473" s="5" t="s">
        <v>415</v>
      </c>
    </row>
    <row r="474" spans="1:2" x14ac:dyDescent="0.25">
      <c r="A474" s="19">
        <v>41581</v>
      </c>
      <c r="B474" s="5" t="s">
        <v>460</v>
      </c>
    </row>
    <row r="475" spans="1:2" x14ac:dyDescent="0.25">
      <c r="A475" s="19">
        <v>41553</v>
      </c>
      <c r="B475" s="5" t="s">
        <v>424</v>
      </c>
    </row>
    <row r="476" spans="1:2" x14ac:dyDescent="0.25">
      <c r="A476" s="19">
        <v>41567</v>
      </c>
      <c r="B476" s="5" t="s">
        <v>418</v>
      </c>
    </row>
    <row r="477" spans="1:2" x14ac:dyDescent="0.25">
      <c r="A477" s="19">
        <v>41560</v>
      </c>
      <c r="B477" s="5" t="s">
        <v>446</v>
      </c>
    </row>
    <row r="478" spans="1:2" x14ac:dyDescent="0.25">
      <c r="A478" s="19">
        <v>41594</v>
      </c>
      <c r="B478" s="5" t="s">
        <v>453</v>
      </c>
    </row>
    <row r="479" spans="1:2" x14ac:dyDescent="0.25">
      <c r="A479" s="19">
        <v>41574</v>
      </c>
      <c r="B479" s="5" t="s">
        <v>449</v>
      </c>
    </row>
    <row r="480" spans="1:2" x14ac:dyDescent="0.25">
      <c r="A480" s="19">
        <v>41598</v>
      </c>
      <c r="B480" s="5" t="s">
        <v>416</v>
      </c>
    </row>
    <row r="481" spans="1:2" x14ac:dyDescent="0.25">
      <c r="A481" s="19">
        <v>41593</v>
      </c>
      <c r="B481" s="5" t="s">
        <v>423</v>
      </c>
    </row>
    <row r="482" spans="1:2" x14ac:dyDescent="0.25">
      <c r="A482" s="19">
        <v>41576</v>
      </c>
      <c r="B482" s="5" t="s">
        <v>431</v>
      </c>
    </row>
    <row r="483" spans="1:2" x14ac:dyDescent="0.25">
      <c r="A483" s="19">
        <v>41590</v>
      </c>
      <c r="B483" s="5" t="s">
        <v>464</v>
      </c>
    </row>
    <row r="484" spans="1:2" x14ac:dyDescent="0.25">
      <c r="A484" s="19">
        <v>41553</v>
      </c>
      <c r="B484" s="5" t="s">
        <v>441</v>
      </c>
    </row>
    <row r="485" spans="1:2" x14ac:dyDescent="0.25">
      <c r="A485" s="19">
        <v>41581</v>
      </c>
      <c r="B485" s="5" t="s">
        <v>453</v>
      </c>
    </row>
    <row r="486" spans="1:2" x14ac:dyDescent="0.25">
      <c r="A486" s="19">
        <v>41591</v>
      </c>
      <c r="B486" s="5" t="s">
        <v>430</v>
      </c>
    </row>
    <row r="487" spans="1:2" x14ac:dyDescent="0.25">
      <c r="A487" s="19">
        <v>41559</v>
      </c>
      <c r="B487" s="5" t="s">
        <v>421</v>
      </c>
    </row>
    <row r="488" spans="1:2" x14ac:dyDescent="0.25">
      <c r="A488" s="19">
        <v>41582</v>
      </c>
      <c r="B488" s="5" t="s">
        <v>447</v>
      </c>
    </row>
    <row r="489" spans="1:2" x14ac:dyDescent="0.25">
      <c r="A489" s="19">
        <v>41564</v>
      </c>
      <c r="B489" s="5" t="s">
        <v>460</v>
      </c>
    </row>
    <row r="490" spans="1:2" x14ac:dyDescent="0.25">
      <c r="A490" s="19">
        <v>41576</v>
      </c>
      <c r="B490" s="5" t="s">
        <v>428</v>
      </c>
    </row>
    <row r="491" spans="1:2" x14ac:dyDescent="0.25">
      <c r="A491" s="19">
        <v>41569</v>
      </c>
      <c r="B491" s="5" t="s">
        <v>429</v>
      </c>
    </row>
    <row r="492" spans="1:2" x14ac:dyDescent="0.25">
      <c r="A492" s="19">
        <v>41550</v>
      </c>
      <c r="B492" s="5" t="s">
        <v>430</v>
      </c>
    </row>
    <row r="493" spans="1:2" x14ac:dyDescent="0.25">
      <c r="A493" s="19">
        <v>41591</v>
      </c>
      <c r="B493" s="5" t="s">
        <v>460</v>
      </c>
    </row>
    <row r="494" spans="1:2" x14ac:dyDescent="0.25">
      <c r="A494" s="19">
        <v>41594</v>
      </c>
      <c r="B494" s="5" t="s">
        <v>439</v>
      </c>
    </row>
    <row r="495" spans="1:2" x14ac:dyDescent="0.25">
      <c r="A495" s="19">
        <v>41550</v>
      </c>
      <c r="B495" s="5" t="s">
        <v>464</v>
      </c>
    </row>
    <row r="496" spans="1:2" x14ac:dyDescent="0.25">
      <c r="A496" s="19">
        <v>41581</v>
      </c>
      <c r="B496" s="5" t="s">
        <v>434</v>
      </c>
    </row>
    <row r="497" spans="1:2" x14ac:dyDescent="0.25">
      <c r="A497" s="19">
        <v>41574</v>
      </c>
      <c r="B497" s="5" t="s">
        <v>452</v>
      </c>
    </row>
    <row r="498" spans="1:2" x14ac:dyDescent="0.25">
      <c r="A498" s="19">
        <v>41577</v>
      </c>
      <c r="B498" s="5" t="s">
        <v>415</v>
      </c>
    </row>
    <row r="499" spans="1:2" x14ac:dyDescent="0.25">
      <c r="A499" s="19">
        <v>41560</v>
      </c>
      <c r="B499" s="5" t="s">
        <v>449</v>
      </c>
    </row>
    <row r="500" spans="1:2" x14ac:dyDescent="0.25">
      <c r="A500" s="19">
        <v>41573</v>
      </c>
      <c r="B500" s="5" t="s">
        <v>428</v>
      </c>
    </row>
    <row r="501" spans="1:2" x14ac:dyDescent="0.25">
      <c r="A501" s="19">
        <v>41556</v>
      </c>
      <c r="B501" s="5" t="s">
        <v>441</v>
      </c>
    </row>
    <row r="502" spans="1:2" x14ac:dyDescent="0.25">
      <c r="A502" s="19">
        <v>41556</v>
      </c>
      <c r="B502" s="5" t="s">
        <v>413</v>
      </c>
    </row>
    <row r="503" spans="1:2" x14ac:dyDescent="0.25">
      <c r="A503" s="19">
        <v>41567</v>
      </c>
      <c r="B503" s="5" t="s">
        <v>439</v>
      </c>
    </row>
    <row r="504" spans="1:2" x14ac:dyDescent="0.25">
      <c r="A504" s="19">
        <v>41569</v>
      </c>
      <c r="B504" s="5" t="s">
        <v>424</v>
      </c>
    </row>
    <row r="505" spans="1:2" x14ac:dyDescent="0.25">
      <c r="A505" s="19">
        <v>41560</v>
      </c>
      <c r="B505" s="5" t="s">
        <v>424</v>
      </c>
    </row>
    <row r="506" spans="1:2" x14ac:dyDescent="0.25">
      <c r="A506" s="19">
        <v>41594</v>
      </c>
      <c r="B506" s="5" t="s">
        <v>450</v>
      </c>
    </row>
    <row r="507" spans="1:2" x14ac:dyDescent="0.25">
      <c r="A507" s="19">
        <v>41554</v>
      </c>
      <c r="B507" s="5" t="s">
        <v>448</v>
      </c>
    </row>
    <row r="508" spans="1:2" x14ac:dyDescent="0.25">
      <c r="A508" s="19">
        <v>41588</v>
      </c>
      <c r="B508" s="5" t="s">
        <v>452</v>
      </c>
    </row>
    <row r="509" spans="1:2" x14ac:dyDescent="0.25">
      <c r="A509" s="19">
        <v>41592</v>
      </c>
      <c r="B509" s="5" t="s">
        <v>421</v>
      </c>
    </row>
    <row r="510" spans="1:2" x14ac:dyDescent="0.25">
      <c r="A510" s="19">
        <v>41600</v>
      </c>
      <c r="B510" s="5" t="s">
        <v>465</v>
      </c>
    </row>
    <row r="511" spans="1:2" x14ac:dyDescent="0.25">
      <c r="A511" s="19">
        <v>41599</v>
      </c>
      <c r="B511" s="5" t="s">
        <v>429</v>
      </c>
    </row>
    <row r="512" spans="1:2" x14ac:dyDescent="0.25">
      <c r="A512" s="19">
        <v>41599</v>
      </c>
      <c r="B512" s="5" t="s">
        <v>444</v>
      </c>
    </row>
    <row r="513" spans="1:2" x14ac:dyDescent="0.25">
      <c r="A513" s="19">
        <v>41555</v>
      </c>
      <c r="B513" s="5" t="s">
        <v>463</v>
      </c>
    </row>
    <row r="514" spans="1:2" x14ac:dyDescent="0.25">
      <c r="A514" s="19">
        <v>41558</v>
      </c>
      <c r="B514" s="5" t="s">
        <v>464</v>
      </c>
    </row>
    <row r="515" spans="1:2" x14ac:dyDescent="0.25">
      <c r="A515" s="19">
        <v>41574</v>
      </c>
      <c r="B515" s="5" t="s">
        <v>446</v>
      </c>
    </row>
    <row r="516" spans="1:2" x14ac:dyDescent="0.25">
      <c r="A516" s="19">
        <v>41593</v>
      </c>
      <c r="B516" s="5" t="s">
        <v>465</v>
      </c>
    </row>
    <row r="517" spans="1:2" x14ac:dyDescent="0.25">
      <c r="A517" s="19">
        <v>41596</v>
      </c>
      <c r="B517" s="5" t="s">
        <v>423</v>
      </c>
    </row>
    <row r="518" spans="1:2" x14ac:dyDescent="0.25">
      <c r="A518" s="19">
        <v>41574</v>
      </c>
      <c r="B518" s="5" t="s">
        <v>453</v>
      </c>
    </row>
  </sheetData>
  <mergeCells count="5">
    <mergeCell ref="C2:E2"/>
    <mergeCell ref="C3:E3"/>
    <mergeCell ref="C4:E4"/>
    <mergeCell ref="C5:E5"/>
    <mergeCell ref="C6:E6"/>
  </mergeCells>
  <pageMargins left="0.7" right="0.7" top="0.75" bottom="0.75" header="0.3" footer="0.3"/>
  <pageSetup orientation="portrait" r:id="rId1"/>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7">
    <tabColor rgb="FF0000FF"/>
  </sheetPr>
  <dimension ref="A1:H12"/>
  <sheetViews>
    <sheetView zoomScale="160" zoomScaleNormal="160" workbookViewId="0">
      <selection activeCell="E3" sqref="E3"/>
    </sheetView>
  </sheetViews>
  <sheetFormatPr defaultRowHeight="15" x14ac:dyDescent="0.25"/>
  <cols>
    <col min="1" max="1" width="9.140625" customWidth="1"/>
    <col min="2" max="2" width="10" customWidth="1"/>
    <col min="3" max="3" width="12.42578125" bestFit="1" customWidth="1"/>
    <col min="4" max="4" width="5.42578125" customWidth="1"/>
    <col min="5" max="5" width="13.7109375" customWidth="1"/>
    <col min="6" max="6" width="5.42578125" customWidth="1"/>
    <col min="7" max="8" width="13.7109375" customWidth="1"/>
  </cols>
  <sheetData>
    <row r="1" spans="1:8" x14ac:dyDescent="0.25">
      <c r="A1" s="8" t="s">
        <v>24</v>
      </c>
      <c r="B1" s="8" t="s">
        <v>401</v>
      </c>
      <c r="C1" s="8" t="s">
        <v>400</v>
      </c>
      <c r="E1" s="26" t="s">
        <v>402</v>
      </c>
      <c r="G1" s="104" t="s">
        <v>404</v>
      </c>
      <c r="H1" s="122"/>
    </row>
    <row r="2" spans="1:8" x14ac:dyDescent="0.25">
      <c r="A2" s="120" t="s">
        <v>407</v>
      </c>
      <c r="B2" s="120">
        <v>85024</v>
      </c>
      <c r="C2" s="5">
        <v>4</v>
      </c>
      <c r="E2" s="25" t="s">
        <v>401</v>
      </c>
      <c r="G2" s="8" t="s">
        <v>401</v>
      </c>
      <c r="H2" s="8" t="s">
        <v>400</v>
      </c>
    </row>
    <row r="3" spans="1:8" x14ac:dyDescent="0.25">
      <c r="A3" s="121" t="s">
        <v>408</v>
      </c>
      <c r="B3" s="121">
        <v>111104</v>
      </c>
      <c r="C3" s="14">
        <v>3.5</v>
      </c>
      <c r="E3" s="120">
        <v>100000</v>
      </c>
      <c r="G3" s="120" t="s">
        <v>405</v>
      </c>
      <c r="H3" s="5"/>
    </row>
    <row r="4" spans="1:8" x14ac:dyDescent="0.25">
      <c r="A4" s="120" t="s">
        <v>30</v>
      </c>
      <c r="B4" s="120">
        <v>89236</v>
      </c>
      <c r="C4" s="5">
        <v>2.4</v>
      </c>
      <c r="E4" s="25" t="s">
        <v>400</v>
      </c>
      <c r="G4" s="5"/>
      <c r="H4" s="5" t="s">
        <v>406</v>
      </c>
    </row>
    <row r="5" spans="1:8" x14ac:dyDescent="0.25">
      <c r="A5" s="120" t="s">
        <v>409</v>
      </c>
      <c r="B5" s="120">
        <v>113212</v>
      </c>
      <c r="C5" s="5">
        <v>3</v>
      </c>
      <c r="E5" s="5">
        <v>3.5</v>
      </c>
    </row>
    <row r="6" spans="1:8" x14ac:dyDescent="0.25">
      <c r="A6" s="121" t="s">
        <v>410</v>
      </c>
      <c r="B6" s="121">
        <v>100000</v>
      </c>
      <c r="C6" s="14">
        <v>1.4</v>
      </c>
    </row>
    <row r="8" spans="1:8" x14ac:dyDescent="0.25">
      <c r="A8" s="8" t="s">
        <v>33</v>
      </c>
      <c r="B8" s="6">
        <f t="array" ref="B8">SUM(IF((B2:B6&gt;E3)+(C2:C6&gt;=E5),1))</f>
        <v>3</v>
      </c>
      <c r="C8" t="s">
        <v>1664</v>
      </c>
    </row>
    <row r="9" spans="1:8" x14ac:dyDescent="0.25">
      <c r="A9" s="8" t="s">
        <v>33</v>
      </c>
      <c r="B9" s="6">
        <f>DCOUNT(B1:C6,,G2:H4)</f>
        <v>3</v>
      </c>
      <c r="C9" t="s">
        <v>1665</v>
      </c>
    </row>
    <row r="10" spans="1:8" x14ac:dyDescent="0.25">
      <c r="A10" s="8" t="s">
        <v>33</v>
      </c>
      <c r="B10" s="6">
        <f>SUMPRODUCT(--((B2:B6&gt;E3)+(C2:C6&gt;=E5)&gt;0))</f>
        <v>3</v>
      </c>
      <c r="C10" t="s">
        <v>1666</v>
      </c>
    </row>
    <row r="11" spans="1:8" x14ac:dyDescent="0.25">
      <c r="A11" s="8" t="s">
        <v>33</v>
      </c>
      <c r="B11" s="123">
        <f>COUNTIF(B2:B6,"&gt;"&amp;E3)+COUNTIF(C2:C6,"&gt;="&amp;E5)</f>
        <v>4</v>
      </c>
      <c r="C11" t="s">
        <v>1667</v>
      </c>
    </row>
    <row r="12" spans="1:8" x14ac:dyDescent="0.25">
      <c r="A12" s="8" t="s">
        <v>33</v>
      </c>
      <c r="B12" s="6">
        <f>SUMPRODUCT((B2:B6&gt;E3)+(C2:C6&gt;=E5))</f>
        <v>4</v>
      </c>
      <c r="C12" t="s">
        <v>1668</v>
      </c>
    </row>
  </sheetData>
  <conditionalFormatting sqref="A2:C6">
    <cfRule type="expression" dxfId="7" priority="1">
      <formula>OR($B2&gt;$E$3,$C2&gt;=$E$5)</formula>
    </cfRule>
  </conditionalFormatting>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8">
    <tabColor rgb="FF0000FF"/>
  </sheetPr>
  <dimension ref="A1:G11"/>
  <sheetViews>
    <sheetView zoomScale="160" zoomScaleNormal="160" workbookViewId="0">
      <selection activeCell="E3" sqref="E3"/>
    </sheetView>
  </sheetViews>
  <sheetFormatPr defaultRowHeight="15" x14ac:dyDescent="0.25"/>
  <cols>
    <col min="1" max="1" width="9" bestFit="1" customWidth="1"/>
    <col min="2" max="2" width="10.5703125" bestFit="1" customWidth="1"/>
    <col min="3" max="3" width="10" customWidth="1"/>
    <col min="4" max="4" width="5.42578125" customWidth="1"/>
    <col min="5" max="5" width="13.7109375" customWidth="1"/>
    <col min="6" max="6" width="5.42578125" customWidth="1"/>
    <col min="7" max="7" width="22.140625" customWidth="1"/>
    <col min="8" max="8" width="13.7109375" customWidth="1"/>
  </cols>
  <sheetData>
    <row r="1" spans="1:7" x14ac:dyDescent="0.25">
      <c r="A1" s="8" t="s">
        <v>22</v>
      </c>
      <c r="B1" s="8" t="s">
        <v>91</v>
      </c>
      <c r="C1" s="8" t="s">
        <v>24</v>
      </c>
      <c r="E1" s="26" t="s">
        <v>402</v>
      </c>
    </row>
    <row r="2" spans="1:7" x14ac:dyDescent="0.25">
      <c r="A2" s="5" t="s">
        <v>27</v>
      </c>
      <c r="B2" s="120">
        <v>186343</v>
      </c>
      <c r="C2" s="5" t="s">
        <v>486</v>
      </c>
      <c r="E2" s="8" t="s">
        <v>22</v>
      </c>
    </row>
    <row r="3" spans="1:7" x14ac:dyDescent="0.25">
      <c r="A3" s="5" t="s">
        <v>23</v>
      </c>
      <c r="B3" s="120">
        <v>293630</v>
      </c>
      <c r="C3" s="5" t="s">
        <v>485</v>
      </c>
      <c r="E3" s="5" t="s">
        <v>27</v>
      </c>
    </row>
    <row r="4" spans="1:7" x14ac:dyDescent="0.25">
      <c r="A4" s="5" t="s">
        <v>27</v>
      </c>
      <c r="B4" s="120">
        <v>77970</v>
      </c>
      <c r="C4" s="5" t="s">
        <v>485</v>
      </c>
      <c r="E4" s="5" t="s">
        <v>483</v>
      </c>
    </row>
    <row r="5" spans="1:7" x14ac:dyDescent="0.25">
      <c r="A5" s="5" t="s">
        <v>484</v>
      </c>
      <c r="B5" s="120">
        <v>27643</v>
      </c>
      <c r="C5" s="5" t="s">
        <v>486</v>
      </c>
    </row>
    <row r="6" spans="1:7" x14ac:dyDescent="0.25">
      <c r="A6" s="5" t="s">
        <v>483</v>
      </c>
      <c r="B6" s="120">
        <v>34097</v>
      </c>
      <c r="C6" s="5" t="s">
        <v>485</v>
      </c>
    </row>
    <row r="7" spans="1:7" x14ac:dyDescent="0.25">
      <c r="A7" s="5" t="s">
        <v>483</v>
      </c>
      <c r="B7" s="120">
        <v>159800</v>
      </c>
      <c r="C7" s="5" t="s">
        <v>486</v>
      </c>
    </row>
    <row r="9" spans="1:7" x14ac:dyDescent="0.25">
      <c r="A9" s="102" t="s">
        <v>497</v>
      </c>
      <c r="B9" s="129"/>
      <c r="C9" s="129"/>
      <c r="D9" s="129"/>
      <c r="E9" s="129"/>
      <c r="F9" s="129"/>
      <c r="G9" s="130"/>
    </row>
    <row r="10" spans="1:7" x14ac:dyDescent="0.25">
      <c r="A10" s="4" t="s">
        <v>51</v>
      </c>
      <c r="B10" s="126">
        <f>SUMIF(A2:A7,E3,B2:B7)+SUMIF(A2:A7,E4,B2:B7)</f>
        <v>458210</v>
      </c>
      <c r="C10" s="35" t="s">
        <v>1669</v>
      </c>
      <c r="D10" s="35"/>
      <c r="E10" s="35"/>
      <c r="F10" s="35"/>
      <c r="G10" s="35"/>
    </row>
    <row r="11" spans="1:7" x14ac:dyDescent="0.25">
      <c r="A11" s="8" t="s">
        <v>393</v>
      </c>
      <c r="B11" s="125">
        <f t="array" ref="B11">AVERAGE(IF((A2:A7=E3)+(A2:A7=E4),B2:B7))</f>
        <v>114552.5</v>
      </c>
      <c r="C11" s="5" t="s">
        <v>1670</v>
      </c>
      <c r="D11" s="5"/>
      <c r="E11" s="5"/>
      <c r="F11" s="5"/>
      <c r="G11" s="5"/>
    </row>
  </sheetData>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9">
    <tabColor rgb="FF0000FF"/>
  </sheetPr>
  <dimension ref="A1:H13"/>
  <sheetViews>
    <sheetView zoomScale="160" zoomScaleNormal="160" workbookViewId="0">
      <selection activeCell="E3" sqref="E3"/>
    </sheetView>
  </sheetViews>
  <sheetFormatPr defaultRowHeight="15" x14ac:dyDescent="0.25"/>
  <cols>
    <col min="1" max="1" width="7.5703125" customWidth="1"/>
    <col min="2" max="2" width="7.85546875" bestFit="1" customWidth="1"/>
    <col min="3" max="3" width="10" customWidth="1"/>
    <col min="4" max="4" width="5.42578125" customWidth="1"/>
    <col min="5" max="5" width="13.7109375" customWidth="1"/>
    <col min="6" max="6" width="5.42578125" customWidth="1"/>
    <col min="7" max="7" width="23.5703125" customWidth="1"/>
    <col min="8" max="8" width="17.140625" customWidth="1"/>
  </cols>
  <sheetData>
    <row r="1" spans="1:8" x14ac:dyDescent="0.25">
      <c r="A1" s="8" t="s">
        <v>22</v>
      </c>
      <c r="B1" s="8" t="s">
        <v>91</v>
      </c>
      <c r="C1" s="8" t="s">
        <v>24</v>
      </c>
      <c r="E1" s="26" t="s">
        <v>402</v>
      </c>
    </row>
    <row r="2" spans="1:8" x14ac:dyDescent="0.25">
      <c r="A2" s="5" t="s">
        <v>27</v>
      </c>
      <c r="B2" s="120">
        <v>186343</v>
      </c>
      <c r="C2" s="5" t="s">
        <v>486</v>
      </c>
      <c r="E2" s="8" t="s">
        <v>22</v>
      </c>
    </row>
    <row r="3" spans="1:8" x14ac:dyDescent="0.25">
      <c r="A3" s="5" t="s">
        <v>23</v>
      </c>
      <c r="B3" s="120">
        <v>293630</v>
      </c>
      <c r="C3" s="5" t="s">
        <v>485</v>
      </c>
      <c r="E3" s="5" t="s">
        <v>27</v>
      </c>
    </row>
    <row r="4" spans="1:8" x14ac:dyDescent="0.25">
      <c r="A4" s="5" t="s">
        <v>27</v>
      </c>
      <c r="B4" s="120">
        <v>77970</v>
      </c>
      <c r="C4" s="5" t="s">
        <v>485</v>
      </c>
      <c r="E4" s="8" t="s">
        <v>24</v>
      </c>
    </row>
    <row r="5" spans="1:8" x14ac:dyDescent="0.25">
      <c r="A5" s="5" t="s">
        <v>484</v>
      </c>
      <c r="B5" s="120">
        <v>27643</v>
      </c>
      <c r="C5" s="5" t="s">
        <v>486</v>
      </c>
      <c r="E5" s="5" t="s">
        <v>485</v>
      </c>
    </row>
    <row r="6" spans="1:8" x14ac:dyDescent="0.25">
      <c r="A6" s="5" t="s">
        <v>483</v>
      </c>
      <c r="B6" s="120">
        <v>34097</v>
      </c>
      <c r="C6" s="5" t="s">
        <v>485</v>
      </c>
    </row>
    <row r="7" spans="1:8" x14ac:dyDescent="0.25">
      <c r="A7" s="5" t="s">
        <v>483</v>
      </c>
      <c r="B7" s="120">
        <v>159800</v>
      </c>
      <c r="C7" s="5" t="s">
        <v>486</v>
      </c>
    </row>
    <row r="9" spans="1:8" x14ac:dyDescent="0.25">
      <c r="A9" s="133" t="s">
        <v>498</v>
      </c>
      <c r="B9" s="134"/>
      <c r="C9" s="134"/>
      <c r="D9" s="134"/>
      <c r="E9" s="134"/>
      <c r="F9" s="134"/>
      <c r="G9" s="135"/>
    </row>
    <row r="10" spans="1:8" x14ac:dyDescent="0.25">
      <c r="A10" s="4" t="s">
        <v>51</v>
      </c>
      <c r="B10" s="128">
        <f t="array" ref="B10">SUM(IF((A2:A7=E3)+(C2:C7=E5),B2:B7))</f>
        <v>592040</v>
      </c>
      <c r="C10" s="5" t="s">
        <v>1671</v>
      </c>
      <c r="D10" s="5"/>
      <c r="E10" s="5"/>
      <c r="F10" s="5"/>
      <c r="G10" s="5"/>
    </row>
    <row r="11" spans="1:8" x14ac:dyDescent="0.25">
      <c r="A11" s="8" t="s">
        <v>393</v>
      </c>
      <c r="B11" s="123">
        <f t="array" ref="B11">AVERAGE(IF((A2:A7=E3)+(C2:C7=E5),B2:B7))</f>
        <v>148010</v>
      </c>
      <c r="C11" s="5" t="s">
        <v>1672</v>
      </c>
      <c r="D11" s="5"/>
      <c r="E11" s="5"/>
      <c r="F11" s="5"/>
      <c r="G11" s="5"/>
    </row>
    <row r="12" spans="1:8" ht="45" x14ac:dyDescent="0.25">
      <c r="A12" s="4" t="s">
        <v>51</v>
      </c>
      <c r="B12" s="128">
        <f>SUMPRODUCT(--((A2:A7=E3)+(C2:C7=E5)&gt;0),B2:B7)</f>
        <v>592040</v>
      </c>
      <c r="C12" s="5" t="s">
        <v>1673</v>
      </c>
      <c r="D12" s="5"/>
      <c r="E12" s="5"/>
      <c r="F12" s="5"/>
      <c r="G12" s="5"/>
      <c r="H12" s="127" t="s">
        <v>488</v>
      </c>
    </row>
    <row r="13" spans="1:8" ht="30" x14ac:dyDescent="0.25">
      <c r="A13" s="4" t="s">
        <v>51</v>
      </c>
      <c r="B13" s="128">
        <f>SUMIF(A2:A7,E3,B2:B7)+SUMIF(C2:C7,E5,B2:B7)</f>
        <v>670010</v>
      </c>
      <c r="C13" s="5" t="s">
        <v>1674</v>
      </c>
      <c r="D13" s="5"/>
      <c r="E13" s="5"/>
      <c r="F13" s="5"/>
      <c r="G13" s="5"/>
      <c r="H13" s="127" t="s">
        <v>487</v>
      </c>
    </row>
  </sheetData>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0">
    <tabColor rgb="FF0000FF"/>
  </sheetPr>
  <dimension ref="A1:G13"/>
  <sheetViews>
    <sheetView zoomScale="160" zoomScaleNormal="160" workbookViewId="0">
      <selection activeCell="E3" sqref="E3"/>
    </sheetView>
  </sheetViews>
  <sheetFormatPr defaultRowHeight="15" x14ac:dyDescent="0.25"/>
  <cols>
    <col min="1" max="1" width="9.140625" customWidth="1"/>
    <col min="2" max="2" width="7.85546875" bestFit="1" customWidth="1"/>
    <col min="3" max="3" width="10" customWidth="1"/>
    <col min="4" max="4" width="5.42578125" customWidth="1"/>
    <col min="5" max="5" width="13.7109375" customWidth="1"/>
    <col min="6" max="6" width="5.42578125" customWidth="1"/>
    <col min="7" max="7" width="26.5703125" customWidth="1"/>
    <col min="8" max="8" width="15.42578125" customWidth="1"/>
  </cols>
  <sheetData>
    <row r="1" spans="1:7" x14ac:dyDescent="0.25">
      <c r="A1" s="8" t="s">
        <v>22</v>
      </c>
      <c r="B1" s="8" t="s">
        <v>91</v>
      </c>
      <c r="C1" s="8" t="s">
        <v>24</v>
      </c>
      <c r="E1" s="26" t="s">
        <v>402</v>
      </c>
    </row>
    <row r="2" spans="1:7" x14ac:dyDescent="0.25">
      <c r="A2" s="5" t="s">
        <v>27</v>
      </c>
      <c r="B2" s="120">
        <v>186343</v>
      </c>
      <c r="C2" s="5" t="s">
        <v>486</v>
      </c>
      <c r="E2" s="8" t="s">
        <v>22</v>
      </c>
    </row>
    <row r="3" spans="1:7" x14ac:dyDescent="0.25">
      <c r="A3" s="5" t="s">
        <v>23</v>
      </c>
      <c r="B3" s="120">
        <v>293630</v>
      </c>
      <c r="C3" s="5" t="s">
        <v>485</v>
      </c>
      <c r="E3" s="5" t="s">
        <v>27</v>
      </c>
    </row>
    <row r="4" spans="1:7" x14ac:dyDescent="0.25">
      <c r="A4" s="5" t="s">
        <v>27</v>
      </c>
      <c r="B4" s="120">
        <v>77970</v>
      </c>
      <c r="C4" s="5" t="s">
        <v>485</v>
      </c>
      <c r="E4" s="8" t="s">
        <v>24</v>
      </c>
    </row>
    <row r="5" spans="1:7" x14ac:dyDescent="0.25">
      <c r="A5" s="5" t="s">
        <v>484</v>
      </c>
      <c r="B5" s="120">
        <v>27643</v>
      </c>
      <c r="C5" s="5" t="s">
        <v>486</v>
      </c>
      <c r="E5" s="5" t="s">
        <v>485</v>
      </c>
    </row>
    <row r="6" spans="1:7" x14ac:dyDescent="0.25">
      <c r="A6" s="5" t="s">
        <v>483</v>
      </c>
      <c r="B6" s="120">
        <v>34097</v>
      </c>
      <c r="C6" s="5" t="s">
        <v>485</v>
      </c>
    </row>
    <row r="7" spans="1:7" x14ac:dyDescent="0.25">
      <c r="A7" s="5" t="s">
        <v>483</v>
      </c>
      <c r="B7" s="120">
        <v>159800</v>
      </c>
      <c r="C7" s="5" t="s">
        <v>486</v>
      </c>
    </row>
    <row r="9" spans="1:7" x14ac:dyDescent="0.25">
      <c r="A9" s="133" t="s">
        <v>498</v>
      </c>
      <c r="B9" s="134"/>
      <c r="C9" s="134"/>
      <c r="D9" s="134"/>
      <c r="E9" s="134"/>
      <c r="F9" s="134"/>
      <c r="G9" s="135"/>
    </row>
    <row r="10" spans="1:7" x14ac:dyDescent="0.25">
      <c r="A10" s="4" t="s">
        <v>108</v>
      </c>
      <c r="B10" s="128">
        <f t="array" ref="B10">MIN(IF((A2:A7=E3)+(C2:C7=E5),B2:B7))</f>
        <v>34097</v>
      </c>
      <c r="C10" s="5" t="s">
        <v>1675</v>
      </c>
      <c r="D10" s="5"/>
      <c r="E10" s="5"/>
      <c r="F10" s="5"/>
      <c r="G10" s="5"/>
    </row>
    <row r="11" spans="1:7" x14ac:dyDescent="0.25">
      <c r="A11" s="8" t="s">
        <v>108</v>
      </c>
      <c r="B11" s="123">
        <f>_xlfn.AGGREGATE(15,6,B2:B7/((A2:A7=E3)+(C2:C7=E5)&gt;0),1)</f>
        <v>34097</v>
      </c>
      <c r="C11" s="5" t="s">
        <v>1676</v>
      </c>
      <c r="D11" s="5"/>
      <c r="E11" s="5"/>
      <c r="F11" s="5"/>
      <c r="G11" s="5"/>
    </row>
    <row r="12" spans="1:7" x14ac:dyDescent="0.25">
      <c r="A12" s="4" t="s">
        <v>45</v>
      </c>
      <c r="B12" s="128">
        <f t="array" ref="B12">MAX(IF((A2:A7=E3)+(C2:C7=E5),B2:B7))</f>
        <v>293630</v>
      </c>
      <c r="C12" s="5" t="s">
        <v>1677</v>
      </c>
      <c r="D12" s="5"/>
      <c r="E12" s="5"/>
      <c r="F12" s="5"/>
      <c r="G12" s="5"/>
    </row>
    <row r="13" spans="1:7" x14ac:dyDescent="0.25">
      <c r="A13" s="8" t="s">
        <v>45</v>
      </c>
      <c r="B13" s="123">
        <f>_xlfn.AGGREGATE(14,6,B2:B7*((A2:A7=E3)+(C2:C7=E5)&gt;0),1)</f>
        <v>293630</v>
      </c>
      <c r="C13" s="5" t="s">
        <v>1678</v>
      </c>
      <c r="D13" s="5"/>
      <c r="E13" s="5"/>
      <c r="F13" s="5"/>
      <c r="G13" s="5"/>
    </row>
  </sheetData>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rgb="FF0000FF"/>
  </sheetPr>
  <dimension ref="A1:G21"/>
  <sheetViews>
    <sheetView zoomScale="160" zoomScaleNormal="160" workbookViewId="0">
      <selection activeCell="E3" sqref="E3"/>
    </sheetView>
  </sheetViews>
  <sheetFormatPr defaultRowHeight="15" x14ac:dyDescent="0.25"/>
  <cols>
    <col min="1" max="1" width="9.5703125" customWidth="1"/>
    <col min="2" max="2" width="8.85546875" customWidth="1"/>
    <col min="3" max="3" width="7.85546875" bestFit="1" customWidth="1"/>
    <col min="4" max="6" width="8" customWidth="1"/>
    <col min="8" max="8" width="39.28515625" customWidth="1"/>
    <col min="12" max="12" width="12.42578125" customWidth="1"/>
  </cols>
  <sheetData>
    <row r="1" spans="1:7" x14ac:dyDescent="0.25">
      <c r="A1" s="8" t="s">
        <v>8</v>
      </c>
      <c r="B1" s="8" t="s">
        <v>22</v>
      </c>
      <c r="C1" s="8" t="s">
        <v>482</v>
      </c>
      <c r="E1" s="104" t="s">
        <v>21</v>
      </c>
      <c r="F1" s="124"/>
      <c r="G1" s="105"/>
    </row>
    <row r="2" spans="1:7" x14ac:dyDescent="0.25">
      <c r="A2" s="19">
        <v>41344</v>
      </c>
      <c r="B2" s="5" t="s">
        <v>27</v>
      </c>
      <c r="C2" s="120">
        <v>340936</v>
      </c>
      <c r="E2" s="8" t="s">
        <v>8</v>
      </c>
      <c r="F2" s="8" t="s">
        <v>8</v>
      </c>
      <c r="G2" s="8" t="s">
        <v>22</v>
      </c>
    </row>
    <row r="3" spans="1:7" x14ac:dyDescent="0.25">
      <c r="A3" s="19">
        <v>41320</v>
      </c>
      <c r="B3" s="5" t="s">
        <v>23</v>
      </c>
      <c r="C3" s="120">
        <v>226110</v>
      </c>
      <c r="E3" s="19">
        <v>41351</v>
      </c>
      <c r="F3" s="19">
        <v>41406</v>
      </c>
      <c r="G3" s="5" t="s">
        <v>27</v>
      </c>
    </row>
    <row r="4" spans="1:7" x14ac:dyDescent="0.25">
      <c r="A4" s="19">
        <v>41380</v>
      </c>
      <c r="B4" s="5" t="s">
        <v>31</v>
      </c>
      <c r="C4" s="120">
        <v>295977</v>
      </c>
      <c r="G4" s="5" t="s">
        <v>31</v>
      </c>
    </row>
    <row r="5" spans="1:7" x14ac:dyDescent="0.25">
      <c r="A5" s="19">
        <v>41416</v>
      </c>
      <c r="B5" s="5" t="s">
        <v>23</v>
      </c>
      <c r="C5" s="120">
        <v>433524</v>
      </c>
    </row>
    <row r="6" spans="1:7" x14ac:dyDescent="0.25">
      <c r="A6" s="19">
        <v>41355</v>
      </c>
      <c r="B6" s="5" t="s">
        <v>27</v>
      </c>
      <c r="C6" s="120">
        <v>374854</v>
      </c>
    </row>
    <row r="7" spans="1:7" x14ac:dyDescent="0.25">
      <c r="A7" s="19">
        <v>41330</v>
      </c>
      <c r="B7" s="5" t="s">
        <v>31</v>
      </c>
      <c r="C7" s="120">
        <v>251871</v>
      </c>
    </row>
    <row r="9" spans="1:7" x14ac:dyDescent="0.25">
      <c r="A9" s="23" t="s">
        <v>495</v>
      </c>
    </row>
    <row r="10" spans="1:7" x14ac:dyDescent="0.25">
      <c r="A10" s="133" t="str">
        <f>"Criteria: Between "&amp;TEXT(E3,"m/d")&amp;" and "&amp;TEXT(F3,"m/d")&amp;" for "&amp;G3&amp;" or "&amp;G4</f>
        <v>Criteria: Between 3/18 and 5/12 for West or Midwest</v>
      </c>
      <c r="B10" s="134"/>
      <c r="C10" s="134"/>
      <c r="D10" s="134"/>
      <c r="E10" s="134"/>
      <c r="F10" s="131"/>
      <c r="G10" s="132"/>
    </row>
    <row r="11" spans="1:7" x14ac:dyDescent="0.25">
      <c r="A11" s="137" t="s">
        <v>33</v>
      </c>
      <c r="B11" s="136">
        <f>COUNTIFS(A2:A7,"&gt;="&amp;E3,A2:A7,"&lt;="&amp;F3,B2:B7,G3)+COUNTIFS(A2:A7,"&gt;="&amp;E3,A2:A7,"&lt;="&amp;F3,B2:B7,G4)</f>
        <v>2</v>
      </c>
      <c r="C11" t="s">
        <v>506</v>
      </c>
    </row>
    <row r="12" spans="1:7" x14ac:dyDescent="0.25">
      <c r="D12" t="s">
        <v>500</v>
      </c>
    </row>
    <row r="13" spans="1:7" x14ac:dyDescent="0.25">
      <c r="A13" s="138" t="s">
        <v>33</v>
      </c>
      <c r="B13" s="6">
        <f>SUMPRODUCT(--(A2:A7&gt;=E3),--(A2:A7&lt;=F3),--((B2:B7=G3)+(B2:B7=G4)))</f>
        <v>2</v>
      </c>
      <c r="C13" t="s">
        <v>507</v>
      </c>
    </row>
    <row r="14" spans="1:7" x14ac:dyDescent="0.25">
      <c r="A14" s="138" t="s">
        <v>33</v>
      </c>
      <c r="B14" s="6">
        <f t="array" ref="B14">SUM(IF((A2:A7&gt;=E3)*(A2:A7&lt;=F3)*((B2:B7=G3)+(B2:B7=G4)),1))</f>
        <v>2</v>
      </c>
      <c r="C14" t="s">
        <v>508</v>
      </c>
    </row>
    <row r="15" spans="1:7" x14ac:dyDescent="0.25">
      <c r="A15" s="138" t="s">
        <v>33</v>
      </c>
      <c r="B15" s="6">
        <f>SUMPRODUCT(--(A2:A7&gt;=E3),--(A2:A7&lt;=F3),--ISNUMBER(MATCH(B2:B7,G3:G4,0)))</f>
        <v>2</v>
      </c>
      <c r="C15" t="s">
        <v>502</v>
      </c>
    </row>
    <row r="17" spans="1:4" x14ac:dyDescent="0.25">
      <c r="A17" s="138" t="s">
        <v>493</v>
      </c>
      <c r="B17" s="123">
        <f>SUMIFS(C2:C7,A2:A7,"&gt;="&amp;E3,A2:A7,"&lt;="&amp;F3,B2:B7,G3)+SUMIFS(C2:C7,A2:A7,"&gt;="&amp;E3,A2:A7,"&lt;="&amp;F3,B2:B7,G4)</f>
        <v>670831</v>
      </c>
      <c r="C17" t="s">
        <v>505</v>
      </c>
    </row>
    <row r="18" spans="1:4" x14ac:dyDescent="0.25">
      <c r="D18" t="s">
        <v>501</v>
      </c>
    </row>
    <row r="19" spans="1:4" x14ac:dyDescent="0.25">
      <c r="A19" s="138" t="s">
        <v>493</v>
      </c>
      <c r="B19" s="123">
        <f>SUMPRODUCT(--(A2:A7&gt;=E3),--(A2:A7&lt;=F3),--ISNUMBER(MATCH(B2:B7,G3:G4,0)),C2:C7)</f>
        <v>670831</v>
      </c>
      <c r="C19" t="s">
        <v>503</v>
      </c>
    </row>
    <row r="20" spans="1:4" x14ac:dyDescent="0.25">
      <c r="A20" s="138" t="s">
        <v>494</v>
      </c>
      <c r="B20" s="123">
        <f>_xlfn.AGGREGATE(15,6,C2:C7/((A2:A7&gt;=E3)*(A2:A7&lt;=F3)*((B2:B7=G3)+(B2:B7=G4))),1)</f>
        <v>295977</v>
      </c>
      <c r="C20" t="s">
        <v>504</v>
      </c>
    </row>
    <row r="21" spans="1:4" x14ac:dyDescent="0.25">
      <c r="A21" s="138" t="s">
        <v>499</v>
      </c>
      <c r="B21" s="123">
        <f t="array" ref="B21">AVERAGE(IF((A2:A7&gt;=E3)*(A2:A7&lt;=F3)*((B2:B7=G3)+(B2:B7=G4)),C2:C7))</f>
        <v>335415.5</v>
      </c>
      <c r="C21" t="s">
        <v>509</v>
      </c>
    </row>
  </sheetData>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2">
    <tabColor rgb="FF0000FF"/>
  </sheetPr>
  <dimension ref="A1:G33"/>
  <sheetViews>
    <sheetView zoomScale="115" zoomScaleNormal="115" workbookViewId="0">
      <selection activeCell="E3" sqref="E3"/>
    </sheetView>
  </sheetViews>
  <sheetFormatPr defaultRowHeight="15" x14ac:dyDescent="0.25"/>
  <cols>
    <col min="1" max="1" width="15.28515625" customWidth="1"/>
    <col min="2" max="2" width="11.28515625" customWidth="1"/>
    <col min="3" max="5" width="7.85546875" customWidth="1"/>
    <col min="6" max="6" width="8" customWidth="1"/>
    <col min="7" max="7" width="48.85546875" customWidth="1"/>
    <col min="12" max="12" width="12.42578125" customWidth="1"/>
  </cols>
  <sheetData>
    <row r="1" spans="1:7" ht="45" x14ac:dyDescent="0.25">
      <c r="A1" s="28" t="s">
        <v>24</v>
      </c>
      <c r="B1" s="28" t="s">
        <v>401</v>
      </c>
      <c r="C1" s="28" t="s">
        <v>476</v>
      </c>
      <c r="D1" s="28" t="s">
        <v>477</v>
      </c>
      <c r="E1" s="28" t="s">
        <v>475</v>
      </c>
      <c r="F1" s="28" t="s">
        <v>132</v>
      </c>
    </row>
    <row r="2" spans="1:7" x14ac:dyDescent="0.25">
      <c r="A2" s="5" t="s">
        <v>407</v>
      </c>
      <c r="B2" s="120">
        <v>85024</v>
      </c>
      <c r="C2" s="5">
        <v>4</v>
      </c>
      <c r="D2" s="5">
        <v>6</v>
      </c>
      <c r="E2" s="120">
        <v>31267</v>
      </c>
      <c r="F2" s="6" t="b">
        <f t="shared" ref="F2:F7" si="0">AND(B2&gt;$B$10,E2&gt;$D$10,OR(C2&gt;=$C$10,D2&gt;=$C$12))</f>
        <v>0</v>
      </c>
      <c r="G2" t="s">
        <v>1679</v>
      </c>
    </row>
    <row r="3" spans="1:7" x14ac:dyDescent="0.25">
      <c r="A3" s="5" t="s">
        <v>408</v>
      </c>
      <c r="B3" s="120">
        <v>111104</v>
      </c>
      <c r="C3" s="5">
        <v>3.5</v>
      </c>
      <c r="D3" s="5">
        <v>9</v>
      </c>
      <c r="E3" s="120">
        <v>73346</v>
      </c>
      <c r="F3" s="6" t="b">
        <f t="shared" si="0"/>
        <v>1</v>
      </c>
      <c r="G3" t="s">
        <v>1680</v>
      </c>
    </row>
    <row r="4" spans="1:7" x14ac:dyDescent="0.25">
      <c r="A4" s="5" t="s">
        <v>30</v>
      </c>
      <c r="B4" s="120">
        <v>89236</v>
      </c>
      <c r="C4" s="5">
        <v>2.4</v>
      </c>
      <c r="D4" s="5">
        <v>7</v>
      </c>
      <c r="E4" s="120">
        <v>65334</v>
      </c>
      <c r="F4" s="6" t="b">
        <f t="shared" si="0"/>
        <v>0</v>
      </c>
      <c r="G4" t="s">
        <v>1681</v>
      </c>
    </row>
    <row r="5" spans="1:7" x14ac:dyDescent="0.25">
      <c r="A5" s="5" t="s">
        <v>409</v>
      </c>
      <c r="B5" s="120">
        <v>113212</v>
      </c>
      <c r="C5" s="5">
        <v>3</v>
      </c>
      <c r="D5" s="5">
        <v>5</v>
      </c>
      <c r="E5" s="120">
        <v>45609</v>
      </c>
      <c r="F5" s="6" t="b">
        <f t="shared" si="0"/>
        <v>0</v>
      </c>
      <c r="G5" t="s">
        <v>1682</v>
      </c>
    </row>
    <row r="6" spans="1:7" x14ac:dyDescent="0.25">
      <c r="A6" s="5" t="s">
        <v>410</v>
      </c>
      <c r="B6" s="120">
        <v>100000</v>
      </c>
      <c r="C6" s="5">
        <v>1.4</v>
      </c>
      <c r="D6" s="5">
        <v>1</v>
      </c>
      <c r="E6" s="120">
        <v>34550</v>
      </c>
      <c r="F6" s="6" t="b">
        <f t="shared" si="0"/>
        <v>0</v>
      </c>
      <c r="G6" t="s">
        <v>1683</v>
      </c>
    </row>
    <row r="7" spans="1:7" x14ac:dyDescent="0.25">
      <c r="A7" s="5" t="s">
        <v>478</v>
      </c>
      <c r="B7" s="120">
        <v>159800</v>
      </c>
      <c r="C7" s="5">
        <v>4.3</v>
      </c>
      <c r="D7" s="5">
        <v>6</v>
      </c>
      <c r="E7" s="120">
        <v>43500</v>
      </c>
      <c r="F7" s="6" t="b">
        <f t="shared" si="0"/>
        <v>1</v>
      </c>
      <c r="G7" t="s">
        <v>1684</v>
      </c>
    </row>
    <row r="9" spans="1:7" ht="30" x14ac:dyDescent="0.25">
      <c r="A9" s="26" t="s">
        <v>21</v>
      </c>
      <c r="B9" s="44" t="s">
        <v>401</v>
      </c>
      <c r="C9" s="44" t="s">
        <v>491</v>
      </c>
      <c r="D9" s="44" t="s">
        <v>475</v>
      </c>
    </row>
    <row r="10" spans="1:7" ht="15" customHeight="1" x14ac:dyDescent="0.25">
      <c r="B10" s="120">
        <v>100000</v>
      </c>
      <c r="C10" s="5">
        <v>3.5</v>
      </c>
      <c r="D10" s="120">
        <v>37500</v>
      </c>
    </row>
    <row r="11" spans="1:7" ht="15.75" customHeight="1" x14ac:dyDescent="0.25">
      <c r="C11" s="44" t="s">
        <v>492</v>
      </c>
    </row>
    <row r="12" spans="1:7" x14ac:dyDescent="0.25">
      <c r="C12" s="5">
        <v>6</v>
      </c>
    </row>
    <row r="13" spans="1:7" x14ac:dyDescent="0.25">
      <c r="A13" s="23" t="s">
        <v>496</v>
      </c>
    </row>
    <row r="14" spans="1:7" x14ac:dyDescent="0.25">
      <c r="A14" s="133" t="str">
        <f>"Extend Credit if: "&amp;$B$9&amp;" &gt;"&amp;FIXED($B$10,0)&amp;" AND "&amp;$D$9&amp;" &gt; "&amp;FIXED($D$10,0)&amp;" AND "&amp;"at least 1 credit rating hurdle equaled or surpassed."</f>
        <v>Extend Credit if: Net Assets &gt;100,000 AND Net Income &gt; 37,500 AND at least 1 credit rating hurdle equaled or surpassed.</v>
      </c>
      <c r="B14" s="134"/>
      <c r="C14" s="134"/>
      <c r="D14" s="134"/>
      <c r="E14" s="134"/>
      <c r="F14" s="134"/>
      <c r="G14" s="135"/>
    </row>
    <row r="15" spans="1:7" x14ac:dyDescent="0.25">
      <c r="A15" s="137" t="s">
        <v>33</v>
      </c>
      <c r="B15" s="136">
        <f>COUNTIF(F2:F7,TRUE)</f>
        <v>2</v>
      </c>
      <c r="C15" t="s">
        <v>1685</v>
      </c>
    </row>
    <row r="16" spans="1:7" x14ac:dyDescent="0.25">
      <c r="A16" s="138" t="s">
        <v>33</v>
      </c>
      <c r="B16" s="6">
        <f t="array" ref="B16">SUM(IF(B2:B7&gt;B10,IF(E2:E7&gt;D10,IF((C2:C7&gt;=C10)+(D2:D7&gt;=C12),1))))</f>
        <v>2</v>
      </c>
      <c r="C16" t="s">
        <v>1686</v>
      </c>
    </row>
    <row r="17" spans="1:4" x14ac:dyDescent="0.25">
      <c r="A17" s="138" t="s">
        <v>33</v>
      </c>
      <c r="B17" s="6">
        <f>SUMPRODUCT(--(B2:B7&gt;B10),--(E2:E7&gt;D10),--((C2:C7&gt;=C10)+(D2:D7&gt;=C12)&gt;0))</f>
        <v>2</v>
      </c>
      <c r="C17" t="s">
        <v>1687</v>
      </c>
    </row>
    <row r="18" spans="1:4" x14ac:dyDescent="0.25">
      <c r="A18" s="138" t="s">
        <v>33</v>
      </c>
      <c r="B18" s="6">
        <f t="array" ref="B18">SUM(IF((B2:B7&gt;B10)*(E2:E7&gt;D10)*((C2:C7&gt;=C10)+(D2:D7&gt;=C12)),1))</f>
        <v>2</v>
      </c>
      <c r="C18" t="s">
        <v>1688</v>
      </c>
    </row>
    <row r="19" spans="1:4" x14ac:dyDescent="0.25">
      <c r="A19" s="138" t="s">
        <v>489</v>
      </c>
      <c r="B19" s="123">
        <f t="array" ref="B19">MAX(IF((B2:B7&gt;B10)*(E2:E7&gt;D10)*((C2:C7&gt;=C10)+(D2:D7&gt;=C12)),B2:B7))</f>
        <v>159800</v>
      </c>
      <c r="C19" t="s">
        <v>1689</v>
      </c>
    </row>
    <row r="20" spans="1:4" ht="14.25" customHeight="1" x14ac:dyDescent="0.25">
      <c r="A20" s="138" t="s">
        <v>490</v>
      </c>
      <c r="B20" s="123">
        <f t="array" ref="B20">AVERAGE(IF((B2:B7&gt;B10)*(E2:E7&gt;D10)*((C2:C7&gt;=C10)+(D2:D7&gt;=C12)),B2:B7))</f>
        <v>135452</v>
      </c>
      <c r="C20" t="s">
        <v>1690</v>
      </c>
    </row>
    <row r="27" spans="1:4" x14ac:dyDescent="0.25">
      <c r="A27" s="8" t="s">
        <v>33</v>
      </c>
      <c r="B27" s="6">
        <f>DCOUNT(B1:E7,"Net Assets",A30:D33)</f>
        <v>2</v>
      </c>
      <c r="C27" t="s">
        <v>1691</v>
      </c>
    </row>
    <row r="29" spans="1:4" x14ac:dyDescent="0.25">
      <c r="A29" s="104" t="s">
        <v>481</v>
      </c>
      <c r="B29" s="124"/>
      <c r="C29" s="124"/>
      <c r="D29" s="105"/>
    </row>
    <row r="30" spans="1:4" ht="45" x14ac:dyDescent="0.25">
      <c r="A30" s="44" t="s">
        <v>401</v>
      </c>
      <c r="B30" s="44" t="s">
        <v>476</v>
      </c>
      <c r="C30" s="44" t="s">
        <v>477</v>
      </c>
      <c r="D30" s="44" t="s">
        <v>475</v>
      </c>
    </row>
    <row r="31" spans="1:4" x14ac:dyDescent="0.25">
      <c r="A31" s="120" t="s">
        <v>405</v>
      </c>
      <c r="B31" s="5" t="s">
        <v>406</v>
      </c>
      <c r="C31" s="5" t="s">
        <v>480</v>
      </c>
      <c r="D31" s="120" t="s">
        <v>479</v>
      </c>
    </row>
    <row r="32" spans="1:4" x14ac:dyDescent="0.25">
      <c r="A32" s="120" t="s">
        <v>405</v>
      </c>
      <c r="B32" s="5" t="s">
        <v>406</v>
      </c>
      <c r="C32" s="5"/>
      <c r="D32" s="120" t="s">
        <v>479</v>
      </c>
    </row>
    <row r="33" spans="1:4" x14ac:dyDescent="0.25">
      <c r="A33" s="120" t="s">
        <v>405</v>
      </c>
      <c r="B33" s="5"/>
      <c r="C33" s="5" t="s">
        <v>480</v>
      </c>
      <c r="D33" s="120" t="s">
        <v>479</v>
      </c>
    </row>
  </sheetData>
  <pageMargins left="0.7" right="0.7" top="0.75" bottom="0.75" header="0.3" footer="0.3"/>
  <pageSetup orientation="portrait" r:id="rId1"/>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3">
    <tabColor rgb="FF0000FF"/>
  </sheetPr>
  <dimension ref="A1:G33"/>
  <sheetViews>
    <sheetView zoomScale="160" zoomScaleNormal="160" workbookViewId="0">
      <selection activeCell="E3" sqref="E3"/>
    </sheetView>
  </sheetViews>
  <sheetFormatPr defaultRowHeight="15" x14ac:dyDescent="0.25"/>
  <cols>
    <col min="1" max="1" width="15.28515625" customWidth="1"/>
    <col min="2" max="5" width="7.85546875" customWidth="1"/>
    <col min="6" max="6" width="8" customWidth="1"/>
    <col min="7" max="7" width="48.85546875" customWidth="1"/>
    <col min="12" max="12" width="12.42578125" customWidth="1"/>
  </cols>
  <sheetData>
    <row r="1" spans="1:7" ht="45" x14ac:dyDescent="0.25">
      <c r="A1" s="28" t="s">
        <v>24</v>
      </c>
      <c r="B1" s="28" t="s">
        <v>401</v>
      </c>
      <c r="C1" s="28" t="s">
        <v>476</v>
      </c>
      <c r="D1" s="28" t="s">
        <v>477</v>
      </c>
      <c r="E1" s="28" t="s">
        <v>475</v>
      </c>
      <c r="F1" s="28" t="s">
        <v>132</v>
      </c>
    </row>
    <row r="2" spans="1:7" x14ac:dyDescent="0.25">
      <c r="A2" s="5" t="s">
        <v>407</v>
      </c>
      <c r="B2" s="120">
        <v>85024</v>
      </c>
      <c r="C2" s="5">
        <v>4</v>
      </c>
      <c r="D2" s="5">
        <v>6</v>
      </c>
      <c r="E2" s="120">
        <v>31267</v>
      </c>
      <c r="F2" s="6" t="b">
        <f t="shared" ref="F2:F7" si="0">AND(B2&gt;$B$10,E2&gt;$D$10,OR(C2&gt;=$C$10,D2&gt;=$C$12))</f>
        <v>0</v>
      </c>
      <c r="G2" t="s">
        <v>1679</v>
      </c>
    </row>
    <row r="3" spans="1:7" x14ac:dyDescent="0.25">
      <c r="A3" s="5" t="s">
        <v>408</v>
      </c>
      <c r="B3" s="120">
        <v>111104</v>
      </c>
      <c r="C3" s="5">
        <v>3.5</v>
      </c>
      <c r="D3" s="5">
        <v>9</v>
      </c>
      <c r="E3" s="120">
        <v>73346</v>
      </c>
      <c r="F3" s="6" t="b">
        <f t="shared" si="0"/>
        <v>1</v>
      </c>
      <c r="G3" t="s">
        <v>1680</v>
      </c>
    </row>
    <row r="4" spans="1:7" x14ac:dyDescent="0.25">
      <c r="A4" s="5" t="s">
        <v>30</v>
      </c>
      <c r="B4" s="120">
        <v>89236</v>
      </c>
      <c r="C4" s="5">
        <v>2.4</v>
      </c>
      <c r="D4" s="5">
        <v>7</v>
      </c>
      <c r="E4" s="120">
        <v>65334</v>
      </c>
      <c r="F4" s="6" t="b">
        <f t="shared" si="0"/>
        <v>0</v>
      </c>
      <c r="G4" t="s">
        <v>1681</v>
      </c>
    </row>
    <row r="5" spans="1:7" x14ac:dyDescent="0.25">
      <c r="A5" s="5" t="s">
        <v>409</v>
      </c>
      <c r="B5" s="120">
        <v>113212</v>
      </c>
      <c r="C5" s="5">
        <v>3</v>
      </c>
      <c r="D5" s="5">
        <v>5</v>
      </c>
      <c r="E5" s="120">
        <v>45609</v>
      </c>
      <c r="F5" s="6" t="b">
        <f t="shared" si="0"/>
        <v>0</v>
      </c>
      <c r="G5" t="s">
        <v>1682</v>
      </c>
    </row>
    <row r="6" spans="1:7" x14ac:dyDescent="0.25">
      <c r="A6" s="5" t="s">
        <v>410</v>
      </c>
      <c r="B6" s="120">
        <v>100000</v>
      </c>
      <c r="C6" s="5">
        <v>1.4</v>
      </c>
      <c r="D6" s="5">
        <v>1</v>
      </c>
      <c r="E6" s="120">
        <v>34550</v>
      </c>
      <c r="F6" s="6" t="b">
        <f t="shared" si="0"/>
        <v>0</v>
      </c>
      <c r="G6" t="s">
        <v>1683</v>
      </c>
    </row>
    <row r="7" spans="1:7" x14ac:dyDescent="0.25">
      <c r="A7" s="5" t="s">
        <v>478</v>
      </c>
      <c r="B7" s="120">
        <v>159800</v>
      </c>
      <c r="C7" s="5">
        <v>4.3</v>
      </c>
      <c r="D7" s="5">
        <v>6</v>
      </c>
      <c r="E7" s="120">
        <v>43500</v>
      </c>
      <c r="F7" s="6" t="b">
        <f t="shared" si="0"/>
        <v>1</v>
      </c>
      <c r="G7" t="s">
        <v>1684</v>
      </c>
    </row>
    <row r="9" spans="1:7" ht="30" x14ac:dyDescent="0.25">
      <c r="A9" s="26" t="s">
        <v>21</v>
      </c>
      <c r="B9" s="44" t="s">
        <v>401</v>
      </c>
      <c r="C9" s="44" t="s">
        <v>491</v>
      </c>
      <c r="D9" s="44" t="s">
        <v>475</v>
      </c>
    </row>
    <row r="10" spans="1:7" ht="15" customHeight="1" x14ac:dyDescent="0.25">
      <c r="B10" s="120">
        <v>100000</v>
      </c>
      <c r="C10" s="5">
        <v>3.5</v>
      </c>
      <c r="D10" s="120">
        <v>37500</v>
      </c>
    </row>
    <row r="11" spans="1:7" ht="15.75" customHeight="1" x14ac:dyDescent="0.25">
      <c r="C11" s="44" t="s">
        <v>492</v>
      </c>
    </row>
    <row r="12" spans="1:7" x14ac:dyDescent="0.25">
      <c r="C12" s="5">
        <v>6</v>
      </c>
    </row>
    <row r="13" spans="1:7" x14ac:dyDescent="0.25">
      <c r="A13" s="23" t="s">
        <v>496</v>
      </c>
    </row>
    <row r="14" spans="1:7" x14ac:dyDescent="0.25">
      <c r="A14" s="133" t="str">
        <f>"Extend Credit if: "&amp;$B$9&amp;" &gt;"&amp;FIXED($B$10,0)&amp;" AND "&amp;$D$9&amp;" &gt; "&amp;FIXED($D$10,0)&amp;" AND "&amp;"at least 1 credit rating hurdle equaled or surpassed."</f>
        <v>Extend Credit if: Net Assets &gt;100,000 AND Net Income &gt; 37,500 AND at least 1 credit rating hurdle equaled or surpassed.</v>
      </c>
      <c r="B14" s="134"/>
      <c r="C14" s="134"/>
      <c r="D14" s="134"/>
      <c r="E14" s="134"/>
      <c r="F14" s="134"/>
      <c r="G14" s="135"/>
    </row>
    <row r="15" spans="1:7" x14ac:dyDescent="0.25">
      <c r="A15" s="137" t="s">
        <v>33</v>
      </c>
      <c r="B15" s="136">
        <f>COUNTIF(F2:F7,TRUE)</f>
        <v>2</v>
      </c>
      <c r="C15" t="s">
        <v>1685</v>
      </c>
    </row>
    <row r="16" spans="1:7" x14ac:dyDescent="0.25">
      <c r="A16" s="138" t="s">
        <v>33</v>
      </c>
      <c r="B16" s="6">
        <f t="array" ref="B16">SUM(IF(B2:B7&gt;B10,IF(E2:E7&gt;D10,IF((C2:C7&gt;=C10)+(D2:D7&gt;=C12),1))))</f>
        <v>2</v>
      </c>
      <c r="C16" t="s">
        <v>1686</v>
      </c>
    </row>
    <row r="17" spans="1:4" x14ac:dyDescent="0.25">
      <c r="A17" s="138" t="s">
        <v>33</v>
      </c>
      <c r="B17" s="6">
        <f>SUMPRODUCT(--(B2:B7&gt;B10),--(E2:E7&gt;D10),--((C2:C7&gt;=C10)+(D2:D7&gt;=C12)&gt;0))</f>
        <v>2</v>
      </c>
      <c r="C17" t="s">
        <v>1687</v>
      </c>
    </row>
    <row r="18" spans="1:4" x14ac:dyDescent="0.25">
      <c r="A18" s="138" t="s">
        <v>33</v>
      </c>
      <c r="B18" s="6">
        <f t="array" ref="B18">SUM(IF((B2:B7&gt;B10)*(E2:E7&gt;D10)*((C2:C7&gt;=C10)+(D2:D7&gt;=C12)),1))</f>
        <v>2</v>
      </c>
      <c r="C18" t="s">
        <v>1688</v>
      </c>
    </row>
    <row r="19" spans="1:4" x14ac:dyDescent="0.25">
      <c r="A19" s="138" t="s">
        <v>489</v>
      </c>
      <c r="B19" s="123">
        <f t="array" ref="B19">MAX(IF((B2:B7&gt;B10)*(E2:E7&gt;D10)*((C2:C7&gt;=C10)+(D2:D7&gt;=C12)),B2:B7))</f>
        <v>159800</v>
      </c>
      <c r="C19" t="s">
        <v>1689</v>
      </c>
    </row>
    <row r="20" spans="1:4" ht="14.25" customHeight="1" x14ac:dyDescent="0.25">
      <c r="A20" s="138" t="s">
        <v>490</v>
      </c>
      <c r="B20" s="123">
        <f t="array" ref="B20">AVERAGE(IF((B2:B7&gt;B10)*(E2:E7&gt;D10)*((C2:C7&gt;=C10)+(D2:D7&gt;=C12)),B2:B7))</f>
        <v>135452</v>
      </c>
      <c r="C20" t="s">
        <v>1690</v>
      </c>
    </row>
    <row r="27" spans="1:4" x14ac:dyDescent="0.25">
      <c r="A27" s="8" t="s">
        <v>33</v>
      </c>
      <c r="B27" s="6">
        <f>DCOUNT(B1:E7,"Net Assets",A30:D33)</f>
        <v>2</v>
      </c>
      <c r="C27" t="s">
        <v>1691</v>
      </c>
    </row>
    <row r="29" spans="1:4" x14ac:dyDescent="0.25">
      <c r="A29" s="104" t="s">
        <v>481</v>
      </c>
      <c r="B29" s="124"/>
      <c r="C29" s="124"/>
      <c r="D29" s="105"/>
    </row>
    <row r="30" spans="1:4" ht="45" x14ac:dyDescent="0.25">
      <c r="A30" s="44" t="s">
        <v>401</v>
      </c>
      <c r="B30" s="44" t="s">
        <v>476</v>
      </c>
      <c r="C30" s="44" t="s">
        <v>477</v>
      </c>
      <c r="D30" s="44" t="s">
        <v>475</v>
      </c>
    </row>
    <row r="31" spans="1:4" x14ac:dyDescent="0.25">
      <c r="A31" s="120" t="s">
        <v>405</v>
      </c>
      <c r="B31" s="5" t="s">
        <v>406</v>
      </c>
      <c r="C31" s="5" t="s">
        <v>480</v>
      </c>
      <c r="D31" s="120" t="s">
        <v>479</v>
      </c>
    </row>
    <row r="32" spans="1:4" x14ac:dyDescent="0.25">
      <c r="A32" s="120" t="s">
        <v>405</v>
      </c>
      <c r="B32" s="5" t="s">
        <v>406</v>
      </c>
      <c r="C32" s="5"/>
      <c r="D32" s="120" t="s">
        <v>479</v>
      </c>
    </row>
    <row r="33" spans="1:4" x14ac:dyDescent="0.25">
      <c r="A33" s="120" t="s">
        <v>405</v>
      </c>
      <c r="B33" s="5"/>
      <c r="C33" s="5" t="s">
        <v>480</v>
      </c>
      <c r="D33" s="120" t="s">
        <v>479</v>
      </c>
    </row>
  </sheetData>
  <pageMargins left="0.7" right="0.7" top="0.75" bottom="0.75" header="0.3" footer="0.3"/>
  <pageSetup orientation="portrait" r:id="rId1"/>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4">
    <tabColor rgb="FF0000FF"/>
  </sheetPr>
  <dimension ref="A1:J15"/>
  <sheetViews>
    <sheetView zoomScale="175" zoomScaleNormal="175" workbookViewId="0">
      <selection activeCell="E3" sqref="E3"/>
    </sheetView>
  </sheetViews>
  <sheetFormatPr defaultRowHeight="15" x14ac:dyDescent="0.25"/>
  <cols>
    <col min="1" max="1" width="8.85546875" bestFit="1" customWidth="1"/>
    <col min="2" max="3" width="7.85546875" customWidth="1"/>
    <col min="4" max="4" width="2.140625" customWidth="1"/>
    <col min="10" max="10" width="10" customWidth="1"/>
  </cols>
  <sheetData>
    <row r="1" spans="1:10" x14ac:dyDescent="0.25">
      <c r="A1" s="4" t="s">
        <v>8</v>
      </c>
      <c r="B1" s="4" t="s">
        <v>91</v>
      </c>
      <c r="C1" s="4" t="s">
        <v>132</v>
      </c>
    </row>
    <row r="2" spans="1:10" x14ac:dyDescent="0.25">
      <c r="A2" s="19">
        <v>41209</v>
      </c>
      <c r="B2" s="139">
        <v>5012</v>
      </c>
      <c r="C2" s="140" t="str">
        <f>MONTH(A2)&amp;YEAR(A2)</f>
        <v>102012</v>
      </c>
      <c r="D2" t="s">
        <v>1692</v>
      </c>
    </row>
    <row r="3" spans="1:10" x14ac:dyDescent="0.25">
      <c r="A3" s="19">
        <v>41187</v>
      </c>
      <c r="B3" s="139">
        <v>6523</v>
      </c>
      <c r="C3" s="140" t="str">
        <f t="shared" ref="C3:C8" si="0">MONTH(A3)&amp;YEAR(A3)</f>
        <v>102012</v>
      </c>
    </row>
    <row r="4" spans="1:10" x14ac:dyDescent="0.25">
      <c r="A4" s="19">
        <v>40905</v>
      </c>
      <c r="B4" s="139">
        <v>1589</v>
      </c>
      <c r="C4" s="140" t="str">
        <f t="shared" si="0"/>
        <v>122011</v>
      </c>
    </row>
    <row r="5" spans="1:10" x14ac:dyDescent="0.25">
      <c r="A5" s="19">
        <v>41212</v>
      </c>
      <c r="B5" s="139">
        <v>2489</v>
      </c>
      <c r="C5" s="140" t="str">
        <f t="shared" si="0"/>
        <v>102012</v>
      </c>
    </row>
    <row r="6" spans="1:10" x14ac:dyDescent="0.25">
      <c r="A6" s="19">
        <v>40841</v>
      </c>
      <c r="B6" s="139">
        <v>5789</v>
      </c>
      <c r="C6" s="140" t="str">
        <f t="shared" si="0"/>
        <v>102011</v>
      </c>
      <c r="E6" s="20" t="s">
        <v>514</v>
      </c>
      <c r="F6" s="17"/>
      <c r="G6" s="17"/>
      <c r="H6" s="17"/>
      <c r="I6" s="17"/>
      <c r="J6" s="18"/>
    </row>
    <row r="7" spans="1:10" x14ac:dyDescent="0.25">
      <c r="A7" s="19">
        <v>40873</v>
      </c>
      <c r="B7" s="139">
        <v>5790</v>
      </c>
      <c r="C7" s="140" t="str">
        <f t="shared" si="0"/>
        <v>112011</v>
      </c>
      <c r="E7" s="4" t="s">
        <v>512</v>
      </c>
      <c r="F7" s="4" t="s">
        <v>513</v>
      </c>
    </row>
    <row r="8" spans="1:10" x14ac:dyDescent="0.25">
      <c r="A8" s="19">
        <v>40874</v>
      </c>
      <c r="B8" s="139">
        <v>5791</v>
      </c>
      <c r="C8" s="140" t="str">
        <f t="shared" si="0"/>
        <v>112011</v>
      </c>
      <c r="E8" s="5">
        <v>2012</v>
      </c>
      <c r="F8" s="5" t="s">
        <v>511</v>
      </c>
    </row>
    <row r="9" spans="1:10" ht="3.75" customHeight="1" x14ac:dyDescent="0.25"/>
    <row r="10" spans="1:10" x14ac:dyDescent="0.25">
      <c r="A10" s="44" t="s">
        <v>33</v>
      </c>
    </row>
    <row r="11" spans="1:10" x14ac:dyDescent="0.25">
      <c r="A11" s="6">
        <f>COUNTIF(C2:C8,MONTH(F8&amp;1)&amp;E8)</f>
        <v>3</v>
      </c>
      <c r="B11" t="s">
        <v>1693</v>
      </c>
    </row>
    <row r="12" spans="1:10" x14ac:dyDescent="0.25">
      <c r="A12" s="6">
        <f>COUNTIFS(A2:A8,"&gt;=1"&amp;F8&amp;E8,A2:A8,"&lt;="&amp;EOMONTH(1&amp;F8&amp;E8,0))</f>
        <v>3</v>
      </c>
      <c r="B12" t="s">
        <v>1694</v>
      </c>
    </row>
    <row r="13" spans="1:10" x14ac:dyDescent="0.25">
      <c r="A13" s="6">
        <f>COUNTIF(A2:A8,"&lt;="&amp;EOMONTH(1&amp;F8&amp;E8,0))-COUNTIF(A2:A8,"&lt;"&amp;1&amp;F8&amp;E8)</f>
        <v>3</v>
      </c>
      <c r="B13" t="s">
        <v>1695</v>
      </c>
    </row>
    <row r="14" spans="1:10" x14ac:dyDescent="0.25">
      <c r="A14" s="6">
        <f>SUMPRODUCT(--(MONTH(A2:A8)&amp;YEAR(A2:A8)=MONTH(1&amp;F8)&amp;E8))</f>
        <v>3</v>
      </c>
      <c r="B14" t="s">
        <v>1696</v>
      </c>
    </row>
    <row r="15" spans="1:10" x14ac:dyDescent="0.25">
      <c r="A15" s="6">
        <f>SUMPRODUCT(--(TEXT(A2:A8,"mmmyyy")=F8&amp;E8))</f>
        <v>3</v>
      </c>
      <c r="B15" t="s">
        <v>1697</v>
      </c>
    </row>
  </sheetData>
  <pageMargins left="0.7" right="0.7" top="0.75" bottom="0.75" header="0.3" footer="0.3"/>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5">
    <tabColor rgb="FF0000FF"/>
  </sheetPr>
  <dimension ref="A1:E14"/>
  <sheetViews>
    <sheetView zoomScale="175" zoomScaleNormal="175" workbookViewId="0">
      <selection activeCell="E3" sqref="E3"/>
    </sheetView>
  </sheetViews>
  <sheetFormatPr defaultRowHeight="15" x14ac:dyDescent="0.25"/>
  <cols>
    <col min="1" max="1" width="11.140625" bestFit="1" customWidth="1"/>
    <col min="2" max="3" width="8.140625" customWidth="1"/>
    <col min="4" max="4" width="1.85546875" customWidth="1"/>
    <col min="5" max="5" width="9.42578125" customWidth="1"/>
    <col min="6" max="6" width="37.7109375" customWidth="1"/>
    <col min="9" max="9" width="16.5703125" customWidth="1"/>
    <col min="10" max="11" width="9.28515625" customWidth="1"/>
    <col min="12" max="12" width="10" customWidth="1"/>
    <col min="13" max="15" width="16.7109375" customWidth="1"/>
    <col min="16" max="16" width="11.85546875" customWidth="1"/>
    <col min="17" max="17" width="14.42578125" customWidth="1"/>
    <col min="18" max="18" width="7.42578125" customWidth="1"/>
    <col min="20" max="20" width="9.7109375" customWidth="1"/>
  </cols>
  <sheetData>
    <row r="1" spans="1:5" x14ac:dyDescent="0.25">
      <c r="A1" s="8" t="s">
        <v>8</v>
      </c>
      <c r="B1" s="8" t="s">
        <v>91</v>
      </c>
      <c r="C1" s="8" t="s">
        <v>132</v>
      </c>
    </row>
    <row r="2" spans="1:5" x14ac:dyDescent="0.25">
      <c r="A2" s="7">
        <v>41209</v>
      </c>
      <c r="B2" s="113">
        <v>306</v>
      </c>
      <c r="C2" s="6">
        <f>YEAR(A2)</f>
        <v>2012</v>
      </c>
      <c r="D2" t="s">
        <v>1698</v>
      </c>
    </row>
    <row r="3" spans="1:5" x14ac:dyDescent="0.25">
      <c r="A3" s="7">
        <v>40579</v>
      </c>
      <c r="B3" s="113">
        <v>530</v>
      </c>
      <c r="C3" s="6">
        <f>YEAR(A3)</f>
        <v>2011</v>
      </c>
    </row>
    <row r="4" spans="1:5" x14ac:dyDescent="0.25">
      <c r="A4" s="7">
        <v>40357</v>
      </c>
      <c r="B4" s="113">
        <v>167</v>
      </c>
      <c r="C4" s="6">
        <f>YEAR(A4)</f>
        <v>2010</v>
      </c>
    </row>
    <row r="5" spans="1:5" x14ac:dyDescent="0.25">
      <c r="A5" s="7">
        <v>41212</v>
      </c>
      <c r="B5" s="113">
        <v>639</v>
      </c>
      <c r="C5" s="6">
        <f>YEAR(A5)</f>
        <v>2012</v>
      </c>
      <c r="E5" s="26" t="s">
        <v>510</v>
      </c>
    </row>
    <row r="6" spans="1:5" x14ac:dyDescent="0.25">
      <c r="A6" s="7">
        <v>40507</v>
      </c>
      <c r="B6" s="113">
        <v>635</v>
      </c>
      <c r="C6" s="6">
        <f>YEAR(A6)</f>
        <v>2010</v>
      </c>
      <c r="E6" s="5">
        <v>2012</v>
      </c>
    </row>
    <row r="7" spans="1:5" ht="2.25" customHeight="1" x14ac:dyDescent="0.25"/>
    <row r="8" spans="1:5" x14ac:dyDescent="0.25">
      <c r="A8" s="8" t="s">
        <v>51</v>
      </c>
    </row>
    <row r="9" spans="1:5" x14ac:dyDescent="0.25">
      <c r="A9" s="6">
        <f>SUMIFS(B2:B6,A2:A6,"&gt;=1/1/"&amp;E6,A2:A6,"&lt;=12/31/"&amp;E6)</f>
        <v>945</v>
      </c>
      <c r="B9" t="s">
        <v>1699</v>
      </c>
    </row>
    <row r="10" spans="1:5" x14ac:dyDescent="0.25">
      <c r="A10" s="6">
        <f>SUMIF(A2:A6,"&lt;=12/31/"&amp;E6,B2:B6)-SUMIF(A2:A6,"&lt;1/1/"&amp;E6,B2:B6)</f>
        <v>945</v>
      </c>
      <c r="B10" t="s">
        <v>1700</v>
      </c>
    </row>
    <row r="11" spans="1:5" x14ac:dyDescent="0.25">
      <c r="A11" s="6">
        <f>SUMIFS(B2:B6,C2:C6,E6)</f>
        <v>945</v>
      </c>
      <c r="B11" t="s">
        <v>1701</v>
      </c>
    </row>
    <row r="12" spans="1:5" x14ac:dyDescent="0.25">
      <c r="A12" s="6">
        <f>SUMIF(C2:C6,E6,B2:B6)</f>
        <v>945</v>
      </c>
      <c r="B12" t="s">
        <v>1702</v>
      </c>
    </row>
    <row r="13" spans="1:5" x14ac:dyDescent="0.25">
      <c r="A13" s="6">
        <f>SUMPRODUCT(--(YEAR(A2:A6)=E6),B2:B6)</f>
        <v>945</v>
      </c>
      <c r="B13" t="s">
        <v>1703</v>
      </c>
    </row>
    <row r="14" spans="1:5" x14ac:dyDescent="0.25">
      <c r="A14" s="6">
        <f t="array" ref="A14">SUM(IF(YEAR(A2:A6)=E6,B2:B6))</f>
        <v>945</v>
      </c>
      <c r="B14" t="s">
        <v>1704</v>
      </c>
    </row>
  </sheetData>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6">
    <tabColor rgb="FF0000FF"/>
  </sheetPr>
  <dimension ref="A1:D4"/>
  <sheetViews>
    <sheetView zoomScale="160" zoomScaleNormal="160" workbookViewId="0">
      <selection activeCell="E3" sqref="E3"/>
    </sheetView>
  </sheetViews>
  <sheetFormatPr defaultRowHeight="15" x14ac:dyDescent="0.25"/>
  <cols>
    <col min="2" max="2" width="3.140625" customWidth="1"/>
    <col min="4" max="4" width="22" customWidth="1"/>
  </cols>
  <sheetData>
    <row r="1" spans="1:4" x14ac:dyDescent="0.25">
      <c r="A1" s="8" t="s">
        <v>515</v>
      </c>
      <c r="C1" s="8" t="s">
        <v>51</v>
      </c>
    </row>
    <row r="2" spans="1:4" x14ac:dyDescent="0.25">
      <c r="A2" s="5">
        <v>2</v>
      </c>
      <c r="C2" s="6">
        <f>SUM(A2:A4)</f>
        <v>9</v>
      </c>
      <c r="D2" t="s">
        <v>1705</v>
      </c>
    </row>
    <row r="3" spans="1:4" x14ac:dyDescent="0.25">
      <c r="A3" s="5">
        <v>3</v>
      </c>
    </row>
    <row r="4" spans="1:4" x14ac:dyDescent="0.25">
      <c r="A4" s="5">
        <v>4</v>
      </c>
    </row>
  </sheetData>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7">
    <tabColor rgb="FF0000FF"/>
  </sheetPr>
  <dimension ref="A1:D5"/>
  <sheetViews>
    <sheetView zoomScale="160" zoomScaleNormal="160" workbookViewId="0">
      <selection activeCell="E3" sqref="E3"/>
    </sheetView>
  </sheetViews>
  <sheetFormatPr defaultRowHeight="15" x14ac:dyDescent="0.25"/>
  <cols>
    <col min="2" max="2" width="3.140625" customWidth="1"/>
    <col min="4" max="4" width="22" customWidth="1"/>
  </cols>
  <sheetData>
    <row r="1" spans="1:4" x14ac:dyDescent="0.25">
      <c r="A1" s="8" t="s">
        <v>515</v>
      </c>
      <c r="C1" s="8" t="s">
        <v>51</v>
      </c>
    </row>
    <row r="2" spans="1:4" x14ac:dyDescent="0.25">
      <c r="A2" s="5">
        <v>2</v>
      </c>
      <c r="C2" s="6">
        <f>SUM(A2:A5)</f>
        <v>19</v>
      </c>
      <c r="D2" t="s">
        <v>1706</v>
      </c>
    </row>
    <row r="3" spans="1:4" x14ac:dyDescent="0.25">
      <c r="A3" s="5">
        <v>3</v>
      </c>
    </row>
    <row r="4" spans="1:4" x14ac:dyDescent="0.25">
      <c r="A4" s="5">
        <v>5</v>
      </c>
    </row>
    <row r="5" spans="1:4" x14ac:dyDescent="0.25">
      <c r="A5" s="5">
        <v>9</v>
      </c>
    </row>
  </sheetData>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8">
    <tabColor rgb="FF0000FF"/>
  </sheetPr>
  <dimension ref="A1:J8"/>
  <sheetViews>
    <sheetView zoomScale="160" zoomScaleNormal="160" workbookViewId="0">
      <selection activeCell="E3" sqref="E3"/>
    </sheetView>
  </sheetViews>
  <sheetFormatPr defaultRowHeight="15" x14ac:dyDescent="0.25"/>
  <cols>
    <col min="4" max="4" width="3.28515625" customWidth="1"/>
    <col min="6" max="6" width="20.5703125" customWidth="1"/>
  </cols>
  <sheetData>
    <row r="1" spans="1:10" ht="30" x14ac:dyDescent="0.25">
      <c r="A1" s="8" t="s">
        <v>523</v>
      </c>
      <c r="B1" s="8" t="s">
        <v>522</v>
      </c>
      <c r="C1" s="28" t="s">
        <v>521</v>
      </c>
      <c r="E1" s="26" t="s">
        <v>520</v>
      </c>
    </row>
    <row r="2" spans="1:10" x14ac:dyDescent="0.25">
      <c r="A2" s="5" t="s">
        <v>519</v>
      </c>
      <c r="B2" s="5">
        <v>3.8</v>
      </c>
      <c r="C2" s="6" t="str">
        <f>IF(A3&lt;&gt;"",COUNTIF(INDEX($B$1:B2,MATCH("Ω",$A$1:A2)):B2,"&gt;"&amp;$E$2),"")</f>
        <v/>
      </c>
      <c r="E2" s="5">
        <v>2.5</v>
      </c>
    </row>
    <row r="3" spans="1:10" x14ac:dyDescent="0.25">
      <c r="A3" s="5"/>
      <c r="B3" s="5">
        <v>3.6</v>
      </c>
      <c r="C3" s="6" t="str">
        <f>IF(A4&lt;&gt;"",COUNTIF(INDEX($B$1:B3,MATCH("Ω",$A$1:A3)):B3,"&gt;"&amp;$E$2),"")</f>
        <v/>
      </c>
    </row>
    <row r="4" spans="1:10" x14ac:dyDescent="0.25">
      <c r="A4" s="5"/>
      <c r="B4" s="5">
        <v>2.2999999999999998</v>
      </c>
      <c r="C4" s="6" t="str">
        <f>IF(A5&lt;&gt;"",COUNTIF(INDEX($B$1:B4,MATCH("Ω",$A$1:A4)):B4,"&gt;"&amp;$E$2),"")</f>
        <v/>
      </c>
      <c r="J4" t="s">
        <v>518</v>
      </c>
    </row>
    <row r="5" spans="1:10" x14ac:dyDescent="0.25">
      <c r="A5" s="5"/>
      <c r="B5" s="5">
        <v>2.6</v>
      </c>
      <c r="C5" s="6">
        <f>IF(A6&lt;&gt;"",COUNTIF(INDEX($B$1:B5,MATCH("Ω",$A$1:A5)):B5,"&gt;"&amp;$E$2),"")</f>
        <v>3</v>
      </c>
      <c r="I5" s="6">
        <f>COUNTIF(B2:B5,"&gt;"&amp;E$2)</f>
        <v>3</v>
      </c>
      <c r="J5" t="s">
        <v>1707</v>
      </c>
    </row>
    <row r="6" spans="1:10" x14ac:dyDescent="0.25">
      <c r="A6" s="5" t="s">
        <v>517</v>
      </c>
      <c r="B6" s="5">
        <v>2.1</v>
      </c>
      <c r="C6" s="6" t="str">
        <f>IF(A7&lt;&gt;"",COUNTIF(INDEX($B$1:B6,MATCH("Ω",$A$1:A6)):B6,"&gt;"&amp;$E$2),"")</f>
        <v/>
      </c>
    </row>
    <row r="7" spans="1:10" x14ac:dyDescent="0.25">
      <c r="A7" s="5"/>
      <c r="B7" s="5">
        <v>2.9</v>
      </c>
      <c r="C7" s="6">
        <f>IF(A8&lt;&gt;"",COUNTIF(INDEX($B$1:B7,MATCH("Ω",$A$1:A7)):B7,"&gt;"&amp;$E$2),"")</f>
        <v>1</v>
      </c>
      <c r="I7" s="6">
        <f>COUNTIF(B6:B7,"&gt;"&amp;E$2)</f>
        <v>1</v>
      </c>
      <c r="J7" t="s">
        <v>1708</v>
      </c>
    </row>
    <row r="8" spans="1:10" x14ac:dyDescent="0.25">
      <c r="A8" s="5" t="s">
        <v>516</v>
      </c>
      <c r="B8" s="6">
        <f>AVERAGE(B2:B7)</f>
        <v>2.8833333333333329</v>
      </c>
    </row>
  </sheetData>
  <sortState ref="F14:F20">
    <sortCondition ref="F14"/>
  </sortState>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9">
    <tabColor rgb="FF0000FF"/>
  </sheetPr>
  <dimension ref="A1:I21"/>
  <sheetViews>
    <sheetView zoomScale="160" zoomScaleNormal="160" workbookViewId="0">
      <selection activeCell="E3" sqref="E3"/>
    </sheetView>
  </sheetViews>
  <sheetFormatPr defaultRowHeight="15" x14ac:dyDescent="0.25"/>
  <cols>
    <col min="1" max="5" width="4.42578125" customWidth="1"/>
    <col min="6" max="6" width="1.5703125" customWidth="1"/>
    <col min="9" max="9" width="42.5703125" customWidth="1"/>
  </cols>
  <sheetData>
    <row r="1" spans="1:9" x14ac:dyDescent="0.25">
      <c r="A1" s="51" t="str">
        <f>"Lookup entire column. "&amp;G3&amp;" = "&amp;INDEX(A3:C6,1,MATCH(G3,A2:C2,0))&amp;", "&amp;INDEX(A3:C6,2,MATCH(G3,A2:C2,0))&amp;", "&amp;INDEX(A3:C6,3,MATCH(G3,A2:C2,0))&amp;", "&amp;INDEX(A3:C6,4,MATCH(G3,A2:C2,0))&amp;"."</f>
        <v>Lookup entire column. Feb = 1, 5, 3, 2.</v>
      </c>
      <c r="B1" s="103"/>
      <c r="C1" s="103"/>
      <c r="D1" s="103"/>
      <c r="E1" s="103"/>
      <c r="F1" s="103"/>
      <c r="G1" s="103"/>
      <c r="H1" s="47"/>
    </row>
    <row r="2" spans="1:9" x14ac:dyDescent="0.25">
      <c r="A2" s="4" t="s">
        <v>524</v>
      </c>
      <c r="B2" s="4" t="s">
        <v>525</v>
      </c>
      <c r="C2" s="4" t="s">
        <v>526</v>
      </c>
      <c r="G2" s="4" t="s">
        <v>513</v>
      </c>
      <c r="H2" s="4" t="s">
        <v>15</v>
      </c>
    </row>
    <row r="3" spans="1:9" x14ac:dyDescent="0.25">
      <c r="A3" s="5">
        <v>2</v>
      </c>
      <c r="B3" s="5">
        <v>1</v>
      </c>
      <c r="C3" s="5">
        <v>2</v>
      </c>
      <c r="G3" s="5" t="s">
        <v>525</v>
      </c>
      <c r="H3" s="6">
        <f>SUM(INDEX(A3:C6,,MATCH(G3,A2:C2,0)))</f>
        <v>11</v>
      </c>
      <c r="I3" t="s">
        <v>1709</v>
      </c>
    </row>
    <row r="4" spans="1:9" x14ac:dyDescent="0.25">
      <c r="A4" s="5">
        <v>5</v>
      </c>
      <c r="B4" s="5">
        <v>5</v>
      </c>
      <c r="C4" s="5">
        <v>2</v>
      </c>
      <c r="G4" s="5" t="str">
        <f>G3</f>
        <v>Feb</v>
      </c>
      <c r="H4" s="6">
        <f>SUM(INDEX(A3:C6,0,MATCH(G3,A2:C2,0)))</f>
        <v>11</v>
      </c>
      <c r="I4" t="s">
        <v>1710</v>
      </c>
    </row>
    <row r="5" spans="1:9" x14ac:dyDescent="0.25">
      <c r="A5" s="5">
        <v>2</v>
      </c>
      <c r="B5" s="5">
        <v>3</v>
      </c>
      <c r="C5" s="5">
        <v>5</v>
      </c>
    </row>
    <row r="6" spans="1:9" x14ac:dyDescent="0.25">
      <c r="A6" s="5">
        <v>4</v>
      </c>
      <c r="B6" s="5">
        <v>2</v>
      </c>
      <c r="C6" s="5">
        <v>4</v>
      </c>
    </row>
    <row r="8" spans="1:9" x14ac:dyDescent="0.25">
      <c r="A8" s="51" t="str">
        <f>"Lookup the entire row. "&amp;G10&amp;" = "&amp;INDEX(B9:E11,MATCH(G10,A9:A11,0),1)&amp;", "&amp;INDEX(B9:E11,MATCH(G10,A9:A11,0),2)&amp;", "&amp;INDEX(B9:E11,MATCH(G10,A9:A11,0),3)&amp;", "&amp;INDEX(B9:E11,MATCH(G10,A9:A11,0),4)&amp;"."</f>
        <v>Lookup the entire row. Feb = 1, 5, 3, 2.</v>
      </c>
      <c r="B8" s="103"/>
      <c r="C8" s="103"/>
      <c r="D8" s="103"/>
      <c r="E8" s="103"/>
      <c r="F8" s="103"/>
      <c r="G8" s="103"/>
      <c r="H8" s="47"/>
    </row>
    <row r="9" spans="1:9" x14ac:dyDescent="0.25">
      <c r="A9" s="8" t="s">
        <v>524</v>
      </c>
      <c r="B9" s="5">
        <v>2</v>
      </c>
      <c r="C9" s="5">
        <v>5</v>
      </c>
      <c r="D9" s="5">
        <v>2</v>
      </c>
      <c r="E9" s="5">
        <v>4</v>
      </c>
      <c r="G9" s="8" t="s">
        <v>513</v>
      </c>
      <c r="H9" s="8" t="s">
        <v>15</v>
      </c>
    </row>
    <row r="10" spans="1:9" x14ac:dyDescent="0.25">
      <c r="A10" s="8" t="s">
        <v>525</v>
      </c>
      <c r="B10" s="5">
        <v>1</v>
      </c>
      <c r="C10" s="5">
        <v>5</v>
      </c>
      <c r="D10" s="5">
        <v>3</v>
      </c>
      <c r="E10" s="5">
        <v>2</v>
      </c>
      <c r="G10" s="5" t="str">
        <f>G4</f>
        <v>Feb</v>
      </c>
      <c r="H10" s="6">
        <f>SUM(INDEX(B9:E11,MATCH(G10,A9:A11,0),))</f>
        <v>11</v>
      </c>
      <c r="I10" t="s">
        <v>1711</v>
      </c>
    </row>
    <row r="11" spans="1:9" x14ac:dyDescent="0.25">
      <c r="A11" s="8" t="s">
        <v>526</v>
      </c>
      <c r="B11" s="5">
        <v>2</v>
      </c>
      <c r="C11" s="5">
        <v>2</v>
      </c>
      <c r="D11" s="5">
        <v>5</v>
      </c>
      <c r="E11" s="5">
        <v>4</v>
      </c>
      <c r="G11" s="5" t="str">
        <f>G10</f>
        <v>Feb</v>
      </c>
      <c r="H11" s="6">
        <f>SUM(INDEX(B9:E11,MATCH(G10,A9:A11,0),0))</f>
        <v>11</v>
      </c>
      <c r="I11" t="s">
        <v>1712</v>
      </c>
    </row>
    <row r="17" spans="1:9" x14ac:dyDescent="0.25">
      <c r="A17" s="20" t="s">
        <v>528</v>
      </c>
      <c r="B17" s="17"/>
      <c r="C17" s="17"/>
      <c r="D17" s="17"/>
      <c r="E17" s="17"/>
      <c r="F17" s="17"/>
      <c r="G17" s="17"/>
      <c r="H17" s="17"/>
      <c r="I17" s="18"/>
    </row>
    <row r="19" spans="1:9" x14ac:dyDescent="0.25">
      <c r="A19" s="149" t="s">
        <v>527</v>
      </c>
      <c r="B19" s="141"/>
      <c r="C19" s="141"/>
      <c r="D19" s="141"/>
      <c r="E19" s="141"/>
      <c r="F19" s="141"/>
      <c r="G19" s="141"/>
      <c r="H19" s="141"/>
      <c r="I19" s="142"/>
    </row>
    <row r="20" spans="1:9" x14ac:dyDescent="0.25">
      <c r="A20" s="143" t="s">
        <v>529</v>
      </c>
      <c r="B20" s="144"/>
      <c r="C20" s="144"/>
      <c r="D20" s="144"/>
      <c r="E20" s="144"/>
      <c r="F20" s="144"/>
      <c r="G20" s="144"/>
      <c r="H20" s="144"/>
      <c r="I20" s="145"/>
    </row>
    <row r="21" spans="1:9" x14ac:dyDescent="0.25">
      <c r="A21" s="146" t="s">
        <v>530</v>
      </c>
      <c r="B21" s="147"/>
      <c r="C21" s="147"/>
      <c r="D21" s="147"/>
      <c r="E21" s="147"/>
      <c r="F21" s="147"/>
      <c r="G21" s="147"/>
      <c r="H21" s="147"/>
      <c r="I21" s="148"/>
    </row>
  </sheetData>
  <dataValidations count="1">
    <dataValidation type="list" allowBlank="1" showInputMessage="1" showErrorMessage="1" sqref="G3 G10">
      <formula1>$A$2:$C$2</formula1>
    </dataValidation>
  </dataValidations>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0">
    <tabColor rgb="FF0000FF"/>
  </sheetPr>
  <dimension ref="A1:I11"/>
  <sheetViews>
    <sheetView zoomScale="160" zoomScaleNormal="160" workbookViewId="0">
      <selection activeCell="E3" sqref="E3"/>
    </sheetView>
  </sheetViews>
  <sheetFormatPr defaultRowHeight="15" x14ac:dyDescent="0.25"/>
  <cols>
    <col min="1" max="5" width="4.42578125" customWidth="1"/>
    <col min="6" max="6" width="1.5703125" customWidth="1"/>
    <col min="9" max="9" width="42.5703125" customWidth="1"/>
  </cols>
  <sheetData>
    <row r="1" spans="1:9" x14ac:dyDescent="0.25">
      <c r="A1" s="51" t="str">
        <f>"Lookup entire column. "&amp;G3&amp;" = "&amp;INDEX(A3:C6,1,MATCH(G3,A2:C2,0))&amp;", "&amp;INDEX(A3:C6,2,MATCH(G3,A2:C2,0))&amp;", "&amp;INDEX(A3:C6,3,MATCH(G3,A2:C2,0))&amp;", "&amp;INDEX(A3:C6,4,MATCH(G3,A2:C2,0))&amp;"."</f>
        <v>Lookup entire column. Mar = 2, 2, 5, 4.</v>
      </c>
      <c r="B1" s="103"/>
      <c r="C1" s="103"/>
      <c r="D1" s="103"/>
      <c r="E1" s="103"/>
      <c r="F1" s="103"/>
      <c r="G1" s="103"/>
      <c r="H1" s="47"/>
    </row>
    <row r="2" spans="1:9" x14ac:dyDescent="0.25">
      <c r="A2" s="4" t="s">
        <v>524</v>
      </c>
      <c r="B2" s="4" t="s">
        <v>525</v>
      </c>
      <c r="C2" s="4" t="s">
        <v>526</v>
      </c>
      <c r="G2" s="4" t="s">
        <v>513</v>
      </c>
      <c r="H2" s="4" t="s">
        <v>15</v>
      </c>
    </row>
    <row r="3" spans="1:9" x14ac:dyDescent="0.25">
      <c r="A3" s="5">
        <v>2</v>
      </c>
      <c r="B3" s="5">
        <v>1</v>
      </c>
      <c r="C3" s="5">
        <v>2</v>
      </c>
      <c r="G3" s="5" t="s">
        <v>526</v>
      </c>
      <c r="H3" s="6">
        <f>SUM(INDEX(A3:C6,,MATCH(G3,A2:C2,0)))</f>
        <v>13</v>
      </c>
      <c r="I3" t="s">
        <v>1709</v>
      </c>
    </row>
    <row r="4" spans="1:9" x14ac:dyDescent="0.25">
      <c r="A4" s="5">
        <v>5</v>
      </c>
      <c r="B4" s="5">
        <v>5</v>
      </c>
      <c r="C4" s="5">
        <v>2</v>
      </c>
      <c r="G4" s="5" t="str">
        <f>G3</f>
        <v>Mar</v>
      </c>
      <c r="H4" s="6">
        <f>SUM(INDEX(A3:C6,0,MATCH(G3,A2:C2,0)))</f>
        <v>13</v>
      </c>
      <c r="I4" t="s">
        <v>1710</v>
      </c>
    </row>
    <row r="5" spans="1:9" x14ac:dyDescent="0.25">
      <c r="A5" s="5">
        <v>2</v>
      </c>
      <c r="B5" s="5">
        <v>3</v>
      </c>
      <c r="C5" s="5">
        <v>5</v>
      </c>
    </row>
    <row r="6" spans="1:9" x14ac:dyDescent="0.25">
      <c r="A6" s="5">
        <v>4</v>
      </c>
      <c r="B6" s="5">
        <v>2</v>
      </c>
      <c r="C6" s="5">
        <v>4</v>
      </c>
    </row>
    <row r="7" spans="1:9" ht="6" customHeight="1" x14ac:dyDescent="0.25"/>
    <row r="8" spans="1:9" x14ac:dyDescent="0.25">
      <c r="A8" s="51" t="str">
        <f>"Lookup the entire row. "&amp;G10&amp;" = "&amp;INDEX(B9:E11,MATCH(G10,A9:A11,0),1)&amp;", "&amp;INDEX(B9:E11,MATCH(G10,A9:A11,0),2)&amp;", "&amp;INDEX(B9:E11,MATCH(G10,A9:A11,0),3)&amp;", "&amp;INDEX(B9:E11,MATCH(G10,A9:A11,0),4)&amp;"."</f>
        <v>Lookup the entire row. Mar = 2, 2, 5, 4.</v>
      </c>
      <c r="B8" s="103"/>
      <c r="C8" s="103"/>
      <c r="D8" s="103"/>
      <c r="E8" s="103"/>
      <c r="F8" s="103"/>
      <c r="G8" s="103"/>
      <c r="H8" s="47"/>
    </row>
    <row r="9" spans="1:9" x14ac:dyDescent="0.25">
      <c r="A9" s="8" t="s">
        <v>524</v>
      </c>
      <c r="B9" s="5">
        <v>2</v>
      </c>
      <c r="C9" s="5">
        <v>5</v>
      </c>
      <c r="D9" s="5">
        <v>2</v>
      </c>
      <c r="E9" s="5">
        <v>4</v>
      </c>
      <c r="G9" s="8" t="s">
        <v>513</v>
      </c>
      <c r="H9" s="8" t="s">
        <v>15</v>
      </c>
    </row>
    <row r="10" spans="1:9" x14ac:dyDescent="0.25">
      <c r="A10" s="8" t="s">
        <v>525</v>
      </c>
      <c r="B10" s="5">
        <v>1</v>
      </c>
      <c r="C10" s="5">
        <v>5</v>
      </c>
      <c r="D10" s="5">
        <v>3</v>
      </c>
      <c r="E10" s="5">
        <v>2</v>
      </c>
      <c r="G10" s="5" t="str">
        <f>G4</f>
        <v>Mar</v>
      </c>
      <c r="H10" s="6">
        <f>SUM(INDEX(B9:E11,MATCH(G10,A9:A11,0),))</f>
        <v>13</v>
      </c>
      <c r="I10" t="s">
        <v>1711</v>
      </c>
    </row>
    <row r="11" spans="1:9" x14ac:dyDescent="0.25">
      <c r="A11" s="8" t="s">
        <v>526</v>
      </c>
      <c r="B11" s="5">
        <v>2</v>
      </c>
      <c r="C11" s="5">
        <v>2</v>
      </c>
      <c r="D11" s="5">
        <v>5</v>
      </c>
      <c r="E11" s="5">
        <v>4</v>
      </c>
      <c r="G11" s="5" t="str">
        <f>G10</f>
        <v>Mar</v>
      </c>
      <c r="H11" s="6">
        <f>SUM(INDEX(B9:E11,MATCH(G10,A9:A11,0),0))</f>
        <v>13</v>
      </c>
      <c r="I11" t="s">
        <v>1712</v>
      </c>
    </row>
  </sheetData>
  <dataValidations count="1">
    <dataValidation type="list" allowBlank="1" showInputMessage="1" showErrorMessage="1" sqref="G3 G10">
      <formula1>$A$2:$C$2</formula1>
    </dataValidation>
  </dataValidations>
  <pageMargins left="0.7" right="0.7" top="0.75" bottom="0.75" header="0.3" footer="0.3"/>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1">
    <tabColor rgb="FF0000FF"/>
  </sheetPr>
  <dimension ref="A1:D21"/>
  <sheetViews>
    <sheetView zoomScale="160" zoomScaleNormal="160" workbookViewId="0">
      <selection activeCell="E3" sqref="E3"/>
    </sheetView>
  </sheetViews>
  <sheetFormatPr defaultRowHeight="15" x14ac:dyDescent="0.25"/>
  <cols>
    <col min="1" max="1" width="18.28515625" customWidth="1"/>
    <col min="2" max="2" width="29.42578125" customWidth="1"/>
    <col min="3" max="3" width="17.5703125" customWidth="1"/>
    <col min="4" max="4" width="40.7109375" customWidth="1"/>
    <col min="5" max="5" width="15.28515625" customWidth="1"/>
    <col min="6" max="6" width="30.85546875" bestFit="1" customWidth="1"/>
    <col min="7" max="7" width="15.28515625" customWidth="1"/>
    <col min="8" max="8" width="29" bestFit="1" customWidth="1"/>
  </cols>
  <sheetData>
    <row r="1" spans="1:4" x14ac:dyDescent="0.25">
      <c r="A1" s="8" t="s">
        <v>545</v>
      </c>
      <c r="B1" t="s">
        <v>540</v>
      </c>
      <c r="C1" s="8" t="s">
        <v>546</v>
      </c>
      <c r="D1" t="s">
        <v>539</v>
      </c>
    </row>
    <row r="2" spans="1:4" x14ac:dyDescent="0.25">
      <c r="A2" s="6">
        <f>COUNTA(A5:A10)</f>
        <v>5</v>
      </c>
      <c r="B2" t="s">
        <v>1713</v>
      </c>
      <c r="C2" s="6">
        <f>MATCH(9.99999999999999E+307,C5:C10)</f>
        <v>4</v>
      </c>
      <c r="D2" t="s">
        <v>1715</v>
      </c>
    </row>
    <row r="3" spans="1:4" x14ac:dyDescent="0.25">
      <c r="C3" s="6">
        <f>MATCH(100,C5:C10)</f>
        <v>4</v>
      </c>
      <c r="D3" t="s">
        <v>1716</v>
      </c>
    </row>
    <row r="4" spans="1:4" x14ac:dyDescent="0.25">
      <c r="A4" s="8" t="s">
        <v>531</v>
      </c>
      <c r="C4" s="8" t="s">
        <v>515</v>
      </c>
    </row>
    <row r="5" spans="1:4" x14ac:dyDescent="0.25">
      <c r="A5" s="5" t="s">
        <v>532</v>
      </c>
      <c r="C5" s="5">
        <v>43</v>
      </c>
    </row>
    <row r="6" spans="1:4" x14ac:dyDescent="0.25">
      <c r="A6" s="5" t="e">
        <f>1/0</f>
        <v>#DIV/0!</v>
      </c>
      <c r="C6" s="5"/>
    </row>
    <row r="7" spans="1:4" x14ac:dyDescent="0.25">
      <c r="A7" s="5">
        <v>43</v>
      </c>
      <c r="C7" s="5">
        <v>56</v>
      </c>
    </row>
    <row r="8" spans="1:4" x14ac:dyDescent="0.25">
      <c r="A8" s="5" t="b">
        <v>1</v>
      </c>
      <c r="C8" s="5">
        <v>2</v>
      </c>
    </row>
    <row r="9" spans="1:4" x14ac:dyDescent="0.25">
      <c r="A9" s="5">
        <v>34</v>
      </c>
      <c r="C9" s="5"/>
    </row>
    <row r="10" spans="1:4" x14ac:dyDescent="0.25">
      <c r="A10" s="5"/>
      <c r="C10" s="5"/>
    </row>
    <row r="12" spans="1:4" ht="30" x14ac:dyDescent="0.25">
      <c r="A12" s="8" t="s">
        <v>545</v>
      </c>
      <c r="B12" s="40" t="s">
        <v>542</v>
      </c>
      <c r="C12" s="8" t="s">
        <v>547</v>
      </c>
      <c r="D12" t="s">
        <v>541</v>
      </c>
    </row>
    <row r="13" spans="1:4" x14ac:dyDescent="0.25">
      <c r="A13" s="6">
        <f t="array" ref="A13">MATCH(2,1/(A16:A21&lt;&gt;""))</f>
        <v>5</v>
      </c>
      <c r="B13" t="s">
        <v>1714</v>
      </c>
      <c r="C13" s="6">
        <f>MATCH("Ω",C16:C21)</f>
        <v>6</v>
      </c>
      <c r="D13" t="s">
        <v>1717</v>
      </c>
    </row>
    <row r="14" spans="1:4" x14ac:dyDescent="0.25">
      <c r="C14" s="6">
        <f>MATCH(REPT("z",255),C16:C21)</f>
        <v>5</v>
      </c>
      <c r="D14" t="s">
        <v>1718</v>
      </c>
    </row>
    <row r="15" spans="1:4" x14ac:dyDescent="0.25">
      <c r="A15" s="8" t="s">
        <v>538</v>
      </c>
      <c r="C15" s="8" t="s">
        <v>537</v>
      </c>
    </row>
    <row r="16" spans="1:4" x14ac:dyDescent="0.25">
      <c r="A16" s="5" t="e">
        <f>1/0</f>
        <v>#DIV/0!</v>
      </c>
      <c r="C16" s="5" t="s">
        <v>533</v>
      </c>
    </row>
    <row r="17" spans="1:3" x14ac:dyDescent="0.25">
      <c r="A17" s="5">
        <v>43</v>
      </c>
      <c r="C17" s="5" t="s">
        <v>534</v>
      </c>
    </row>
    <row r="18" spans="1:3" x14ac:dyDescent="0.25">
      <c r="A18" s="5"/>
      <c r="C18" s="5" t="s">
        <v>535</v>
      </c>
    </row>
    <row r="19" spans="1:3" x14ac:dyDescent="0.25">
      <c r="A19" s="5" t="b">
        <v>1</v>
      </c>
      <c r="C19" s="5"/>
    </row>
    <row r="20" spans="1:3" x14ac:dyDescent="0.25">
      <c r="A20" s="5" t="s">
        <v>536</v>
      </c>
      <c r="C20" s="5" t="s">
        <v>544</v>
      </c>
    </row>
    <row r="21" spans="1:3" x14ac:dyDescent="0.25">
      <c r="A21" s="5"/>
      <c r="C21" s="5" t="s">
        <v>543</v>
      </c>
    </row>
  </sheetData>
  <pageMargins left="0.7" right="0.7" top="0.75" bottom="0.75" header="0.3" footer="0.3"/>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2">
    <tabColor rgb="FF0000FF"/>
  </sheetPr>
  <dimension ref="A1:G3"/>
  <sheetViews>
    <sheetView zoomScale="160" zoomScaleNormal="160" workbookViewId="0">
      <selection activeCell="E3" sqref="E3"/>
    </sheetView>
  </sheetViews>
  <sheetFormatPr defaultRowHeight="15" x14ac:dyDescent="0.25"/>
  <cols>
    <col min="1" max="1" width="18.28515625" bestFit="1" customWidth="1"/>
    <col min="2" max="2" width="4.140625" customWidth="1"/>
    <col min="3" max="7" width="5.28515625" customWidth="1"/>
  </cols>
  <sheetData>
    <row r="1" spans="1:7" x14ac:dyDescent="0.25">
      <c r="A1" s="8" t="s">
        <v>515</v>
      </c>
      <c r="B1" s="5">
        <v>43</v>
      </c>
      <c r="C1" s="5">
        <v>5</v>
      </c>
      <c r="D1" s="5"/>
      <c r="E1" s="5">
        <v>12</v>
      </c>
      <c r="F1" s="5"/>
      <c r="G1" s="5"/>
    </row>
    <row r="3" spans="1:7" x14ac:dyDescent="0.25">
      <c r="A3" s="8" t="s">
        <v>546</v>
      </c>
      <c r="B3" s="6">
        <f>MATCH(9.9E+307,B1:G1)</f>
        <v>4</v>
      </c>
      <c r="C3" t="s">
        <v>1719</v>
      </c>
    </row>
  </sheetData>
  <pageMargins left="0.7" right="0.7" top="0.75" bottom="0.75" header="0.3" footer="0.3"/>
  <pageSetup orientation="portrait" r:id="rId1"/>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3">
    <tabColor rgb="FF0000FF"/>
  </sheetPr>
  <dimension ref="A1:F8"/>
  <sheetViews>
    <sheetView zoomScale="160" zoomScaleNormal="160" workbookViewId="0">
      <selection activeCell="E3" sqref="E3"/>
    </sheetView>
  </sheetViews>
  <sheetFormatPr defaultRowHeight="15" x14ac:dyDescent="0.25"/>
  <cols>
    <col min="1" max="1" width="10.140625" bestFit="1" customWidth="1"/>
    <col min="2" max="2" width="7" bestFit="1" customWidth="1"/>
    <col min="3" max="3" width="6.28515625" bestFit="1" customWidth="1"/>
    <col min="4" max="4" width="2.5703125" customWidth="1"/>
    <col min="5" max="5" width="13.7109375" bestFit="1" customWidth="1"/>
    <col min="6" max="6" width="45.7109375" bestFit="1" customWidth="1"/>
  </cols>
  <sheetData>
    <row r="1" spans="1:6" x14ac:dyDescent="0.25">
      <c r="A1" s="8" t="s">
        <v>548</v>
      </c>
      <c r="B1" s="8" t="s">
        <v>549</v>
      </c>
      <c r="C1" s="8" t="s">
        <v>11</v>
      </c>
      <c r="E1" s="153" t="s">
        <v>554</v>
      </c>
    </row>
    <row r="2" spans="1:6" x14ac:dyDescent="0.25">
      <c r="A2" s="5" t="s">
        <v>550</v>
      </c>
      <c r="B2" s="150">
        <v>6.5</v>
      </c>
      <c r="C2" s="151">
        <v>0.12</v>
      </c>
      <c r="E2" s="85">
        <f>INDEX($C$2:$C$8,MATCH(9.9E+307,$C$2:$C$8))</f>
        <v>0.65</v>
      </c>
      <c r="F2" t="s">
        <v>1720</v>
      </c>
    </row>
    <row r="3" spans="1:6" x14ac:dyDescent="0.25">
      <c r="A3" s="5" t="s">
        <v>551</v>
      </c>
      <c r="B3" s="150">
        <v>4.25</v>
      </c>
      <c r="C3" s="151">
        <v>0.09</v>
      </c>
      <c r="E3" s="153" t="s">
        <v>554</v>
      </c>
    </row>
    <row r="4" spans="1:6" x14ac:dyDescent="0.25">
      <c r="A4" s="5" t="s">
        <v>552</v>
      </c>
      <c r="B4" s="150">
        <v>7</v>
      </c>
      <c r="C4" s="151">
        <v>0.35</v>
      </c>
      <c r="E4" s="6" t="str">
        <f>INDEX($A$2:$A$8,MATCH("Ω",$A$2:$A$8))</f>
        <v>EQ/y-7201</v>
      </c>
      <c r="F4" t="s">
        <v>1721</v>
      </c>
    </row>
    <row r="5" spans="1:6" x14ac:dyDescent="0.25">
      <c r="A5" s="5" t="s">
        <v>553</v>
      </c>
      <c r="B5" s="150">
        <v>3.75</v>
      </c>
      <c r="C5" s="151">
        <v>0.65</v>
      </c>
    </row>
    <row r="6" spans="1:6" x14ac:dyDescent="0.25">
      <c r="A6" s="5"/>
      <c r="B6" s="150"/>
      <c r="C6" s="5"/>
    </row>
    <row r="7" spans="1:6" x14ac:dyDescent="0.25">
      <c r="A7" s="5"/>
      <c r="B7" s="150"/>
      <c r="C7" s="5"/>
    </row>
    <row r="8" spans="1:6" x14ac:dyDescent="0.25">
      <c r="A8" s="5"/>
      <c r="B8" s="150"/>
      <c r="C8" s="5"/>
    </row>
  </sheetData>
  <pageMargins left="0.7" right="0.7" top="0.75" bottom="0.75" header="0.3" footer="0.3"/>
  <pageSetup orientation="portrait" r:id="rId1"/>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4">
    <tabColor rgb="FF0000FF"/>
  </sheetPr>
  <dimension ref="A1:F8"/>
  <sheetViews>
    <sheetView zoomScale="160" zoomScaleNormal="160" workbookViewId="0">
      <selection activeCell="E3" sqref="E3"/>
    </sheetView>
  </sheetViews>
  <sheetFormatPr defaultRowHeight="15" x14ac:dyDescent="0.25"/>
  <cols>
    <col min="1" max="1" width="10.140625" bestFit="1" customWidth="1"/>
    <col min="2" max="2" width="7" bestFit="1" customWidth="1"/>
    <col min="3" max="3" width="6.28515625" bestFit="1" customWidth="1"/>
    <col min="4" max="4" width="2.5703125" customWidth="1"/>
    <col min="5" max="5" width="13.7109375" bestFit="1" customWidth="1"/>
    <col min="6" max="6" width="45.7109375" bestFit="1" customWidth="1"/>
  </cols>
  <sheetData>
    <row r="1" spans="1:6" x14ac:dyDescent="0.25">
      <c r="A1" s="8" t="s">
        <v>548</v>
      </c>
      <c r="B1" s="8" t="s">
        <v>549</v>
      </c>
      <c r="C1" s="8" t="s">
        <v>11</v>
      </c>
      <c r="E1" s="153" t="s">
        <v>554</v>
      </c>
    </row>
    <row r="2" spans="1:6" x14ac:dyDescent="0.25">
      <c r="A2" s="5" t="s">
        <v>550</v>
      </c>
      <c r="B2" s="150">
        <v>6.5</v>
      </c>
      <c r="C2" s="151">
        <v>0.12</v>
      </c>
      <c r="E2" s="85">
        <f>INDEX($C$2:$C$8,MATCH(9.9E+307,$C$2:$C$8))</f>
        <v>0.22</v>
      </c>
      <c r="F2" t="s">
        <v>1720</v>
      </c>
    </row>
    <row r="3" spans="1:6" x14ac:dyDescent="0.25">
      <c r="A3" s="5" t="s">
        <v>551</v>
      </c>
      <c r="B3" s="150">
        <v>4.25</v>
      </c>
      <c r="C3" s="151">
        <v>0.09</v>
      </c>
      <c r="E3" s="153" t="s">
        <v>554</v>
      </c>
    </row>
    <row r="4" spans="1:6" x14ac:dyDescent="0.25">
      <c r="A4" s="5" t="s">
        <v>552</v>
      </c>
      <c r="B4" s="150">
        <v>7</v>
      </c>
      <c r="C4" s="151">
        <v>0.35</v>
      </c>
      <c r="E4" s="6" t="str">
        <f>INDEX($A$2:$A$8,MATCH("Ω",$A$2:$A$8))</f>
        <v>IA/e-4588</v>
      </c>
      <c r="F4" t="s">
        <v>1721</v>
      </c>
    </row>
    <row r="5" spans="1:6" x14ac:dyDescent="0.25">
      <c r="A5" s="5" t="s">
        <v>553</v>
      </c>
      <c r="B5" s="150">
        <v>3.75</v>
      </c>
      <c r="C5" s="151">
        <v>0.65</v>
      </c>
    </row>
    <row r="6" spans="1:6" x14ac:dyDescent="0.25">
      <c r="A6" s="5" t="s">
        <v>555</v>
      </c>
      <c r="B6" s="150">
        <v>2</v>
      </c>
      <c r="C6" s="151">
        <v>0.45</v>
      </c>
    </row>
    <row r="7" spans="1:6" x14ac:dyDescent="0.25">
      <c r="A7" s="5" t="s">
        <v>556</v>
      </c>
      <c r="B7" s="150">
        <v>3.1</v>
      </c>
      <c r="C7" s="151">
        <v>0.22</v>
      </c>
    </row>
    <row r="8" spans="1:6" x14ac:dyDescent="0.25">
      <c r="A8" s="5"/>
      <c r="B8" s="150"/>
      <c r="C8" s="151"/>
    </row>
  </sheetData>
  <pageMargins left="0.7" right="0.7" top="0.75" bottom="0.75" header="0.3" footer="0.3"/>
  <pageSetup orientation="portrait" r:id="rId1"/>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5">
    <tabColor rgb="FF0000FF"/>
  </sheetPr>
  <dimension ref="A1:G8"/>
  <sheetViews>
    <sheetView zoomScale="160" zoomScaleNormal="160" workbookViewId="0">
      <selection activeCell="E3" sqref="E3"/>
    </sheetView>
  </sheetViews>
  <sheetFormatPr defaultRowHeight="15" x14ac:dyDescent="0.25"/>
  <cols>
    <col min="1" max="1" width="10.140625" bestFit="1" customWidth="1"/>
    <col min="2" max="2" width="7" bestFit="1" customWidth="1"/>
    <col min="3" max="3" width="6.28515625" bestFit="1" customWidth="1"/>
    <col min="4" max="4" width="2.5703125" customWidth="1"/>
    <col min="5" max="5" width="10.140625" bestFit="1" customWidth="1"/>
    <col min="7" max="7" width="28" customWidth="1"/>
  </cols>
  <sheetData>
    <row r="1" spans="1:7" x14ac:dyDescent="0.25">
      <c r="A1" s="8" t="s">
        <v>548</v>
      </c>
      <c r="B1" s="8" t="s">
        <v>549</v>
      </c>
      <c r="C1" s="8" t="s">
        <v>11</v>
      </c>
      <c r="E1" s="8" t="s">
        <v>548</v>
      </c>
      <c r="F1" s="8" t="s">
        <v>11</v>
      </c>
    </row>
    <row r="2" spans="1:7" x14ac:dyDescent="0.25">
      <c r="A2" s="5" t="s">
        <v>550</v>
      </c>
      <c r="B2" s="150">
        <v>6.5</v>
      </c>
      <c r="C2" s="151">
        <v>0.12</v>
      </c>
      <c r="E2" s="5" t="s">
        <v>553</v>
      </c>
      <c r="F2" s="6">
        <f>VLOOKUP(E2,$A$2:$C$5,3,0)</f>
        <v>0.65</v>
      </c>
      <c r="G2" t="s">
        <v>1722</v>
      </c>
    </row>
    <row r="3" spans="1:7" x14ac:dyDescent="0.25">
      <c r="A3" s="5" t="s">
        <v>551</v>
      </c>
      <c r="B3" s="150">
        <v>4.25</v>
      </c>
      <c r="C3" s="151">
        <v>0.09</v>
      </c>
    </row>
    <row r="4" spans="1:7" x14ac:dyDescent="0.25">
      <c r="A4" s="5" t="s">
        <v>552</v>
      </c>
      <c r="B4" s="150">
        <v>7</v>
      </c>
      <c r="C4" s="151">
        <v>0.35</v>
      </c>
    </row>
    <row r="5" spans="1:7" x14ac:dyDescent="0.25">
      <c r="A5" s="5" t="s">
        <v>553</v>
      </c>
      <c r="B5" s="150">
        <v>3.75</v>
      </c>
      <c r="C5" s="151">
        <v>0.65</v>
      </c>
    </row>
    <row r="6" spans="1:7" x14ac:dyDescent="0.25">
      <c r="A6" s="5"/>
      <c r="B6" s="150"/>
      <c r="C6" s="5"/>
    </row>
    <row r="7" spans="1:7" x14ac:dyDescent="0.25">
      <c r="A7" s="5"/>
      <c r="B7" s="150"/>
      <c r="C7" s="5"/>
    </row>
    <row r="8" spans="1:7" x14ac:dyDescent="0.25">
      <c r="A8" s="5"/>
      <c r="B8" s="150"/>
      <c r="C8" s="5"/>
    </row>
  </sheetData>
  <dataValidations count="1">
    <dataValidation type="list" allowBlank="1" showInputMessage="1" showErrorMessage="1" sqref="E2">
      <formula1>$A$2:$A$5</formula1>
    </dataValidation>
  </dataValidations>
  <pageMargins left="0.7" right="0.7" top="0.75" bottom="0.75" header="0.3" footer="0.3"/>
  <pageSetup orientation="portrait" r:id="rId1"/>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6">
    <tabColor rgb="FF0000FF"/>
  </sheetPr>
  <dimension ref="A1:E8"/>
  <sheetViews>
    <sheetView zoomScale="160" zoomScaleNormal="160" workbookViewId="0">
      <selection activeCell="E3" sqref="E3"/>
    </sheetView>
  </sheetViews>
  <sheetFormatPr defaultRowHeight="15" x14ac:dyDescent="0.25"/>
  <cols>
    <col min="1" max="1" width="10.140625" bestFit="1" customWidth="1"/>
    <col min="2" max="2" width="7" bestFit="1" customWidth="1"/>
    <col min="3" max="3" width="6.28515625" bestFit="1" customWidth="1"/>
    <col min="4" max="4" width="2.5703125" customWidth="1"/>
    <col min="5" max="5" width="12" customWidth="1"/>
    <col min="6" max="6" width="52.85546875" customWidth="1"/>
    <col min="7" max="7" width="23.28515625" customWidth="1"/>
  </cols>
  <sheetData>
    <row r="1" spans="1:5" x14ac:dyDescent="0.25">
      <c r="A1" s="8" t="s">
        <v>548</v>
      </c>
      <c r="B1" s="8" t="s">
        <v>549</v>
      </c>
      <c r="C1" s="8" t="s">
        <v>11</v>
      </c>
    </row>
    <row r="2" spans="1:5" x14ac:dyDescent="0.25">
      <c r="A2" s="5" t="s">
        <v>550</v>
      </c>
      <c r="B2" s="150">
        <v>6.5</v>
      </c>
      <c r="C2" s="151">
        <v>0.12</v>
      </c>
      <c r="E2" s="85" t="str">
        <f t="array" ref="E2">$A$2:INDEX($C$2:$C$8,MATCH(9.99E+307,$C$2:$C$8))</f>
        <v>WI/i-5000</v>
      </c>
    </row>
    <row r="3" spans="1:5" x14ac:dyDescent="0.25">
      <c r="A3" s="5" t="s">
        <v>551</v>
      </c>
      <c r="B3" s="150">
        <v>4.25</v>
      </c>
      <c r="C3" s="151">
        <v>0.09</v>
      </c>
      <c r="E3" s="152"/>
    </row>
    <row r="4" spans="1:5" x14ac:dyDescent="0.25">
      <c r="A4" s="5" t="s">
        <v>552</v>
      </c>
      <c r="B4" s="150">
        <v>7</v>
      </c>
      <c r="C4" s="151">
        <v>0.35</v>
      </c>
    </row>
    <row r="5" spans="1:5" x14ac:dyDescent="0.25">
      <c r="A5" s="5" t="s">
        <v>553</v>
      </c>
      <c r="B5" s="150">
        <v>3.75</v>
      </c>
      <c r="C5" s="151">
        <v>0.65</v>
      </c>
    </row>
    <row r="6" spans="1:5" x14ac:dyDescent="0.25">
      <c r="A6" s="5"/>
      <c r="B6" s="150"/>
      <c r="C6" s="5"/>
    </row>
    <row r="7" spans="1:5" x14ac:dyDescent="0.25">
      <c r="A7" s="5"/>
      <c r="B7" s="150"/>
      <c r="C7" s="5"/>
    </row>
    <row r="8" spans="1:5" x14ac:dyDescent="0.25">
      <c r="A8" s="5"/>
      <c r="B8" s="150"/>
      <c r="C8" s="5"/>
    </row>
  </sheetData>
  <pageMargins left="0.7" right="0.7" top="0.75" bottom="0.75" header="0.3" footer="0.3"/>
  <pageSetup orientation="portrait" r:id="rId1"/>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7">
    <tabColor rgb="FF0000FF"/>
  </sheetPr>
  <dimension ref="A1:E8"/>
  <sheetViews>
    <sheetView zoomScale="160" zoomScaleNormal="160" workbookViewId="0">
      <selection activeCell="E3" sqref="E3"/>
    </sheetView>
  </sheetViews>
  <sheetFormatPr defaultRowHeight="15" x14ac:dyDescent="0.25"/>
  <cols>
    <col min="1" max="1" width="10.140625" bestFit="1" customWidth="1"/>
    <col min="2" max="2" width="7" bestFit="1" customWidth="1"/>
    <col min="3" max="3" width="6.28515625" bestFit="1" customWidth="1"/>
    <col min="4" max="4" width="2.5703125" customWidth="1"/>
    <col min="5" max="5" width="7.140625" customWidth="1"/>
    <col min="6" max="6" width="52.85546875" customWidth="1"/>
    <col min="7" max="7" width="23.28515625" customWidth="1"/>
  </cols>
  <sheetData>
    <row r="1" spans="1:5" x14ac:dyDescent="0.25">
      <c r="A1" s="8" t="s">
        <v>548</v>
      </c>
      <c r="B1" s="8" t="s">
        <v>549</v>
      </c>
      <c r="C1" s="8" t="s">
        <v>11</v>
      </c>
    </row>
    <row r="2" spans="1:5" x14ac:dyDescent="0.25">
      <c r="A2" s="5" t="s">
        <v>550</v>
      </c>
      <c r="B2" s="150">
        <v>6.5</v>
      </c>
      <c r="C2" s="151">
        <v>0.12</v>
      </c>
      <c r="E2" s="85" t="str">
        <f t="array" ref="E2">$A$2:INDEX($C$2:$C$8,MATCH(9.99E+307,$C$2:$C$8))</f>
        <v>WI/i-5000</v>
      </c>
    </row>
    <row r="3" spans="1:5" x14ac:dyDescent="0.25">
      <c r="A3" s="5" t="s">
        <v>551</v>
      </c>
      <c r="B3" s="150">
        <v>4.25</v>
      </c>
      <c r="C3" s="151">
        <v>0.09</v>
      </c>
      <c r="E3" s="152"/>
    </row>
    <row r="4" spans="1:5" x14ac:dyDescent="0.25">
      <c r="A4" s="5" t="s">
        <v>552</v>
      </c>
      <c r="B4" s="150">
        <v>7</v>
      </c>
      <c r="C4" s="151">
        <v>0.35</v>
      </c>
    </row>
    <row r="5" spans="1:5" x14ac:dyDescent="0.25">
      <c r="A5" s="5" t="s">
        <v>553</v>
      </c>
      <c r="B5" s="150">
        <v>3.75</v>
      </c>
      <c r="C5" s="151">
        <v>0.65</v>
      </c>
    </row>
    <row r="6" spans="1:5" x14ac:dyDescent="0.25">
      <c r="A6" s="5" t="s">
        <v>555</v>
      </c>
      <c r="B6" s="150">
        <v>2</v>
      </c>
      <c r="C6" s="151">
        <v>0.45</v>
      </c>
    </row>
    <row r="7" spans="1:5" x14ac:dyDescent="0.25">
      <c r="A7" s="5" t="s">
        <v>556</v>
      </c>
      <c r="B7" s="150">
        <v>3.1</v>
      </c>
      <c r="C7" s="151">
        <v>0.22</v>
      </c>
    </row>
    <row r="8" spans="1:5" x14ac:dyDescent="0.25">
      <c r="A8" s="5"/>
      <c r="B8" s="150"/>
      <c r="C8" s="5"/>
    </row>
  </sheetData>
  <pageMargins left="0.7" right="0.7" top="0.75" bottom="0.75" header="0.3" footer="0.3"/>
  <pageSetup orientation="portrait" r:id="rId1"/>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8">
    <tabColor rgb="FF0000FF"/>
  </sheetPr>
  <dimension ref="A1:E8"/>
  <sheetViews>
    <sheetView zoomScale="160" zoomScaleNormal="160" workbookViewId="0">
      <selection activeCell="E3" sqref="E3"/>
    </sheetView>
  </sheetViews>
  <sheetFormatPr defaultRowHeight="15" x14ac:dyDescent="0.25"/>
  <cols>
    <col min="1" max="1" width="10.140625" bestFit="1" customWidth="1"/>
    <col min="2" max="2" width="7" bestFit="1" customWidth="1"/>
    <col min="3" max="3" width="6.28515625" bestFit="1" customWidth="1"/>
    <col min="4" max="4" width="2.5703125" customWidth="1"/>
    <col min="5" max="5" width="7.140625" customWidth="1"/>
  </cols>
  <sheetData>
    <row r="1" spans="1:5" x14ac:dyDescent="0.25">
      <c r="A1" s="8" t="s">
        <v>548</v>
      </c>
      <c r="B1" s="8" t="s">
        <v>549</v>
      </c>
      <c r="C1" s="8" t="s">
        <v>11</v>
      </c>
    </row>
    <row r="2" spans="1:5" x14ac:dyDescent="0.25">
      <c r="A2" s="5" t="s">
        <v>550</v>
      </c>
      <c r="B2" s="150">
        <v>6.5</v>
      </c>
      <c r="C2" s="151">
        <v>0.12</v>
      </c>
      <c r="E2" s="85" t="str">
        <f t="array" ref="E2">$A$2:INDEX($C$2:$C$8,MATCH(9.99E+307,$C$2:$C$8))</f>
        <v>WI/i-5000</v>
      </c>
    </row>
    <row r="3" spans="1:5" x14ac:dyDescent="0.25">
      <c r="A3" s="5" t="s">
        <v>551</v>
      </c>
      <c r="B3" s="150">
        <v>4.25</v>
      </c>
      <c r="C3" s="151">
        <v>0.09</v>
      </c>
      <c r="E3" s="152"/>
    </row>
    <row r="4" spans="1:5" x14ac:dyDescent="0.25">
      <c r="A4" s="5"/>
      <c r="B4" s="150"/>
      <c r="C4" s="151"/>
    </row>
    <row r="5" spans="1:5" x14ac:dyDescent="0.25">
      <c r="A5" s="5"/>
      <c r="B5" s="150"/>
      <c r="C5" s="151"/>
    </row>
    <row r="6" spans="1:5" x14ac:dyDescent="0.25">
      <c r="A6" s="5"/>
      <c r="B6" s="150"/>
      <c r="C6" s="151"/>
    </row>
    <row r="7" spans="1:5" x14ac:dyDescent="0.25">
      <c r="A7" s="5"/>
      <c r="B7" s="150"/>
      <c r="C7" s="151"/>
    </row>
    <row r="8" spans="1:5" x14ac:dyDescent="0.25">
      <c r="A8" s="5"/>
      <c r="B8" s="150"/>
      <c r="C8" s="5"/>
    </row>
  </sheetData>
  <pageMargins left="0.7" right="0.7" top="0.75" bottom="0.75" header="0.3" footer="0.3"/>
  <pageSetup orientation="portrait" r:id="rId1"/>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9">
    <tabColor rgb="FF0000FF"/>
  </sheetPr>
  <dimension ref="A1:F18"/>
  <sheetViews>
    <sheetView zoomScale="160" zoomScaleNormal="160" workbookViewId="0">
      <selection activeCell="E3" sqref="E3"/>
    </sheetView>
  </sheetViews>
  <sheetFormatPr defaultRowHeight="15" x14ac:dyDescent="0.25"/>
  <cols>
    <col min="1" max="1" width="10.140625" bestFit="1" customWidth="1"/>
    <col min="2" max="2" width="7" bestFit="1" customWidth="1"/>
    <col min="3" max="3" width="6.28515625" bestFit="1" customWidth="1"/>
    <col min="4" max="4" width="2.5703125" customWidth="1"/>
    <col min="5" max="5" width="9.5703125" customWidth="1"/>
    <col min="6" max="6" width="52.85546875" customWidth="1"/>
    <col min="7" max="7" width="23.28515625" customWidth="1"/>
  </cols>
  <sheetData>
    <row r="1" spans="1:6" x14ac:dyDescent="0.25">
      <c r="A1" s="8" t="s">
        <v>548</v>
      </c>
      <c r="B1" s="8" t="s">
        <v>549</v>
      </c>
      <c r="C1" s="8" t="s">
        <v>11</v>
      </c>
    </row>
    <row r="2" spans="1:6" x14ac:dyDescent="0.25">
      <c r="A2" s="5" t="s">
        <v>550</v>
      </c>
      <c r="B2" s="150">
        <v>6.5</v>
      </c>
      <c r="C2" s="151">
        <v>0.12</v>
      </c>
      <c r="E2" s="85" t="str">
        <f t="array" ref="E2">$A$2:INDEX($C$2:$C$8,MATCH(9.99E+307,$C$2:$C$8))</f>
        <v>WI/i-5000</v>
      </c>
    </row>
    <row r="3" spans="1:6" x14ac:dyDescent="0.25">
      <c r="A3" s="5" t="s">
        <v>551</v>
      </c>
      <c r="B3" s="150">
        <v>4.25</v>
      </c>
      <c r="C3" s="151">
        <v>0.09</v>
      </c>
      <c r="E3" s="152"/>
    </row>
    <row r="4" spans="1:6" x14ac:dyDescent="0.25">
      <c r="A4" s="5" t="s">
        <v>552</v>
      </c>
      <c r="B4" s="150">
        <v>7</v>
      </c>
      <c r="C4" s="151">
        <v>0.35</v>
      </c>
    </row>
    <row r="5" spans="1:6" x14ac:dyDescent="0.25">
      <c r="A5" s="5" t="s">
        <v>553</v>
      </c>
      <c r="B5" s="150">
        <v>3.75</v>
      </c>
      <c r="C5" s="151">
        <v>0.65</v>
      </c>
    </row>
    <row r="6" spans="1:6" x14ac:dyDescent="0.25">
      <c r="A6" s="5" t="s">
        <v>555</v>
      </c>
      <c r="B6" s="150">
        <v>2</v>
      </c>
      <c r="C6" s="151"/>
    </row>
    <row r="7" spans="1:6" x14ac:dyDescent="0.25">
      <c r="A7" s="5" t="s">
        <v>556</v>
      </c>
      <c r="B7" s="150">
        <v>3.1</v>
      </c>
      <c r="C7" s="151">
        <v>0.22</v>
      </c>
    </row>
    <row r="8" spans="1:6" x14ac:dyDescent="0.25">
      <c r="A8" s="5"/>
      <c r="B8" s="150"/>
      <c r="C8" s="5"/>
    </row>
    <row r="9" spans="1:6" x14ac:dyDescent="0.25">
      <c r="F9" t="s">
        <v>561</v>
      </c>
    </row>
    <row r="10" spans="1:6" x14ac:dyDescent="0.25">
      <c r="F10" t="s">
        <v>560</v>
      </c>
    </row>
    <row r="11" spans="1:6" x14ac:dyDescent="0.25">
      <c r="F11" t="s">
        <v>562</v>
      </c>
    </row>
    <row r="12" spans="1:6" x14ac:dyDescent="0.25">
      <c r="F12" t="s">
        <v>563</v>
      </c>
    </row>
    <row r="13" spans="1:6" x14ac:dyDescent="0.25">
      <c r="F13" t="s">
        <v>565</v>
      </c>
    </row>
    <row r="14" spans="1:6" x14ac:dyDescent="0.25">
      <c r="F14" t="s">
        <v>564</v>
      </c>
    </row>
    <row r="17" spans="1:1" x14ac:dyDescent="0.25">
      <c r="A17" t="s">
        <v>1470</v>
      </c>
    </row>
    <row r="18" spans="1:1" x14ac:dyDescent="0.25">
      <c r="A18" s="332" t="s">
        <v>1469</v>
      </c>
    </row>
  </sheetData>
  <pageMargins left="0.7" right="0.7" top="0.75" bottom="0.75" header="0.3" footer="0.3"/>
  <pageSetup orientation="portrait" r:id="rId1"/>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0">
    <tabColor rgb="FF0000FF"/>
  </sheetPr>
  <dimension ref="A1:G8"/>
  <sheetViews>
    <sheetView zoomScale="160" zoomScaleNormal="160" workbookViewId="0">
      <selection activeCell="E3" sqref="E3"/>
    </sheetView>
  </sheetViews>
  <sheetFormatPr defaultRowHeight="15" x14ac:dyDescent="0.25"/>
  <cols>
    <col min="1" max="1" width="10.140625" bestFit="1" customWidth="1"/>
    <col min="2" max="2" width="7" bestFit="1" customWidth="1"/>
    <col min="3" max="3" width="6.28515625" bestFit="1" customWidth="1"/>
    <col min="4" max="4" width="2.5703125" customWidth="1"/>
    <col min="5" max="5" width="10.85546875" customWidth="1"/>
    <col min="6" max="6" width="11.28515625" customWidth="1"/>
    <col min="7" max="7" width="9.42578125" customWidth="1"/>
    <col min="8" max="8" width="31.140625" customWidth="1"/>
  </cols>
  <sheetData>
    <row r="1" spans="1:7" x14ac:dyDescent="0.25">
      <c r="A1" s="8" t="s">
        <v>548</v>
      </c>
      <c r="B1" s="8" t="s">
        <v>549</v>
      </c>
      <c r="C1" s="8" t="s">
        <v>11</v>
      </c>
      <c r="E1" s="153" t="s">
        <v>558</v>
      </c>
    </row>
    <row r="2" spans="1:7" x14ac:dyDescent="0.25">
      <c r="A2" s="5" t="s">
        <v>550</v>
      </c>
      <c r="B2" s="150">
        <v>6.5</v>
      </c>
      <c r="C2" s="151">
        <v>0.12</v>
      </c>
      <c r="E2" s="85" t="str">
        <f t="array" ref="E2">$A$2:INDEX($C$2:$C$8,MATCH(9.99E+307,$C$2:$C$8))</f>
        <v>WI/i-5000</v>
      </c>
      <c r="F2" t="s">
        <v>1723</v>
      </c>
    </row>
    <row r="3" spans="1:7" x14ac:dyDescent="0.25">
      <c r="A3" s="5" t="s">
        <v>551</v>
      </c>
      <c r="B3" s="150">
        <v>4.25</v>
      </c>
      <c r="C3" s="151">
        <v>0.09</v>
      </c>
      <c r="E3" s="153" t="s">
        <v>559</v>
      </c>
    </row>
    <row r="4" spans="1:7" x14ac:dyDescent="0.25">
      <c r="A4" s="5" t="s">
        <v>552</v>
      </c>
      <c r="B4" s="150">
        <v>7</v>
      </c>
      <c r="C4" s="151">
        <v>0.35</v>
      </c>
      <c r="E4" s="85" t="str">
        <f t="array" ref="E4">$A$2:INDEX($A$2:$A$8,MATCH("Ω",$A$2:$A$8))</f>
        <v>WI/i-5000</v>
      </c>
      <c r="F4" t="s">
        <v>1724</v>
      </c>
    </row>
    <row r="5" spans="1:7" x14ac:dyDescent="0.25">
      <c r="A5" s="5" t="s">
        <v>553</v>
      </c>
      <c r="B5" s="150">
        <v>3.75</v>
      </c>
      <c r="C5" s="151">
        <v>0.65</v>
      </c>
    </row>
    <row r="6" spans="1:7" x14ac:dyDescent="0.25">
      <c r="A6" s="5"/>
      <c r="B6" s="150"/>
      <c r="C6" s="151"/>
      <c r="E6" s="8" t="s">
        <v>557</v>
      </c>
      <c r="F6" s="8" t="s">
        <v>549</v>
      </c>
      <c r="G6" s="8" t="s">
        <v>11</v>
      </c>
    </row>
    <row r="7" spans="1:7" x14ac:dyDescent="0.25">
      <c r="A7" s="5"/>
      <c r="B7" s="150"/>
      <c r="C7" s="151"/>
      <c r="E7" s="5" t="s">
        <v>550</v>
      </c>
      <c r="F7" s="150">
        <f>VLOOKUP($E7,$A$2:INDEX($C$2:$C$8,MATCH(9.99E+307,$C$2:$C$8)),COLUMNS($F7:F7)+1,0)</f>
        <v>6.5</v>
      </c>
      <c r="G7" s="151">
        <f>VLOOKUP($E7,$A$2:INDEX($C$2:$C$8,MATCH(9.99E+307,$C$2:$C$8)),COLUMNS($F7:G7)+1,0)</f>
        <v>0.12</v>
      </c>
    </row>
    <row r="8" spans="1:7" x14ac:dyDescent="0.25">
      <c r="A8" s="5"/>
      <c r="B8" s="150"/>
      <c r="C8" s="5"/>
    </row>
  </sheetData>
  <dataValidations count="1">
    <dataValidation type="list" allowBlank="1" showInputMessage="1" showErrorMessage="1" sqref="E7">
      <formula1>IDDropDown</formula1>
    </dataValidation>
  </dataValidations>
  <pageMargins left="0.7" right="0.7" top="0.75" bottom="0.75" header="0.3" footer="0.3"/>
  <pageSetup orientation="portrait" r:id="rId1"/>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1">
    <tabColor rgb="FF0000FF"/>
  </sheetPr>
  <dimension ref="A1:G8"/>
  <sheetViews>
    <sheetView zoomScale="160" zoomScaleNormal="160" workbookViewId="0">
      <selection activeCell="E3" sqref="E3"/>
    </sheetView>
  </sheetViews>
  <sheetFormatPr defaultRowHeight="15" x14ac:dyDescent="0.25"/>
  <cols>
    <col min="1" max="1" width="10.140625" bestFit="1" customWidth="1"/>
    <col min="2" max="2" width="7" bestFit="1" customWidth="1"/>
    <col min="3" max="3" width="6.28515625" bestFit="1" customWidth="1"/>
    <col min="4" max="4" width="2.5703125" customWidth="1"/>
    <col min="5" max="5" width="10.85546875" customWidth="1"/>
    <col min="6" max="6" width="11.28515625" customWidth="1"/>
    <col min="7" max="7" width="9.42578125" customWidth="1"/>
    <col min="8" max="8" width="31.140625" customWidth="1"/>
  </cols>
  <sheetData>
    <row r="1" spans="1:7" x14ac:dyDescent="0.25">
      <c r="A1" s="8" t="s">
        <v>548</v>
      </c>
      <c r="B1" s="8" t="s">
        <v>549</v>
      </c>
      <c r="C1" s="8" t="s">
        <v>11</v>
      </c>
    </row>
    <row r="2" spans="1:7" x14ac:dyDescent="0.25">
      <c r="A2" s="5" t="s">
        <v>550</v>
      </c>
      <c r="B2" s="150">
        <v>6.5</v>
      </c>
      <c r="C2" s="151">
        <v>0.12</v>
      </c>
    </row>
    <row r="3" spans="1:7" x14ac:dyDescent="0.25">
      <c r="A3" s="5" t="s">
        <v>551</v>
      </c>
      <c r="B3" s="150">
        <v>4.25</v>
      </c>
      <c r="C3" s="151">
        <v>0.09</v>
      </c>
    </row>
    <row r="4" spans="1:7" x14ac:dyDescent="0.25">
      <c r="A4" s="5" t="s">
        <v>552</v>
      </c>
      <c r="B4" s="150">
        <v>7</v>
      </c>
      <c r="C4" s="151">
        <v>0.35</v>
      </c>
    </row>
    <row r="5" spans="1:7" x14ac:dyDescent="0.25">
      <c r="A5" s="5" t="s">
        <v>553</v>
      </c>
      <c r="B5" s="150">
        <v>3.75</v>
      </c>
      <c r="C5" s="151">
        <v>0.65</v>
      </c>
    </row>
    <row r="6" spans="1:7" x14ac:dyDescent="0.25">
      <c r="A6" s="5" t="s">
        <v>555</v>
      </c>
      <c r="B6" s="150">
        <v>2</v>
      </c>
      <c r="C6" s="151"/>
      <c r="E6" s="8" t="s">
        <v>557</v>
      </c>
      <c r="F6" s="8" t="s">
        <v>549</v>
      </c>
      <c r="G6" s="8" t="s">
        <v>11</v>
      </c>
    </row>
    <row r="7" spans="1:7" x14ac:dyDescent="0.25">
      <c r="A7" s="5" t="s">
        <v>556</v>
      </c>
      <c r="B7" s="150">
        <v>3.1</v>
      </c>
      <c r="C7" s="151">
        <v>0.22</v>
      </c>
      <c r="E7" s="5" t="s">
        <v>556</v>
      </c>
      <c r="F7" s="150">
        <f>VLOOKUP($E7,$A$2:INDEX($C$2:$C$8,MATCH(9.99E+307,$C$2:$C$8)),COLUMNS($F7:F7)+1,0)</f>
        <v>3.1</v>
      </c>
      <c r="G7" s="151">
        <f>VLOOKUP($E7,$A$2:INDEX($C$2:$C$8,MATCH(9.99E+307,$C$2:$C$8)),COLUMNS($F7:G7)+1,0)</f>
        <v>0.22</v>
      </c>
    </row>
    <row r="8" spans="1:7" x14ac:dyDescent="0.25">
      <c r="A8" s="5"/>
      <c r="B8" s="150"/>
      <c r="C8" s="5"/>
    </row>
  </sheetData>
  <dataValidations disablePrompts="1" count="1">
    <dataValidation type="list" allowBlank="1" showInputMessage="1" showErrorMessage="1" sqref="E7">
      <formula1>IDDropDown</formula1>
    </dataValidation>
  </dataValidations>
  <pageMargins left="0.7" right="0.7" top="0.75" bottom="0.75" header="0.3" footer="0.3"/>
  <pageSetup orientation="portrait" r:id="rId1"/>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2">
    <tabColor rgb="FF0000FF"/>
  </sheetPr>
  <dimension ref="A1:F7"/>
  <sheetViews>
    <sheetView zoomScale="175" zoomScaleNormal="175" workbookViewId="0">
      <selection activeCell="E3" sqref="E3"/>
    </sheetView>
  </sheetViews>
  <sheetFormatPr defaultRowHeight="15" x14ac:dyDescent="0.25"/>
  <cols>
    <col min="1" max="1" width="10.140625" bestFit="1" customWidth="1"/>
    <col min="2" max="2" width="8.42578125" bestFit="1" customWidth="1"/>
    <col min="3" max="3" width="7" bestFit="1" customWidth="1"/>
    <col min="4" max="4" width="2.5703125" customWidth="1"/>
    <col min="5" max="5" width="10.85546875" customWidth="1"/>
    <col min="6" max="6" width="11.28515625" customWidth="1"/>
    <col min="7" max="7" width="9.42578125" customWidth="1"/>
    <col min="8" max="8" width="31.140625" customWidth="1"/>
  </cols>
  <sheetData>
    <row r="1" spans="1:6" x14ac:dyDescent="0.25">
      <c r="A1" s="8" t="s">
        <v>8</v>
      </c>
      <c r="B1" s="8" t="s">
        <v>91</v>
      </c>
      <c r="C1" s="8" t="s">
        <v>257</v>
      </c>
    </row>
    <row r="2" spans="1:6" x14ac:dyDescent="0.25">
      <c r="A2" s="7">
        <v>41347</v>
      </c>
      <c r="B2" s="151">
        <v>259</v>
      </c>
      <c r="C2" s="150" t="s">
        <v>568</v>
      </c>
      <c r="E2">
        <f t="array" ref="E2">$A$2:INDEX($C$2:$C$7,MAX((ROW($A$2:$C$7)-ROW($A$2)+1)*($A$2:$C$7&lt;&gt;"")))</f>
        <v>41347</v>
      </c>
      <c r="F2" t="s">
        <v>1725</v>
      </c>
    </row>
    <row r="3" spans="1:6" x14ac:dyDescent="0.25">
      <c r="A3" s="7">
        <v>41347</v>
      </c>
      <c r="B3" s="151">
        <v>458</v>
      </c>
      <c r="C3" s="150" t="s">
        <v>569</v>
      </c>
      <c r="E3">
        <f t="array" ref="E3">$A$2:INDEX($C$2:$C$7,_xlfn.AGGREGATE(14,4,(ROW($A$2:$C$7)-ROW($A$2)+1)*($A$2:$C$7&lt;&gt;""),1))</f>
        <v>41347</v>
      </c>
      <c r="F3" t="s">
        <v>1726</v>
      </c>
    </row>
    <row r="4" spans="1:6" x14ac:dyDescent="0.25">
      <c r="A4" s="7">
        <v>41348</v>
      </c>
      <c r="B4" s="151">
        <v>159</v>
      </c>
      <c r="C4" s="150" t="s">
        <v>568</v>
      </c>
      <c r="F4" t="s">
        <v>570</v>
      </c>
    </row>
    <row r="5" spans="1:6" x14ac:dyDescent="0.25">
      <c r="A5" s="5"/>
      <c r="B5" s="151"/>
      <c r="C5" s="150"/>
    </row>
    <row r="6" spans="1:6" x14ac:dyDescent="0.25">
      <c r="A6" s="5"/>
      <c r="B6" s="151">
        <v>513</v>
      </c>
      <c r="C6" s="5"/>
    </row>
    <row r="7" spans="1:6" x14ac:dyDescent="0.25">
      <c r="A7" s="5"/>
      <c r="B7" s="151"/>
      <c r="C7" s="150"/>
    </row>
  </sheetData>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3">
    <tabColor rgb="FF0000FF"/>
  </sheetPr>
  <dimension ref="A1:J9"/>
  <sheetViews>
    <sheetView zoomScale="175" zoomScaleNormal="175" workbookViewId="0">
      <selection activeCell="E3" sqref="E3"/>
    </sheetView>
  </sheetViews>
  <sheetFormatPr defaultRowHeight="15" x14ac:dyDescent="0.25"/>
  <cols>
    <col min="1" max="1" width="10.140625" bestFit="1" customWidth="1"/>
    <col min="2" max="2" width="8.42578125" bestFit="1" customWidth="1"/>
    <col min="3" max="3" width="7" bestFit="1" customWidth="1"/>
    <col min="4" max="4" width="2.5703125" customWidth="1"/>
    <col min="5" max="5" width="10.85546875" customWidth="1"/>
    <col min="6" max="6" width="11.28515625" customWidth="1"/>
    <col min="7" max="7" width="9.42578125" customWidth="1"/>
    <col min="8" max="8" width="31.140625" customWidth="1"/>
  </cols>
  <sheetData>
    <row r="1" spans="1:10" x14ac:dyDescent="0.25">
      <c r="A1" s="8" t="s">
        <v>8</v>
      </c>
      <c r="B1" s="8" t="s">
        <v>91</v>
      </c>
      <c r="C1" s="8" t="s">
        <v>257</v>
      </c>
    </row>
    <row r="2" spans="1:10" x14ac:dyDescent="0.25">
      <c r="A2" s="7">
        <v>41347</v>
      </c>
      <c r="B2" s="151">
        <v>259</v>
      </c>
      <c r="C2" s="150" t="s">
        <v>568</v>
      </c>
      <c r="E2" s="6">
        <f t="array" ref="E2">$A$2:INDEX($C$2:$C$7,MAX((ROW($A$2:$C$7)-ROW($A$2)+1)*(TRIM($A$2:$C$7)&lt;&gt;"")))</f>
        <v>41347</v>
      </c>
      <c r="F2" t="s">
        <v>1727</v>
      </c>
    </row>
    <row r="3" spans="1:10" x14ac:dyDescent="0.25">
      <c r="A3" s="7">
        <v>41347</v>
      </c>
      <c r="B3" s="151">
        <v>458</v>
      </c>
      <c r="C3" s="150" t="s">
        <v>569</v>
      </c>
    </row>
    <row r="4" spans="1:10" x14ac:dyDescent="0.25">
      <c r="A4" s="7">
        <v>41348</v>
      </c>
      <c r="B4" s="151">
        <v>159</v>
      </c>
      <c r="C4" s="150" t="s">
        <v>568</v>
      </c>
    </row>
    <row r="5" spans="1:10" x14ac:dyDescent="0.25">
      <c r="A5" s="5"/>
      <c r="B5" s="151">
        <v>345</v>
      </c>
      <c r="C5" s="150"/>
    </row>
    <row r="6" spans="1:10" x14ac:dyDescent="0.25">
      <c r="A6" s="73" t="str">
        <f>""</f>
        <v/>
      </c>
      <c r="B6" s="151"/>
      <c r="C6" s="5"/>
      <c r="G6" s="51" t="s">
        <v>567</v>
      </c>
      <c r="H6" s="103"/>
      <c r="I6" s="103"/>
      <c r="J6" s="47"/>
    </row>
    <row r="7" spans="1:10" x14ac:dyDescent="0.25">
      <c r="A7" s="154" t="s">
        <v>571</v>
      </c>
      <c r="B7" s="151"/>
      <c r="C7" s="150"/>
      <c r="G7" s="155" t="s">
        <v>566</v>
      </c>
      <c r="H7" s="157"/>
      <c r="I7" s="157"/>
      <c r="J7" s="156"/>
    </row>
    <row r="9" spans="1:10" x14ac:dyDescent="0.25">
      <c r="E9">
        <f>COUNTA(A2:A7)</f>
        <v>5</v>
      </c>
    </row>
  </sheetData>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4">
    <tabColor rgb="FF0000FF"/>
  </sheetPr>
  <dimension ref="A1:K14"/>
  <sheetViews>
    <sheetView zoomScale="160" zoomScaleNormal="160" workbookViewId="0">
      <selection activeCell="E3" sqref="E3"/>
    </sheetView>
  </sheetViews>
  <sheetFormatPr defaultRowHeight="15" x14ac:dyDescent="0.25"/>
  <cols>
    <col min="3" max="3" width="14.5703125" bestFit="1" customWidth="1"/>
    <col min="11" max="11" width="28.5703125" customWidth="1"/>
  </cols>
  <sheetData>
    <row r="1" spans="1:11" x14ac:dyDescent="0.25">
      <c r="A1" s="8" t="s">
        <v>299</v>
      </c>
      <c r="C1" s="23" t="s">
        <v>572</v>
      </c>
    </row>
    <row r="2" spans="1:11" x14ac:dyDescent="0.25">
      <c r="A2" s="39">
        <v>174</v>
      </c>
      <c r="C2" s="6">
        <f t="array" aca="1" ref="C2" ca="1">OFFSET($A$2,,,COUNT($A$2:$A$5))</f>
        <v>174</v>
      </c>
      <c r="D2" t="s">
        <v>1728</v>
      </c>
    </row>
    <row r="3" spans="1:11" x14ac:dyDescent="0.25">
      <c r="A3" s="39">
        <v>171</v>
      </c>
    </row>
    <row r="4" spans="1:11" x14ac:dyDescent="0.25">
      <c r="A4" s="39"/>
    </row>
    <row r="5" spans="1:11" x14ac:dyDescent="0.25">
      <c r="A5" s="39"/>
    </row>
    <row r="7" spans="1:11" x14ac:dyDescent="0.25">
      <c r="E7" s="23" t="s">
        <v>573</v>
      </c>
      <c r="F7" s="158"/>
    </row>
    <row r="8" spans="1:11" x14ac:dyDescent="0.25">
      <c r="E8" s="159" t="s">
        <v>574</v>
      </c>
      <c r="F8" s="160" t="s">
        <v>575</v>
      </c>
      <c r="G8" s="141"/>
      <c r="H8" s="141"/>
      <c r="I8" s="141"/>
      <c r="J8" s="141"/>
      <c r="K8" s="142"/>
    </row>
    <row r="9" spans="1:11" x14ac:dyDescent="0.25">
      <c r="E9" s="161" t="s">
        <v>576</v>
      </c>
      <c r="F9" s="162" t="s">
        <v>577</v>
      </c>
      <c r="G9" s="144"/>
      <c r="H9" s="144"/>
      <c r="I9" s="144"/>
      <c r="J9" s="144"/>
      <c r="K9" s="145"/>
    </row>
    <row r="10" spans="1:11" x14ac:dyDescent="0.25">
      <c r="E10" s="161"/>
      <c r="F10" s="162" t="s">
        <v>578</v>
      </c>
      <c r="G10" s="144"/>
      <c r="H10" s="144"/>
      <c r="I10" s="144"/>
      <c r="J10" s="144"/>
      <c r="K10" s="145"/>
    </row>
    <row r="11" spans="1:11" x14ac:dyDescent="0.25">
      <c r="E11" s="161" t="s">
        <v>579</v>
      </c>
      <c r="F11" s="162" t="s">
        <v>580</v>
      </c>
      <c r="G11" s="144"/>
      <c r="H11" s="144"/>
      <c r="I11" s="144"/>
      <c r="J11" s="144"/>
      <c r="K11" s="145"/>
    </row>
    <row r="12" spans="1:11" x14ac:dyDescent="0.25">
      <c r="E12" s="161"/>
      <c r="F12" s="162" t="s">
        <v>578</v>
      </c>
      <c r="G12" s="144"/>
      <c r="H12" s="144"/>
      <c r="I12" s="144"/>
      <c r="J12" s="144"/>
      <c r="K12" s="145"/>
    </row>
    <row r="13" spans="1:11" x14ac:dyDescent="0.25">
      <c r="E13" s="161" t="s">
        <v>581</v>
      </c>
      <c r="F13" s="162" t="s">
        <v>582</v>
      </c>
      <c r="G13" s="144"/>
      <c r="H13" s="144"/>
      <c r="I13" s="144"/>
      <c r="J13" s="144"/>
      <c r="K13" s="145"/>
    </row>
    <row r="14" spans="1:11" x14ac:dyDescent="0.25">
      <c r="E14" s="163" t="s">
        <v>583</v>
      </c>
      <c r="F14" s="164" t="s">
        <v>584</v>
      </c>
      <c r="G14" s="164"/>
      <c r="H14" s="147"/>
      <c r="I14" s="147"/>
      <c r="J14" s="147"/>
      <c r="K14" s="148"/>
    </row>
  </sheetData>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5">
    <tabColor rgb="FF0000FF"/>
  </sheetPr>
  <dimension ref="A1:X6"/>
  <sheetViews>
    <sheetView zoomScale="160" zoomScaleNormal="160" workbookViewId="0">
      <selection activeCell="E3" sqref="E3"/>
    </sheetView>
  </sheetViews>
  <sheetFormatPr defaultRowHeight="15" x14ac:dyDescent="0.25"/>
  <cols>
    <col min="1" max="1" width="7.28515625" bestFit="1" customWidth="1"/>
    <col min="2" max="2" width="5.28515625" bestFit="1" customWidth="1"/>
    <col min="4" max="4" width="2.7109375" customWidth="1"/>
    <col min="6" max="6" width="14.5703125" bestFit="1" customWidth="1"/>
  </cols>
  <sheetData>
    <row r="1" spans="1:24" x14ac:dyDescent="0.25">
      <c r="A1" s="8" t="s">
        <v>585</v>
      </c>
      <c r="B1" s="8" t="s">
        <v>587</v>
      </c>
      <c r="C1" s="8" t="s">
        <v>593</v>
      </c>
      <c r="E1" s="8" t="s">
        <v>585</v>
      </c>
      <c r="X1" s="8" t="s">
        <v>585</v>
      </c>
    </row>
    <row r="2" spans="1:24" x14ac:dyDescent="0.25">
      <c r="A2" s="5" t="s">
        <v>586</v>
      </c>
      <c r="B2" s="5" t="s">
        <v>588</v>
      </c>
      <c r="C2" s="5" t="s">
        <v>594</v>
      </c>
      <c r="E2" s="5" t="s">
        <v>3</v>
      </c>
      <c r="F2" s="6" t="str">
        <f t="array" aca="1" ref="F2" ca="1">OFFSET($B$1,MATCH($E$2,$A$2:$A$6,0),,COUNTIF($A$2:$A$6,$E$2))</f>
        <v>D.D.</v>
      </c>
      <c r="G2" t="s">
        <v>1729</v>
      </c>
      <c r="X2" t="s">
        <v>586</v>
      </c>
    </row>
    <row r="3" spans="1:24" x14ac:dyDescent="0.25">
      <c r="A3" s="5" t="s">
        <v>586</v>
      </c>
      <c r="B3" s="5" t="s">
        <v>589</v>
      </c>
      <c r="C3" s="5" t="s">
        <v>595</v>
      </c>
      <c r="F3" s="6" t="str">
        <f t="array" ref="F3">INDEX($B$2:$B$6,MATCH($E$2,$A$2:$A$6,0)):INDEX($B$2:$B$6,MATCH(2,1/($A$2:$A$6=$E$2)))</f>
        <v>D.D.</v>
      </c>
      <c r="G3" t="s">
        <v>1730</v>
      </c>
      <c r="X3" t="s">
        <v>3</v>
      </c>
    </row>
    <row r="4" spans="1:24" x14ac:dyDescent="0.25">
      <c r="A4" s="5" t="s">
        <v>3</v>
      </c>
      <c r="B4" s="5" t="s">
        <v>590</v>
      </c>
      <c r="C4" s="5" t="s">
        <v>596</v>
      </c>
      <c r="F4" s="6" t="str">
        <f t="array" ref="F4">INDEX($B$2:$B$6,MATCH($E$2,$A$2:$A$6,0)):INDEX($B$2:$B$6,MATCH($E$2,$A$2:$A$6,0)+COUNTIF($A$2:$A$6,$E$2)-1)</f>
        <v>D.D.</v>
      </c>
      <c r="G4" t="s">
        <v>1731</v>
      </c>
    </row>
    <row r="5" spans="1:24" x14ac:dyDescent="0.25">
      <c r="A5" s="5" t="s">
        <v>3</v>
      </c>
      <c r="B5" s="5" t="s">
        <v>591</v>
      </c>
      <c r="C5" s="5" t="s">
        <v>597</v>
      </c>
    </row>
    <row r="6" spans="1:24" x14ac:dyDescent="0.25">
      <c r="A6" s="5" t="s">
        <v>3</v>
      </c>
      <c r="B6" s="5" t="s">
        <v>592</v>
      </c>
      <c r="C6" s="5" t="s">
        <v>598</v>
      </c>
    </row>
  </sheetData>
  <dataValidations count="1">
    <dataValidation type="list" allowBlank="1" showInputMessage="1" showErrorMessage="1" sqref="E2">
      <formula1>$X$2:$X$3</formula1>
    </dataValidation>
  </dataValidations>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6">
    <tabColor rgb="FF0000FF"/>
  </sheetPr>
  <dimension ref="A1:X15"/>
  <sheetViews>
    <sheetView zoomScale="160" zoomScaleNormal="160" workbookViewId="0">
      <selection activeCell="E3" sqref="E3"/>
    </sheetView>
  </sheetViews>
  <sheetFormatPr defaultRowHeight="15" x14ac:dyDescent="0.25"/>
  <cols>
    <col min="1" max="1" width="7.28515625" bestFit="1" customWidth="1"/>
    <col min="2" max="2" width="5.28515625" bestFit="1" customWidth="1"/>
    <col min="3" max="3" width="10" bestFit="1" customWidth="1"/>
    <col min="4" max="4" width="2.7109375" customWidth="1"/>
    <col min="6" max="6" width="8.28515625" customWidth="1"/>
    <col min="9" max="9" width="9.140625" customWidth="1"/>
  </cols>
  <sheetData>
    <row r="1" spans="1:24" x14ac:dyDescent="0.25">
      <c r="A1" s="8" t="s">
        <v>585</v>
      </c>
      <c r="B1" s="8" t="s">
        <v>587</v>
      </c>
      <c r="C1" s="8" t="s">
        <v>91</v>
      </c>
      <c r="E1" s="8" t="s">
        <v>585</v>
      </c>
      <c r="F1" s="5" t="s">
        <v>586</v>
      </c>
      <c r="X1" s="8" t="s">
        <v>585</v>
      </c>
    </row>
    <row r="2" spans="1:24" x14ac:dyDescent="0.25">
      <c r="A2" s="5" t="s">
        <v>586</v>
      </c>
      <c r="B2" s="5" t="s">
        <v>588</v>
      </c>
      <c r="C2" s="151">
        <v>5735</v>
      </c>
      <c r="X2" t="s">
        <v>586</v>
      </c>
    </row>
    <row r="3" spans="1:24" x14ac:dyDescent="0.25">
      <c r="A3" s="5" t="s">
        <v>586</v>
      </c>
      <c r="B3" s="5" t="s">
        <v>589</v>
      </c>
      <c r="C3" s="151">
        <v>5662</v>
      </c>
      <c r="X3" t="s">
        <v>3</v>
      </c>
    </row>
    <row r="4" spans="1:24" x14ac:dyDescent="0.25">
      <c r="A4" s="5" t="s">
        <v>3</v>
      </c>
      <c r="B4" s="5" t="s">
        <v>590</v>
      </c>
      <c r="C4" s="151">
        <v>1798</v>
      </c>
    </row>
    <row r="5" spans="1:24" x14ac:dyDescent="0.25">
      <c r="A5" s="5" t="s">
        <v>3</v>
      </c>
      <c r="B5" s="5" t="s">
        <v>591</v>
      </c>
      <c r="C5" s="151">
        <v>2447</v>
      </c>
    </row>
    <row r="6" spans="1:24" x14ac:dyDescent="0.25">
      <c r="A6" s="5" t="s">
        <v>3</v>
      </c>
      <c r="B6" s="5" t="s">
        <v>592</v>
      </c>
      <c r="C6" s="151">
        <v>1795</v>
      </c>
    </row>
    <row r="7" spans="1:24" ht="3.75" customHeight="1" x14ac:dyDescent="0.25"/>
    <row r="14" spans="1:24" x14ac:dyDescent="0.25">
      <c r="A14" s="6">
        <f t="array" aca="1" ref="A14" ca="1">OFFSET($C$1,MATCH($F$1,$A$2:$A$6,0),,COUNTIF($A$2:$A$6,$F$1))</f>
        <v>5735</v>
      </c>
      <c r="B14" t="s">
        <v>1732</v>
      </c>
    </row>
    <row r="15" spans="1:24" x14ac:dyDescent="0.25">
      <c r="A15" s="6" t="str">
        <f t="array" ref="A15">INDEX($B$2:$B$6,MATCH($F$1,$A$2:$A$6,0)):INDEX($B$2:$B$6,MATCH($F$1,$A$2:$A$6,0)+COUNTIF($A$2:$A$6,$F$1)-1)</f>
        <v>K.C.</v>
      </c>
      <c r="B15" t="s">
        <v>1733</v>
      </c>
    </row>
  </sheetData>
  <dataValidations disablePrompts="1" count="1">
    <dataValidation type="list" allowBlank="1" showInputMessage="1" showErrorMessage="1" sqref="F1">
      <formula1>$X$2:$X$3</formula1>
    </dataValidation>
  </dataValidations>
  <pageMargins left="0.7" right="0.7" top="0.75" bottom="0.75" header="0.3" footer="0.3"/>
  <drawing r:id="rId1"/>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tabColor rgb="FF0000FF"/>
  </sheetPr>
  <dimension ref="A1:F7"/>
  <sheetViews>
    <sheetView zoomScale="190" zoomScaleNormal="190" workbookViewId="0">
      <selection activeCell="E3" sqref="E3"/>
    </sheetView>
  </sheetViews>
  <sheetFormatPr defaultRowHeight="15" x14ac:dyDescent="0.25"/>
  <cols>
    <col min="1" max="1" width="7.28515625" bestFit="1" customWidth="1"/>
    <col min="2" max="2" width="5.28515625" bestFit="1" customWidth="1"/>
    <col min="3" max="3" width="10" bestFit="1" customWidth="1"/>
    <col min="4" max="4" width="2.7109375" customWidth="1"/>
    <col min="5" max="5" width="13.140625" customWidth="1"/>
    <col min="6" max="6" width="12.140625" customWidth="1"/>
  </cols>
  <sheetData>
    <row r="1" spans="1:6" x14ac:dyDescent="0.25">
      <c r="A1" s="8" t="s">
        <v>585</v>
      </c>
      <c r="B1" s="8" t="s">
        <v>587</v>
      </c>
      <c r="C1" s="8" t="s">
        <v>91</v>
      </c>
      <c r="E1" s="33" t="s">
        <v>585</v>
      </c>
      <c r="F1" t="s">
        <v>3</v>
      </c>
    </row>
    <row r="2" spans="1:6" x14ac:dyDescent="0.25">
      <c r="A2" s="5" t="s">
        <v>586</v>
      </c>
      <c r="B2" s="5" t="s">
        <v>588</v>
      </c>
      <c r="C2" s="151">
        <v>5735</v>
      </c>
    </row>
    <row r="3" spans="1:6" x14ac:dyDescent="0.25">
      <c r="A3" s="5" t="s">
        <v>586</v>
      </c>
      <c r="B3" s="5" t="s">
        <v>589</v>
      </c>
      <c r="C3" s="151">
        <v>5662</v>
      </c>
      <c r="E3" s="33" t="s">
        <v>599</v>
      </c>
      <c r="F3" t="s">
        <v>600</v>
      </c>
    </row>
    <row r="4" spans="1:6" x14ac:dyDescent="0.25">
      <c r="A4" s="5" t="s">
        <v>3</v>
      </c>
      <c r="B4" s="5" t="s">
        <v>590</v>
      </c>
      <c r="C4" s="151">
        <v>1798</v>
      </c>
      <c r="E4" s="165" t="s">
        <v>590</v>
      </c>
      <c r="F4" s="34">
        <v>1798</v>
      </c>
    </row>
    <row r="5" spans="1:6" x14ac:dyDescent="0.25">
      <c r="A5" s="5" t="s">
        <v>3</v>
      </c>
      <c r="B5" s="5" t="s">
        <v>591</v>
      </c>
      <c r="C5" s="151">
        <v>2447</v>
      </c>
      <c r="E5" s="165" t="s">
        <v>592</v>
      </c>
      <c r="F5" s="34">
        <v>1795</v>
      </c>
    </row>
    <row r="6" spans="1:6" x14ac:dyDescent="0.25">
      <c r="A6" s="5" t="s">
        <v>3</v>
      </c>
      <c r="B6" s="5" t="s">
        <v>592</v>
      </c>
      <c r="C6" s="151">
        <v>1795</v>
      </c>
      <c r="E6" s="165" t="s">
        <v>591</v>
      </c>
      <c r="F6" s="34">
        <v>2447</v>
      </c>
    </row>
    <row r="7" spans="1:6" x14ac:dyDescent="0.25">
      <c r="E7" s="165" t="s">
        <v>89</v>
      </c>
      <c r="F7" s="34">
        <v>6040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7">
    <tabColor rgb="FF0000FF"/>
  </sheetPr>
  <dimension ref="A1:D10"/>
  <sheetViews>
    <sheetView zoomScale="130" zoomScaleNormal="130" workbookViewId="0">
      <selection activeCell="E3" sqref="E3"/>
    </sheetView>
  </sheetViews>
  <sheetFormatPr defaultRowHeight="15" x14ac:dyDescent="0.25"/>
  <cols>
    <col min="2" max="2" width="2.140625" customWidth="1"/>
    <col min="3" max="3" width="14.28515625" customWidth="1"/>
    <col min="5" max="5" width="65.5703125" customWidth="1"/>
    <col min="7" max="7" width="28.85546875" customWidth="1"/>
    <col min="8" max="8" width="38.42578125" customWidth="1"/>
  </cols>
  <sheetData>
    <row r="1" spans="1:4" x14ac:dyDescent="0.25">
      <c r="A1" s="25" t="s">
        <v>515</v>
      </c>
      <c r="C1" s="26" t="s">
        <v>601</v>
      </c>
    </row>
    <row r="2" spans="1:4" x14ac:dyDescent="0.25">
      <c r="A2" s="38">
        <v>1</v>
      </c>
      <c r="C2" s="5">
        <v>5</v>
      </c>
    </row>
    <row r="3" spans="1:4" x14ac:dyDescent="0.25">
      <c r="A3" s="38">
        <v>2</v>
      </c>
    </row>
    <row r="4" spans="1:4" x14ac:dyDescent="0.25">
      <c r="A4" s="38">
        <v>2</v>
      </c>
      <c r="C4" s="28" t="s">
        <v>602</v>
      </c>
    </row>
    <row r="5" spans="1:4" x14ac:dyDescent="0.25">
      <c r="A5" s="38">
        <v>1</v>
      </c>
      <c r="C5" s="6">
        <f>SUM(INDEX($A$2:$A$10,MATCH(9.99E+307,$A$2:$A$10)-$C$2+1):INDEX($A$2:$A$10,MATCH(9.99E+307,$A$2:$A$10)))</f>
        <v>5</v>
      </c>
      <c r="D5" t="s">
        <v>1734</v>
      </c>
    </row>
    <row r="6" spans="1:4" x14ac:dyDescent="0.25">
      <c r="A6" s="38"/>
      <c r="C6" s="28" t="s">
        <v>603</v>
      </c>
    </row>
    <row r="7" spans="1:4" x14ac:dyDescent="0.25">
      <c r="A7" s="38">
        <v>1</v>
      </c>
      <c r="C7" s="6">
        <f t="array" ref="C7">SUM(INDEX($A$2:$A$10,LARGE(IF(ISNUMBER($A$2:$A$10),ROW($A$2:$A$10)-ROW($A$2)+1),$C$2)):INDEX($A$2:$A$10,MATCH(9.99E+307,$A$2:$A$10)))</f>
        <v>7</v>
      </c>
      <c r="D7" t="s">
        <v>1735</v>
      </c>
    </row>
    <row r="8" spans="1:4" x14ac:dyDescent="0.25">
      <c r="A8" s="38">
        <v>1</v>
      </c>
    </row>
    <row r="9" spans="1:4" x14ac:dyDescent="0.25">
      <c r="A9" s="38"/>
    </row>
    <row r="10" spans="1:4" x14ac:dyDescent="0.25">
      <c r="A10" s="38"/>
    </row>
  </sheetData>
  <pageMargins left="0.7" right="0.7" top="0.75" bottom="0.75" header="0.3" footer="0.3"/>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8">
    <tabColor rgb="FF0000FF"/>
  </sheetPr>
  <dimension ref="A1:D10"/>
  <sheetViews>
    <sheetView zoomScale="130" zoomScaleNormal="130" workbookViewId="0">
      <selection activeCell="E3" sqref="E3"/>
    </sheetView>
  </sheetViews>
  <sheetFormatPr defaultRowHeight="15" x14ac:dyDescent="0.25"/>
  <cols>
    <col min="2" max="2" width="2.140625" customWidth="1"/>
    <col min="3" max="3" width="14.28515625" customWidth="1"/>
    <col min="5" max="5" width="65.5703125" customWidth="1"/>
    <col min="7" max="7" width="28.85546875" customWidth="1"/>
    <col min="8" max="8" width="38.42578125" customWidth="1"/>
  </cols>
  <sheetData>
    <row r="1" spans="1:4" x14ac:dyDescent="0.25">
      <c r="A1" s="25" t="s">
        <v>515</v>
      </c>
      <c r="C1" s="26" t="s">
        <v>601</v>
      </c>
    </row>
    <row r="2" spans="1:4" x14ac:dyDescent="0.25">
      <c r="A2" s="38">
        <v>1</v>
      </c>
      <c r="C2" s="5">
        <v>5</v>
      </c>
    </row>
    <row r="3" spans="1:4" x14ac:dyDescent="0.25">
      <c r="A3" s="38">
        <v>2</v>
      </c>
    </row>
    <row r="4" spans="1:4" x14ac:dyDescent="0.25">
      <c r="A4" s="38">
        <v>2</v>
      </c>
      <c r="C4" s="28" t="s">
        <v>603</v>
      </c>
    </row>
    <row r="5" spans="1:4" x14ac:dyDescent="0.25">
      <c r="A5" s="38">
        <v>1</v>
      </c>
      <c r="C5" s="6">
        <f>SUM(LastFive)</f>
        <v>7</v>
      </c>
      <c r="D5" t="s">
        <v>1736</v>
      </c>
    </row>
    <row r="6" spans="1:4" x14ac:dyDescent="0.25">
      <c r="A6" s="38"/>
    </row>
    <row r="7" spans="1:4" x14ac:dyDescent="0.25">
      <c r="A7" s="38">
        <v>1</v>
      </c>
    </row>
    <row r="8" spans="1:4" x14ac:dyDescent="0.25">
      <c r="A8" s="38">
        <v>1</v>
      </c>
    </row>
    <row r="9" spans="1:4" x14ac:dyDescent="0.25">
      <c r="A9" s="38"/>
    </row>
    <row r="10" spans="1:4" x14ac:dyDescent="0.25">
      <c r="A10" s="38"/>
    </row>
  </sheetData>
  <pageMargins left="0.7" right="0.7" top="0.75" bottom="0.75" header="0.3" footer="0.3"/>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9">
    <tabColor rgb="FF0000FF"/>
  </sheetPr>
  <dimension ref="A1:D16"/>
  <sheetViews>
    <sheetView zoomScale="160" zoomScaleNormal="160" workbookViewId="0">
      <selection activeCell="E3" sqref="E3"/>
    </sheetView>
  </sheetViews>
  <sheetFormatPr defaultRowHeight="15" x14ac:dyDescent="0.25"/>
  <cols>
    <col min="1" max="1" width="7.42578125" customWidth="1"/>
    <col min="2" max="2" width="6.7109375" customWidth="1"/>
    <col min="3" max="3" width="8.28515625" customWidth="1"/>
    <col min="4" max="4" width="74.7109375" customWidth="1"/>
    <col min="5" max="5" width="7" customWidth="1"/>
    <col min="6" max="6" width="6" customWidth="1"/>
    <col min="7" max="8" width="7.7109375" customWidth="1"/>
  </cols>
  <sheetData>
    <row r="1" spans="1:4" x14ac:dyDescent="0.25">
      <c r="B1" s="26" t="s">
        <v>520</v>
      </c>
      <c r="C1" s="5">
        <v>2.5</v>
      </c>
    </row>
    <row r="2" spans="1:4" ht="3.75" customHeight="1" x14ac:dyDescent="0.25"/>
    <row r="3" spans="1:4" ht="45" customHeight="1" x14ac:dyDescent="0.25">
      <c r="A3" s="8" t="s">
        <v>262</v>
      </c>
      <c r="B3" s="8" t="s">
        <v>522</v>
      </c>
      <c r="C3" s="28" t="str">
        <f>"Count of Grades  &gt; "&amp;C1</f>
        <v>Count of Grades  &gt; 2.5</v>
      </c>
    </row>
    <row r="4" spans="1:4" x14ac:dyDescent="0.25">
      <c r="A4" s="5" t="s">
        <v>604</v>
      </c>
      <c r="B4" s="5">
        <v>3.8</v>
      </c>
      <c r="C4" s="6" t="str">
        <f>IF(A5&lt;&gt;"",COUNTIF(INDEX($B$3:B4,MATCH("Ω",$A$3:A4)):B4,"&gt;"&amp;$C$1),"")</f>
        <v/>
      </c>
      <c r="D4" t="s">
        <v>1737</v>
      </c>
    </row>
    <row r="5" spans="1:4" x14ac:dyDescent="0.25">
      <c r="A5" s="5"/>
      <c r="B5" s="5">
        <v>3.6</v>
      </c>
      <c r="C5" s="6" t="str">
        <f>IF(A6&lt;&gt;"",COUNTIF(INDEX($B$3:B5,MATCH("Ω",$A$3:A5)):B5,"&gt;"&amp;$C$1),"")</f>
        <v/>
      </c>
    </row>
    <row r="6" spans="1:4" x14ac:dyDescent="0.25">
      <c r="A6" s="5"/>
      <c r="B6" s="5">
        <v>2.2999999999999998</v>
      </c>
      <c r="C6" s="6" t="str">
        <f>IF(A7&lt;&gt;"",COUNTIF(INDEX($B$3:B6,MATCH("Ω",$A$3:A6)):B6,"&gt;"&amp;$C$1),"")</f>
        <v/>
      </c>
    </row>
    <row r="7" spans="1:4" x14ac:dyDescent="0.25">
      <c r="A7" s="5"/>
      <c r="B7" s="5">
        <v>2.6</v>
      </c>
      <c r="C7" s="6">
        <f>IF(A8&lt;&gt;"",COUNTIF(INDEX($B$3:B7,MATCH("Ω",$A$3:A7)):B7,"&gt;"&amp;$C$1),"")</f>
        <v>3</v>
      </c>
    </row>
    <row r="8" spans="1:4" x14ac:dyDescent="0.25">
      <c r="A8" s="5" t="s">
        <v>605</v>
      </c>
      <c r="B8" s="5">
        <v>2.1</v>
      </c>
      <c r="C8" s="6" t="str">
        <f>IF(A9&lt;&gt;"",COUNTIF(INDEX($B$3:B8,MATCH("Ω",$A$3:A8)):B8,"&gt;"&amp;$C$1),"")</f>
        <v/>
      </c>
    </row>
    <row r="9" spans="1:4" x14ac:dyDescent="0.25">
      <c r="A9" s="5"/>
      <c r="B9" s="5">
        <v>2.9</v>
      </c>
      <c r="C9" s="6">
        <f>IF(A10&lt;&gt;"",COUNTIF(INDEX($B$3:B9,MATCH("Ω",$A$3:A9)):B9,"&gt;"&amp;$C$1),"")</f>
        <v>1</v>
      </c>
    </row>
    <row r="10" spans="1:4" x14ac:dyDescent="0.25">
      <c r="A10" s="5" t="s">
        <v>606</v>
      </c>
      <c r="B10" s="5">
        <v>3</v>
      </c>
      <c r="C10" s="6" t="str">
        <f>IF(A11&lt;&gt;"",COUNTIF(INDEX($B$3:B10,MATCH("Ω",$A$3:A10)):B10,"&gt;"&amp;$C$1),"")</f>
        <v/>
      </c>
    </row>
    <row r="11" spans="1:4" x14ac:dyDescent="0.25">
      <c r="A11" s="5"/>
      <c r="B11" s="5">
        <v>2.9</v>
      </c>
      <c r="C11" s="6" t="str">
        <f>IF(A12&lt;&gt;"",COUNTIF(INDEX($B$3:B11,MATCH("Ω",$A$3:A11)):B11,"&gt;"&amp;$C$1),"")</f>
        <v/>
      </c>
    </row>
    <row r="12" spans="1:4" x14ac:dyDescent="0.25">
      <c r="A12" s="5"/>
      <c r="B12" s="5">
        <v>2.1</v>
      </c>
      <c r="C12" s="6">
        <f>IF(A13&lt;&gt;"",COUNTIF(INDEX($B$3:B12,MATCH("Ω",$A$3:A12)):B12,"&gt;"&amp;$C$1),"")</f>
        <v>2</v>
      </c>
    </row>
    <row r="13" spans="1:4" x14ac:dyDescent="0.25">
      <c r="A13" s="5" t="s">
        <v>607</v>
      </c>
      <c r="B13" s="5">
        <v>2.4</v>
      </c>
      <c r="C13" s="6" t="str">
        <f>IF(A14&lt;&gt;"",COUNTIF(INDEX($B$3:B13,MATCH("Ω",$A$3:A13)):B13,"&gt;"&amp;$C$1),"")</f>
        <v/>
      </c>
    </row>
    <row r="14" spans="1:4" x14ac:dyDescent="0.25">
      <c r="A14" s="5"/>
      <c r="B14" s="5">
        <v>1.4</v>
      </c>
      <c r="C14" s="6" t="str">
        <f>IF(A15&lt;&gt;"",COUNTIF(INDEX($B$3:B14,MATCH("Ω",$A$3:A14)):B14,"&gt;"&amp;$C$1),"")</f>
        <v/>
      </c>
    </row>
    <row r="15" spans="1:4" x14ac:dyDescent="0.25">
      <c r="A15" s="5"/>
      <c r="B15" s="5">
        <v>3.8</v>
      </c>
      <c r="C15" s="6">
        <f>IF(A16&lt;&gt;"",COUNTIF(INDEX($B$3:B15,MATCH("Ω",$A$3:A15)):B15,"&gt;"&amp;$C$1),"")</f>
        <v>1</v>
      </c>
    </row>
    <row r="16" spans="1:4" x14ac:dyDescent="0.25">
      <c r="A16" s="5" t="s">
        <v>516</v>
      </c>
      <c r="B16" s="5">
        <f>AVERAGE(B4:B15)</f>
        <v>2.7416666666666658</v>
      </c>
    </row>
  </sheetData>
  <pageMargins left="0.7" right="0.7" top="0.75" bottom="0.75" header="0.3" footer="0.3"/>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3">
    <tabColor rgb="FF0000FF"/>
  </sheetPr>
  <dimension ref="A1:D15"/>
  <sheetViews>
    <sheetView zoomScale="160" zoomScaleNormal="160" workbookViewId="0">
      <selection activeCell="E3" sqref="E3"/>
    </sheetView>
  </sheetViews>
  <sheetFormatPr defaultRowHeight="15" x14ac:dyDescent="0.25"/>
  <cols>
    <col min="1" max="1" width="12.28515625" customWidth="1"/>
    <col min="2" max="4" width="11.7109375" customWidth="1"/>
    <col min="7" max="7" width="9.140625" customWidth="1"/>
  </cols>
  <sheetData>
    <row r="1" spans="1:4" x14ac:dyDescent="0.25">
      <c r="A1" s="169" t="s">
        <v>619</v>
      </c>
    </row>
    <row r="3" spans="1:4" x14ac:dyDescent="0.25">
      <c r="A3" s="8" t="s">
        <v>8</v>
      </c>
      <c r="B3" s="8" t="s">
        <v>22</v>
      </c>
      <c r="C3" s="8" t="s">
        <v>24</v>
      </c>
      <c r="D3" s="8" t="s">
        <v>25</v>
      </c>
    </row>
    <row r="4" spans="1:4" x14ac:dyDescent="0.25">
      <c r="A4" s="13">
        <v>41484</v>
      </c>
      <c r="B4" s="5" t="s">
        <v>27</v>
      </c>
      <c r="C4" s="5" t="s">
        <v>28</v>
      </c>
      <c r="D4" s="5">
        <v>929</v>
      </c>
    </row>
    <row r="5" spans="1:4" x14ac:dyDescent="0.25">
      <c r="A5" s="13">
        <v>40946</v>
      </c>
      <c r="B5" s="5" t="s">
        <v>23</v>
      </c>
      <c r="C5" s="5" t="s">
        <v>30</v>
      </c>
      <c r="D5" s="5">
        <v>681</v>
      </c>
    </row>
    <row r="6" spans="1:4" x14ac:dyDescent="0.25">
      <c r="A6" s="13">
        <v>41175</v>
      </c>
      <c r="B6" s="5" t="s">
        <v>31</v>
      </c>
      <c r="C6" s="14" t="s">
        <v>32</v>
      </c>
      <c r="D6" s="5">
        <v>1393</v>
      </c>
    </row>
    <row r="7" spans="1:4" x14ac:dyDescent="0.25">
      <c r="A7" s="13">
        <v>41013</v>
      </c>
      <c r="B7" s="5" t="s">
        <v>27</v>
      </c>
      <c r="C7" s="14" t="s">
        <v>28</v>
      </c>
      <c r="D7" s="5">
        <v>530</v>
      </c>
    </row>
    <row r="8" spans="1:4" x14ac:dyDescent="0.25">
      <c r="A8" s="13">
        <v>41116</v>
      </c>
      <c r="B8" s="5" t="s">
        <v>23</v>
      </c>
      <c r="C8" s="14" t="s">
        <v>28</v>
      </c>
      <c r="D8" s="5">
        <v>1058</v>
      </c>
    </row>
    <row r="9" spans="1:4" x14ac:dyDescent="0.25">
      <c r="A9" s="13">
        <v>41559</v>
      </c>
      <c r="B9" s="5" t="s">
        <v>31</v>
      </c>
      <c r="C9" s="14" t="s">
        <v>30</v>
      </c>
      <c r="D9" s="5">
        <v>1023</v>
      </c>
    </row>
    <row r="10" spans="1:4" x14ac:dyDescent="0.25">
      <c r="A10" s="13">
        <v>41216</v>
      </c>
      <c r="B10" s="5" t="s">
        <v>27</v>
      </c>
      <c r="C10" s="14" t="s">
        <v>32</v>
      </c>
      <c r="D10" s="5">
        <v>436</v>
      </c>
    </row>
    <row r="11" spans="1:4" x14ac:dyDescent="0.25">
      <c r="A11" s="13">
        <v>41520</v>
      </c>
      <c r="B11" s="5" t="s">
        <v>27</v>
      </c>
      <c r="C11" s="14" t="s">
        <v>32</v>
      </c>
      <c r="D11" s="5">
        <v>1311</v>
      </c>
    </row>
    <row r="12" spans="1:4" x14ac:dyDescent="0.25">
      <c r="A12" s="13">
        <v>41022</v>
      </c>
      <c r="B12" s="5" t="s">
        <v>31</v>
      </c>
      <c r="C12" s="14" t="s">
        <v>32</v>
      </c>
      <c r="D12" s="5">
        <v>368</v>
      </c>
    </row>
    <row r="13" spans="1:4" x14ac:dyDescent="0.25">
      <c r="A13" s="13">
        <v>41103</v>
      </c>
      <c r="B13" s="5" t="s">
        <v>27</v>
      </c>
      <c r="C13" s="14" t="s">
        <v>28</v>
      </c>
      <c r="D13" s="5">
        <v>1206</v>
      </c>
    </row>
    <row r="14" spans="1:4" x14ac:dyDescent="0.25">
      <c r="A14" s="166"/>
      <c r="C14" s="32"/>
    </row>
    <row r="15" spans="1:4" x14ac:dyDescent="0.25">
      <c r="A15" s="168" t="s">
        <v>26</v>
      </c>
      <c r="C15" s="32"/>
    </row>
  </sheetData>
  <autoFilter ref="A3:D13"/>
  <pageMargins left="0.7" right="0.7" top="0.75" bottom="0.75" header="0.3" footer="0.3"/>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0">
    <tabColor rgb="FF0000FF"/>
  </sheetPr>
  <dimension ref="A1:D23"/>
  <sheetViews>
    <sheetView zoomScale="130" zoomScaleNormal="130" workbookViewId="0">
      <selection activeCell="E3" sqref="E3"/>
    </sheetView>
  </sheetViews>
  <sheetFormatPr defaultRowHeight="15" x14ac:dyDescent="0.25"/>
  <cols>
    <col min="1" max="1" width="12.28515625" customWidth="1"/>
    <col min="2" max="4" width="11.7109375" customWidth="1"/>
    <col min="7" max="7" width="9.140625" customWidth="1"/>
  </cols>
  <sheetData>
    <row r="1" spans="1:4" x14ac:dyDescent="0.25">
      <c r="A1" s="169" t="s">
        <v>619</v>
      </c>
    </row>
    <row r="3" spans="1:4" x14ac:dyDescent="0.25">
      <c r="A3" s="8" t="s">
        <v>8</v>
      </c>
      <c r="B3" s="8" t="s">
        <v>22</v>
      </c>
      <c r="C3" s="8" t="s">
        <v>24</v>
      </c>
      <c r="D3" s="8" t="s">
        <v>25</v>
      </c>
    </row>
    <row r="4" spans="1:4" x14ac:dyDescent="0.25">
      <c r="A4" s="13">
        <v>41484</v>
      </c>
      <c r="B4" s="5" t="s">
        <v>27</v>
      </c>
      <c r="C4" s="5" t="s">
        <v>28</v>
      </c>
      <c r="D4" s="5">
        <v>929</v>
      </c>
    </row>
    <row r="5" spans="1:4" x14ac:dyDescent="0.25">
      <c r="A5" s="13">
        <v>40946</v>
      </c>
      <c r="B5" s="5" t="s">
        <v>23</v>
      </c>
      <c r="C5" s="5" t="s">
        <v>30</v>
      </c>
      <c r="D5" s="5">
        <v>681</v>
      </c>
    </row>
    <row r="6" spans="1:4" x14ac:dyDescent="0.25">
      <c r="A6" s="13">
        <v>41175</v>
      </c>
      <c r="B6" s="5" t="s">
        <v>31</v>
      </c>
      <c r="C6" s="14" t="s">
        <v>32</v>
      </c>
      <c r="D6" s="5">
        <v>1393</v>
      </c>
    </row>
    <row r="7" spans="1:4" x14ac:dyDescent="0.25">
      <c r="A7" s="13">
        <v>41013</v>
      </c>
      <c r="B7" s="5" t="s">
        <v>27</v>
      </c>
      <c r="C7" s="14" t="s">
        <v>28</v>
      </c>
      <c r="D7" s="5">
        <v>530</v>
      </c>
    </row>
    <row r="8" spans="1:4" x14ac:dyDescent="0.25">
      <c r="A8" s="13">
        <v>41116</v>
      </c>
      <c r="B8" s="5" t="s">
        <v>23</v>
      </c>
      <c r="C8" s="14" t="s">
        <v>28</v>
      </c>
      <c r="D8" s="5">
        <v>1058</v>
      </c>
    </row>
    <row r="9" spans="1:4" x14ac:dyDescent="0.25">
      <c r="A9" s="13">
        <v>41559</v>
      </c>
      <c r="B9" s="5" t="s">
        <v>31</v>
      </c>
      <c r="C9" s="14" t="s">
        <v>30</v>
      </c>
      <c r="D9" s="5">
        <v>1023</v>
      </c>
    </row>
    <row r="10" spans="1:4" x14ac:dyDescent="0.25">
      <c r="A10" s="13">
        <v>41216</v>
      </c>
      <c r="B10" s="5" t="s">
        <v>27</v>
      </c>
      <c r="C10" s="14" t="s">
        <v>32</v>
      </c>
      <c r="D10" s="5">
        <v>436</v>
      </c>
    </row>
    <row r="11" spans="1:4" x14ac:dyDescent="0.25">
      <c r="A11" s="13">
        <v>41520</v>
      </c>
      <c r="B11" s="5" t="s">
        <v>27</v>
      </c>
      <c r="C11" s="14" t="s">
        <v>32</v>
      </c>
      <c r="D11" s="5">
        <v>1311</v>
      </c>
    </row>
    <row r="12" spans="1:4" x14ac:dyDescent="0.25">
      <c r="A12" s="13">
        <v>41022</v>
      </c>
      <c r="B12" s="5" t="s">
        <v>31</v>
      </c>
      <c r="C12" s="14" t="s">
        <v>32</v>
      </c>
      <c r="D12" s="5">
        <v>368</v>
      </c>
    </row>
    <row r="13" spans="1:4" x14ac:dyDescent="0.25">
      <c r="A13" s="13">
        <v>41103</v>
      </c>
      <c r="B13" s="5" t="s">
        <v>27</v>
      </c>
      <c r="C13" s="14" t="s">
        <v>28</v>
      </c>
      <c r="D13" s="5">
        <v>1206</v>
      </c>
    </row>
    <row r="14" spans="1:4" x14ac:dyDescent="0.25">
      <c r="A14" s="166"/>
      <c r="C14" s="32"/>
    </row>
    <row r="15" spans="1:4" x14ac:dyDescent="0.25">
      <c r="A15" s="168" t="s">
        <v>26</v>
      </c>
      <c r="C15" s="32"/>
    </row>
    <row r="16" spans="1:4" x14ac:dyDescent="0.25">
      <c r="A16" s="8" t="s">
        <v>8</v>
      </c>
      <c r="B16" s="8" t="s">
        <v>22</v>
      </c>
      <c r="C16" s="8" t="s">
        <v>24</v>
      </c>
      <c r="D16" s="8" t="s">
        <v>25</v>
      </c>
    </row>
    <row r="17" spans="1:4" x14ac:dyDescent="0.25">
      <c r="A17" s="13">
        <v>41216</v>
      </c>
      <c r="B17" s="5" t="s">
        <v>27</v>
      </c>
      <c r="C17" s="14" t="s">
        <v>32</v>
      </c>
      <c r="D17" s="5">
        <v>436</v>
      </c>
    </row>
    <row r="18" spans="1:4" x14ac:dyDescent="0.25">
      <c r="A18" s="13">
        <v>41103</v>
      </c>
      <c r="B18" s="5" t="s">
        <v>27</v>
      </c>
      <c r="C18" s="14" t="s">
        <v>28</v>
      </c>
      <c r="D18" s="5">
        <v>1206</v>
      </c>
    </row>
    <row r="21" spans="1:4" x14ac:dyDescent="0.25">
      <c r="A21" s="23" t="s">
        <v>613</v>
      </c>
    </row>
    <row r="22" spans="1:4" x14ac:dyDescent="0.25">
      <c r="A22" s="104" t="s">
        <v>21</v>
      </c>
      <c r="B22" s="8" t="s">
        <v>8</v>
      </c>
      <c r="C22" s="8" t="s">
        <v>8</v>
      </c>
      <c r="D22" s="8" t="s">
        <v>22</v>
      </c>
    </row>
    <row r="23" spans="1:4" x14ac:dyDescent="0.25">
      <c r="B23" s="5" t="s">
        <v>614</v>
      </c>
      <c r="C23" s="5" t="s">
        <v>615</v>
      </c>
      <c r="D23" s="5" t="s">
        <v>27</v>
      </c>
    </row>
  </sheetData>
  <autoFilter ref="A3:D13"/>
  <pageMargins left="0.7" right="0.7" top="0.75" bottom="0.75" header="0.3" footer="0.3"/>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1">
    <tabColor rgb="FF0000FF"/>
  </sheetPr>
  <dimension ref="A1:D28"/>
  <sheetViews>
    <sheetView zoomScale="130" zoomScaleNormal="130" workbookViewId="0">
      <selection activeCell="E3" sqref="E3"/>
    </sheetView>
  </sheetViews>
  <sheetFormatPr defaultRowHeight="15" x14ac:dyDescent="0.25"/>
  <cols>
    <col min="1" max="1" width="12.28515625" customWidth="1"/>
    <col min="2" max="4" width="11.7109375" customWidth="1"/>
  </cols>
  <sheetData>
    <row r="1" spans="1:4" x14ac:dyDescent="0.25">
      <c r="A1" s="171" t="s">
        <v>619</v>
      </c>
    </row>
    <row r="3" spans="1:4" x14ac:dyDescent="0.25">
      <c r="A3" s="8" t="s">
        <v>8</v>
      </c>
      <c r="B3" s="8" t="s">
        <v>22</v>
      </c>
      <c r="C3" s="8" t="s">
        <v>24</v>
      </c>
      <c r="D3" s="8" t="s">
        <v>25</v>
      </c>
    </row>
    <row r="4" spans="1:4" x14ac:dyDescent="0.25">
      <c r="A4" s="13">
        <v>41484</v>
      </c>
      <c r="B4" s="5" t="s">
        <v>27</v>
      </c>
      <c r="C4" s="5" t="s">
        <v>28</v>
      </c>
      <c r="D4" s="5">
        <v>929</v>
      </c>
    </row>
    <row r="5" spans="1:4" x14ac:dyDescent="0.25">
      <c r="A5" s="13">
        <v>40946</v>
      </c>
      <c r="B5" s="5" t="s">
        <v>23</v>
      </c>
      <c r="C5" s="5" t="s">
        <v>30</v>
      </c>
      <c r="D5" s="5">
        <v>681</v>
      </c>
    </row>
    <row r="6" spans="1:4" x14ac:dyDescent="0.25">
      <c r="A6" s="13">
        <v>41175</v>
      </c>
      <c r="B6" s="5" t="s">
        <v>31</v>
      </c>
      <c r="C6" s="14" t="s">
        <v>32</v>
      </c>
      <c r="D6" s="5">
        <v>1393</v>
      </c>
    </row>
    <row r="7" spans="1:4" x14ac:dyDescent="0.25">
      <c r="A7" s="13">
        <v>41013</v>
      </c>
      <c r="B7" s="5" t="s">
        <v>27</v>
      </c>
      <c r="C7" s="14" t="s">
        <v>28</v>
      </c>
      <c r="D7" s="5">
        <v>530</v>
      </c>
    </row>
    <row r="8" spans="1:4" x14ac:dyDescent="0.25">
      <c r="A8" s="13">
        <v>41116</v>
      </c>
      <c r="B8" s="5" t="s">
        <v>23</v>
      </c>
      <c r="C8" s="14" t="s">
        <v>28</v>
      </c>
      <c r="D8" s="5">
        <v>1058</v>
      </c>
    </row>
    <row r="9" spans="1:4" x14ac:dyDescent="0.25">
      <c r="A9" s="13">
        <v>41559</v>
      </c>
      <c r="B9" s="5" t="s">
        <v>31</v>
      </c>
      <c r="C9" s="14" t="s">
        <v>30</v>
      </c>
      <c r="D9" s="5">
        <v>1023</v>
      </c>
    </row>
    <row r="10" spans="1:4" x14ac:dyDescent="0.25">
      <c r="A10" s="13">
        <v>41216</v>
      </c>
      <c r="B10" s="5" t="s">
        <v>27</v>
      </c>
      <c r="C10" s="14" t="s">
        <v>32</v>
      </c>
      <c r="D10" s="5">
        <v>436</v>
      </c>
    </row>
    <row r="11" spans="1:4" x14ac:dyDescent="0.25">
      <c r="A11" s="13">
        <v>41520</v>
      </c>
      <c r="B11" s="5" t="s">
        <v>27</v>
      </c>
      <c r="C11" s="14" t="s">
        <v>32</v>
      </c>
      <c r="D11" s="5">
        <v>1311</v>
      </c>
    </row>
    <row r="12" spans="1:4" x14ac:dyDescent="0.25">
      <c r="A12" s="13">
        <v>41022</v>
      </c>
      <c r="B12" s="5" t="s">
        <v>31</v>
      </c>
      <c r="C12" s="14" t="s">
        <v>32</v>
      </c>
      <c r="D12" s="5">
        <v>368</v>
      </c>
    </row>
    <row r="13" spans="1:4" x14ac:dyDescent="0.25">
      <c r="A13" s="13">
        <v>41103</v>
      </c>
      <c r="B13" s="5" t="s">
        <v>27</v>
      </c>
      <c r="C13" s="14" t="s">
        <v>28</v>
      </c>
      <c r="D13" s="5">
        <v>1206</v>
      </c>
    </row>
    <row r="15" spans="1:4" x14ac:dyDescent="0.25">
      <c r="A15" s="170" t="s">
        <v>26</v>
      </c>
      <c r="C15" s="32"/>
    </row>
    <row r="16" spans="1:4" x14ac:dyDescent="0.25">
      <c r="A16" s="8" t="s">
        <v>8</v>
      </c>
      <c r="B16" s="8" t="s">
        <v>22</v>
      </c>
      <c r="C16" s="8" t="s">
        <v>24</v>
      </c>
      <c r="D16" s="8" t="s">
        <v>25</v>
      </c>
    </row>
    <row r="17" spans="1:4" x14ac:dyDescent="0.25">
      <c r="A17" s="13">
        <v>41484</v>
      </c>
      <c r="B17" s="5" t="s">
        <v>27</v>
      </c>
      <c r="C17" s="5" t="s">
        <v>28</v>
      </c>
      <c r="D17" s="5">
        <v>929</v>
      </c>
    </row>
    <row r="18" spans="1:4" x14ac:dyDescent="0.25">
      <c r="A18" s="13">
        <v>40946</v>
      </c>
      <c r="B18" s="5" t="s">
        <v>23</v>
      </c>
      <c r="C18" s="5" t="s">
        <v>30</v>
      </c>
      <c r="D18" s="5">
        <v>681</v>
      </c>
    </row>
    <row r="19" spans="1:4" x14ac:dyDescent="0.25">
      <c r="A19" s="13">
        <v>41013</v>
      </c>
      <c r="B19" s="5" t="s">
        <v>27</v>
      </c>
      <c r="C19" s="14" t="s">
        <v>28</v>
      </c>
      <c r="D19" s="5">
        <v>530</v>
      </c>
    </row>
    <row r="20" spans="1:4" x14ac:dyDescent="0.25">
      <c r="A20" s="13">
        <v>41116</v>
      </c>
      <c r="B20" s="5" t="s">
        <v>23</v>
      </c>
      <c r="C20" s="14" t="s">
        <v>28</v>
      </c>
      <c r="D20" s="5">
        <v>1058</v>
      </c>
    </row>
    <row r="21" spans="1:4" x14ac:dyDescent="0.25">
      <c r="A21" s="13">
        <v>41216</v>
      </c>
      <c r="B21" s="5" t="s">
        <v>27</v>
      </c>
      <c r="C21" s="14" t="s">
        <v>32</v>
      </c>
      <c r="D21" s="5">
        <v>436</v>
      </c>
    </row>
    <row r="22" spans="1:4" x14ac:dyDescent="0.25">
      <c r="A22" s="13">
        <v>41520</v>
      </c>
      <c r="B22" s="5" t="s">
        <v>27</v>
      </c>
      <c r="C22" s="14" t="s">
        <v>32</v>
      </c>
      <c r="D22" s="5">
        <v>1311</v>
      </c>
    </row>
    <row r="23" spans="1:4" x14ac:dyDescent="0.25">
      <c r="A23" s="13">
        <v>41103</v>
      </c>
      <c r="B23" s="5" t="s">
        <v>27</v>
      </c>
      <c r="C23" s="14" t="s">
        <v>28</v>
      </c>
      <c r="D23" s="5">
        <v>1206</v>
      </c>
    </row>
    <row r="25" spans="1:4" x14ac:dyDescent="0.25">
      <c r="A25" s="167" t="s">
        <v>616</v>
      </c>
    </row>
    <row r="26" spans="1:4" x14ac:dyDescent="0.25">
      <c r="A26" s="8" t="s">
        <v>22</v>
      </c>
    </row>
    <row r="27" spans="1:4" x14ac:dyDescent="0.25">
      <c r="A27" s="5" t="s">
        <v>27</v>
      </c>
    </row>
    <row r="28" spans="1:4" x14ac:dyDescent="0.25">
      <c r="A28" s="5" t="s">
        <v>23</v>
      </c>
    </row>
  </sheetData>
  <autoFilter ref="A3:D13"/>
  <pageMargins left="0.7" right="0.7" top="0.75" bottom="0.75" header="0.3" footer="0.3"/>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2">
    <tabColor rgb="FF0000FF"/>
  </sheetPr>
  <dimension ref="A1:D24"/>
  <sheetViews>
    <sheetView zoomScale="115" zoomScaleNormal="115" workbookViewId="0">
      <selection activeCell="E3" sqref="E3"/>
    </sheetView>
  </sheetViews>
  <sheetFormatPr defaultRowHeight="15" x14ac:dyDescent="0.25"/>
  <cols>
    <col min="1" max="1" width="12.28515625" customWidth="1"/>
    <col min="2" max="4" width="11.7109375" customWidth="1"/>
  </cols>
  <sheetData>
    <row r="1" spans="1:4" x14ac:dyDescent="0.25">
      <c r="A1" s="171" t="s">
        <v>619</v>
      </c>
    </row>
    <row r="3" spans="1:4" x14ac:dyDescent="0.25">
      <c r="A3" s="8" t="s">
        <v>8</v>
      </c>
      <c r="B3" s="8" t="s">
        <v>22</v>
      </c>
      <c r="C3" s="8" t="s">
        <v>24</v>
      </c>
      <c r="D3" s="8" t="s">
        <v>25</v>
      </c>
    </row>
    <row r="4" spans="1:4" x14ac:dyDescent="0.25">
      <c r="A4" s="13">
        <v>41484</v>
      </c>
      <c r="B4" s="5" t="s">
        <v>27</v>
      </c>
      <c r="C4" s="5" t="s">
        <v>28</v>
      </c>
      <c r="D4" s="5">
        <v>929</v>
      </c>
    </row>
    <row r="5" spans="1:4" x14ac:dyDescent="0.25">
      <c r="A5" s="13">
        <v>40946</v>
      </c>
      <c r="B5" s="5" t="s">
        <v>23</v>
      </c>
      <c r="C5" s="5" t="s">
        <v>30</v>
      </c>
      <c r="D5" s="5">
        <v>681</v>
      </c>
    </row>
    <row r="6" spans="1:4" x14ac:dyDescent="0.25">
      <c r="A6" s="13">
        <v>41175</v>
      </c>
      <c r="B6" s="5" t="s">
        <v>31</v>
      </c>
      <c r="C6" s="14" t="s">
        <v>32</v>
      </c>
      <c r="D6" s="5">
        <v>1393</v>
      </c>
    </row>
    <row r="7" spans="1:4" x14ac:dyDescent="0.25">
      <c r="A7" s="13">
        <v>41013</v>
      </c>
      <c r="B7" s="5" t="s">
        <v>27</v>
      </c>
      <c r="C7" s="14" t="s">
        <v>28</v>
      </c>
      <c r="D7" s="5">
        <v>530</v>
      </c>
    </row>
    <row r="8" spans="1:4" x14ac:dyDescent="0.25">
      <c r="A8" s="13">
        <v>41116</v>
      </c>
      <c r="B8" s="5" t="s">
        <v>23</v>
      </c>
      <c r="C8" s="14" t="s">
        <v>28</v>
      </c>
      <c r="D8" s="5">
        <v>1058</v>
      </c>
    </row>
    <row r="9" spans="1:4" x14ac:dyDescent="0.25">
      <c r="A9" s="13">
        <v>41559</v>
      </c>
      <c r="B9" s="5" t="s">
        <v>31</v>
      </c>
      <c r="C9" s="14" t="s">
        <v>30</v>
      </c>
      <c r="D9" s="5">
        <v>1023</v>
      </c>
    </row>
    <row r="10" spans="1:4" x14ac:dyDescent="0.25">
      <c r="A10" s="13">
        <v>41216</v>
      </c>
      <c r="B10" s="5" t="s">
        <v>27</v>
      </c>
      <c r="C10" s="14" t="s">
        <v>32</v>
      </c>
      <c r="D10" s="5">
        <v>436</v>
      </c>
    </row>
    <row r="11" spans="1:4" x14ac:dyDescent="0.25">
      <c r="A11" s="13">
        <v>41520</v>
      </c>
      <c r="B11" s="5" t="s">
        <v>27</v>
      </c>
      <c r="C11" s="14" t="s">
        <v>32</v>
      </c>
      <c r="D11" s="5">
        <v>1311</v>
      </c>
    </row>
    <row r="12" spans="1:4" x14ac:dyDescent="0.25">
      <c r="A12" s="13">
        <v>41022</v>
      </c>
      <c r="B12" s="5" t="s">
        <v>31</v>
      </c>
      <c r="C12" s="14" t="s">
        <v>32</v>
      </c>
      <c r="D12" s="5">
        <v>368</v>
      </c>
    </row>
    <row r="13" spans="1:4" x14ac:dyDescent="0.25">
      <c r="A13" s="13">
        <v>41103</v>
      </c>
      <c r="B13" s="5" t="s">
        <v>27</v>
      </c>
      <c r="C13" s="14" t="s">
        <v>28</v>
      </c>
      <c r="D13" s="5">
        <v>1206</v>
      </c>
    </row>
    <row r="15" spans="1:4" x14ac:dyDescent="0.25">
      <c r="A15" s="170" t="s">
        <v>26</v>
      </c>
      <c r="C15" s="32"/>
    </row>
    <row r="16" spans="1:4" x14ac:dyDescent="0.25">
      <c r="A16" s="8" t="s">
        <v>8</v>
      </c>
      <c r="B16" s="8" t="s">
        <v>22</v>
      </c>
      <c r="C16" s="8" t="s">
        <v>24</v>
      </c>
      <c r="D16" s="8" t="s">
        <v>25</v>
      </c>
    </row>
    <row r="17" spans="1:4" x14ac:dyDescent="0.25">
      <c r="A17" s="13">
        <v>41116</v>
      </c>
      <c r="B17" s="5" t="s">
        <v>23</v>
      </c>
      <c r="C17" s="14" t="s">
        <v>28</v>
      </c>
      <c r="D17" s="5">
        <v>1058</v>
      </c>
    </row>
    <row r="18" spans="1:4" x14ac:dyDescent="0.25">
      <c r="A18" s="13">
        <v>41216</v>
      </c>
      <c r="B18" s="5" t="s">
        <v>27</v>
      </c>
      <c r="C18" s="14" t="s">
        <v>32</v>
      </c>
      <c r="D18" s="5">
        <v>436</v>
      </c>
    </row>
    <row r="19" spans="1:4" x14ac:dyDescent="0.25">
      <c r="A19" s="13">
        <v>41103</v>
      </c>
      <c r="B19" s="5" t="s">
        <v>27</v>
      </c>
      <c r="C19" s="14" t="s">
        <v>28</v>
      </c>
      <c r="D19" s="5">
        <v>1206</v>
      </c>
    </row>
    <row r="21" spans="1:4" x14ac:dyDescent="0.25">
      <c r="A21" s="167" t="s">
        <v>617</v>
      </c>
    </row>
    <row r="22" spans="1:4" x14ac:dyDescent="0.25">
      <c r="A22" s="8" t="s">
        <v>8</v>
      </c>
      <c r="B22" s="8" t="s">
        <v>8</v>
      </c>
      <c r="C22" s="8" t="s">
        <v>22</v>
      </c>
      <c r="D22" t="s">
        <v>618</v>
      </c>
    </row>
    <row r="23" spans="1:4" x14ac:dyDescent="0.25">
      <c r="A23" s="5" t="s">
        <v>614</v>
      </c>
      <c r="B23" s="5" t="s">
        <v>615</v>
      </c>
      <c r="C23" s="5" t="s">
        <v>27</v>
      </c>
    </row>
    <row r="24" spans="1:4" x14ac:dyDescent="0.25">
      <c r="A24" s="5" t="s">
        <v>614</v>
      </c>
      <c r="B24" s="5" t="s">
        <v>615</v>
      </c>
      <c r="C24" s="5" t="s">
        <v>23</v>
      </c>
    </row>
  </sheetData>
  <autoFilter ref="A3:D13"/>
  <pageMargins left="0.7" right="0.7" top="0.75" bottom="0.75" header="0.3" footer="0.3"/>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8">
    <tabColor rgb="FF0000FF"/>
  </sheetPr>
  <dimension ref="A1:G24"/>
  <sheetViews>
    <sheetView zoomScale="130" zoomScaleNormal="130" workbookViewId="0">
      <selection activeCell="E3" sqref="E3"/>
    </sheetView>
  </sheetViews>
  <sheetFormatPr defaultRowHeight="15" x14ac:dyDescent="0.25"/>
  <cols>
    <col min="1" max="1" width="12.28515625" customWidth="1"/>
    <col min="2" max="4" width="11.7109375" customWidth="1"/>
    <col min="6" max="6" width="18.42578125" customWidth="1"/>
  </cols>
  <sheetData>
    <row r="1" spans="1:7" x14ac:dyDescent="0.25">
      <c r="A1" s="167" t="s">
        <v>617</v>
      </c>
    </row>
    <row r="2" spans="1:7" x14ac:dyDescent="0.25">
      <c r="A2" s="8" t="s">
        <v>8</v>
      </c>
      <c r="B2" s="8" t="s">
        <v>8</v>
      </c>
      <c r="C2" s="8" t="s">
        <v>22</v>
      </c>
      <c r="D2" t="s">
        <v>626</v>
      </c>
    </row>
    <row r="3" spans="1:7" x14ac:dyDescent="0.25">
      <c r="A3" s="7">
        <v>41061</v>
      </c>
      <c r="B3" s="7">
        <v>41425</v>
      </c>
      <c r="C3" s="5" t="s">
        <v>27</v>
      </c>
    </row>
    <row r="4" spans="1:7" x14ac:dyDescent="0.25">
      <c r="C4" s="8" t="s">
        <v>24</v>
      </c>
    </row>
    <row r="5" spans="1:7" x14ac:dyDescent="0.25">
      <c r="C5" s="5" t="s">
        <v>32</v>
      </c>
    </row>
    <row r="6" spans="1:7" x14ac:dyDescent="0.25">
      <c r="A6" s="171" t="s">
        <v>619</v>
      </c>
    </row>
    <row r="7" spans="1:7" ht="3" customHeight="1" x14ac:dyDescent="0.25"/>
    <row r="8" spans="1:7" x14ac:dyDescent="0.25">
      <c r="A8" s="8" t="s">
        <v>8</v>
      </c>
      <c r="B8" s="8" t="s">
        <v>22</v>
      </c>
      <c r="C8" s="8" t="s">
        <v>24</v>
      </c>
      <c r="D8" s="8" t="s">
        <v>25</v>
      </c>
      <c r="E8" s="8" t="s">
        <v>132</v>
      </c>
    </row>
    <row r="9" spans="1:7" x14ac:dyDescent="0.25">
      <c r="A9" s="13">
        <v>41484</v>
      </c>
      <c r="B9" s="5" t="s">
        <v>27</v>
      </c>
      <c r="C9" s="5" t="s">
        <v>28</v>
      </c>
      <c r="D9" s="5">
        <v>929</v>
      </c>
      <c r="E9" s="6" t="b">
        <f t="shared" ref="E9:E18" si="0">AND(A9&gt;=$A$3,A9&lt;=$B$3,OR(B9=$C$3,C9=$C$5))</f>
        <v>0</v>
      </c>
      <c r="G9" t="s">
        <v>1738</v>
      </c>
    </row>
    <row r="10" spans="1:7" x14ac:dyDescent="0.25">
      <c r="A10" s="13">
        <v>40946</v>
      </c>
      <c r="B10" s="5" t="s">
        <v>23</v>
      </c>
      <c r="C10" s="5" t="s">
        <v>30</v>
      </c>
      <c r="D10" s="5">
        <v>681</v>
      </c>
      <c r="E10" s="6" t="b">
        <f t="shared" si="0"/>
        <v>0</v>
      </c>
    </row>
    <row r="11" spans="1:7" x14ac:dyDescent="0.25">
      <c r="A11" s="13">
        <v>41175</v>
      </c>
      <c r="B11" s="5" t="s">
        <v>31</v>
      </c>
      <c r="C11" s="14" t="s">
        <v>32</v>
      </c>
      <c r="D11" s="5">
        <v>1393</v>
      </c>
      <c r="E11" s="6" t="b">
        <f t="shared" si="0"/>
        <v>1</v>
      </c>
    </row>
    <row r="12" spans="1:7" x14ac:dyDescent="0.25">
      <c r="A12" s="13">
        <v>41013</v>
      </c>
      <c r="B12" s="5" t="s">
        <v>27</v>
      </c>
      <c r="C12" s="14" t="s">
        <v>28</v>
      </c>
      <c r="D12" s="5">
        <v>530</v>
      </c>
      <c r="E12" s="6" t="b">
        <f t="shared" si="0"/>
        <v>0</v>
      </c>
    </row>
    <row r="13" spans="1:7" x14ac:dyDescent="0.25">
      <c r="A13" s="13">
        <v>41116</v>
      </c>
      <c r="B13" s="5" t="s">
        <v>23</v>
      </c>
      <c r="C13" s="14" t="s">
        <v>28</v>
      </c>
      <c r="D13" s="5">
        <v>1058</v>
      </c>
      <c r="E13" s="6" t="b">
        <f t="shared" si="0"/>
        <v>0</v>
      </c>
    </row>
    <row r="14" spans="1:7" x14ac:dyDescent="0.25">
      <c r="A14" s="13">
        <v>41559</v>
      </c>
      <c r="B14" s="5" t="s">
        <v>31</v>
      </c>
      <c r="C14" s="14" t="s">
        <v>30</v>
      </c>
      <c r="D14" s="5">
        <v>1023</v>
      </c>
      <c r="E14" s="6" t="b">
        <f t="shared" si="0"/>
        <v>0</v>
      </c>
    </row>
    <row r="15" spans="1:7" x14ac:dyDescent="0.25">
      <c r="A15" s="13">
        <v>41216</v>
      </c>
      <c r="B15" s="5" t="s">
        <v>27</v>
      </c>
      <c r="C15" s="14" t="s">
        <v>32</v>
      </c>
      <c r="D15" s="5">
        <v>436</v>
      </c>
      <c r="E15" s="6" t="b">
        <f t="shared" si="0"/>
        <v>1</v>
      </c>
    </row>
    <row r="16" spans="1:7" x14ac:dyDescent="0.25">
      <c r="A16" s="13">
        <v>41520</v>
      </c>
      <c r="B16" s="5" t="s">
        <v>27</v>
      </c>
      <c r="C16" s="14" t="s">
        <v>32</v>
      </c>
      <c r="D16" s="5">
        <v>1311</v>
      </c>
      <c r="E16" s="6" t="b">
        <f t="shared" si="0"/>
        <v>0</v>
      </c>
    </row>
    <row r="17" spans="1:5" x14ac:dyDescent="0.25">
      <c r="A17" s="13">
        <v>41022</v>
      </c>
      <c r="B17" s="5" t="s">
        <v>31</v>
      </c>
      <c r="C17" s="14" t="s">
        <v>32</v>
      </c>
      <c r="D17" s="5">
        <v>368</v>
      </c>
      <c r="E17" s="6" t="b">
        <f t="shared" si="0"/>
        <v>0</v>
      </c>
    </row>
    <row r="18" spans="1:5" x14ac:dyDescent="0.25">
      <c r="A18" s="13">
        <v>41103</v>
      </c>
      <c r="B18" s="5" t="s">
        <v>27</v>
      </c>
      <c r="C18" s="14" t="s">
        <v>28</v>
      </c>
      <c r="D18" s="5">
        <v>1206</v>
      </c>
      <c r="E18" s="6" t="b">
        <f t="shared" si="0"/>
        <v>1</v>
      </c>
    </row>
    <row r="20" spans="1:5" x14ac:dyDescent="0.25">
      <c r="A20" s="170" t="s">
        <v>26</v>
      </c>
      <c r="C20" s="32"/>
    </row>
    <row r="21" spans="1:5" x14ac:dyDescent="0.25">
      <c r="A21" s="8" t="s">
        <v>8</v>
      </c>
      <c r="B21" s="8" t="s">
        <v>22</v>
      </c>
      <c r="C21" s="8" t="s">
        <v>24</v>
      </c>
      <c r="D21" s="8" t="s">
        <v>25</v>
      </c>
    </row>
    <row r="22" spans="1:5" x14ac:dyDescent="0.25">
      <c r="A22" s="13">
        <v>41175</v>
      </c>
      <c r="B22" s="5" t="s">
        <v>31</v>
      </c>
      <c r="C22" s="14" t="s">
        <v>32</v>
      </c>
      <c r="D22" s="5">
        <v>1393</v>
      </c>
    </row>
    <row r="23" spans="1:5" x14ac:dyDescent="0.25">
      <c r="A23" s="13">
        <v>41216</v>
      </c>
      <c r="B23" s="5" t="s">
        <v>27</v>
      </c>
      <c r="C23" s="14" t="s">
        <v>32</v>
      </c>
      <c r="D23" s="5">
        <v>436</v>
      </c>
    </row>
    <row r="24" spans="1:5" x14ac:dyDescent="0.25">
      <c r="A24" s="13">
        <v>41103</v>
      </c>
      <c r="B24" s="5" t="s">
        <v>27</v>
      </c>
      <c r="C24" s="14" t="s">
        <v>28</v>
      </c>
      <c r="D24" s="5">
        <v>1206</v>
      </c>
    </row>
  </sheetData>
  <autoFilter ref="A8:E18"/>
  <pageMargins left="0.7" right="0.7" top="0.75" bottom="0.75" header="0.3" footer="0.3"/>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4">
    <tabColor rgb="FF0000FF"/>
  </sheetPr>
  <dimension ref="A1:D22"/>
  <sheetViews>
    <sheetView zoomScale="130" zoomScaleNormal="130" workbookViewId="0">
      <selection activeCell="E3" sqref="E3"/>
    </sheetView>
  </sheetViews>
  <sheetFormatPr defaultRowHeight="15" x14ac:dyDescent="0.25"/>
  <cols>
    <col min="1" max="1" width="12.28515625" customWidth="1"/>
    <col min="2" max="4" width="11.7109375" customWidth="1"/>
    <col min="7" max="7" width="9.140625" customWidth="1"/>
  </cols>
  <sheetData>
    <row r="1" spans="1:4" x14ac:dyDescent="0.25">
      <c r="A1" s="23" t="s">
        <v>620</v>
      </c>
    </row>
    <row r="2" spans="1:4" x14ac:dyDescent="0.25">
      <c r="A2" s="104" t="s">
        <v>21</v>
      </c>
      <c r="B2" s="8" t="s">
        <v>8</v>
      </c>
      <c r="C2" s="8" t="s">
        <v>8</v>
      </c>
      <c r="D2" s="8" t="s">
        <v>22</v>
      </c>
    </row>
    <row r="3" spans="1:4" x14ac:dyDescent="0.25">
      <c r="B3" s="5" t="s">
        <v>614</v>
      </c>
      <c r="C3" s="5" t="s">
        <v>615</v>
      </c>
      <c r="D3" s="5" t="s">
        <v>27</v>
      </c>
    </row>
    <row r="4" spans="1:4" ht="3.75" customHeight="1" x14ac:dyDescent="0.25"/>
    <row r="5" spans="1:4" x14ac:dyDescent="0.25">
      <c r="A5" s="171" t="s">
        <v>619</v>
      </c>
    </row>
    <row r="6" spans="1:4" ht="3.75" customHeight="1" x14ac:dyDescent="0.25"/>
    <row r="7" spans="1:4" x14ac:dyDescent="0.25">
      <c r="A7" s="8" t="s">
        <v>8</v>
      </c>
      <c r="B7" s="8" t="s">
        <v>22</v>
      </c>
      <c r="C7" s="8" t="s">
        <v>24</v>
      </c>
      <c r="D7" s="8" t="s">
        <v>25</v>
      </c>
    </row>
    <row r="8" spans="1:4" x14ac:dyDescent="0.25">
      <c r="A8" s="13">
        <v>41484</v>
      </c>
      <c r="B8" s="5" t="s">
        <v>27</v>
      </c>
      <c r="C8" s="5" t="s">
        <v>28</v>
      </c>
      <c r="D8" s="5">
        <v>929</v>
      </c>
    </row>
    <row r="9" spans="1:4" x14ac:dyDescent="0.25">
      <c r="A9" s="13">
        <v>40946</v>
      </c>
      <c r="B9" s="5" t="s">
        <v>23</v>
      </c>
      <c r="C9" s="5" t="s">
        <v>30</v>
      </c>
      <c r="D9" s="5">
        <v>681</v>
      </c>
    </row>
    <row r="10" spans="1:4" x14ac:dyDescent="0.25">
      <c r="A10" s="13">
        <v>41175</v>
      </c>
      <c r="B10" s="5" t="s">
        <v>31</v>
      </c>
      <c r="C10" s="14" t="s">
        <v>32</v>
      </c>
      <c r="D10" s="5">
        <v>1393</v>
      </c>
    </row>
    <row r="11" spans="1:4" x14ac:dyDescent="0.25">
      <c r="A11" s="13">
        <v>41013</v>
      </c>
      <c r="B11" s="5" t="s">
        <v>27</v>
      </c>
      <c r="C11" s="14" t="s">
        <v>28</v>
      </c>
      <c r="D11" s="5">
        <v>530</v>
      </c>
    </row>
    <row r="12" spans="1:4" x14ac:dyDescent="0.25">
      <c r="A12" s="13">
        <v>41116</v>
      </c>
      <c r="B12" s="5" t="s">
        <v>23</v>
      </c>
      <c r="C12" s="14" t="s">
        <v>28</v>
      </c>
      <c r="D12" s="5">
        <v>1058</v>
      </c>
    </row>
    <row r="13" spans="1:4" x14ac:dyDescent="0.25">
      <c r="A13" s="13">
        <v>41559</v>
      </c>
      <c r="B13" s="5" t="s">
        <v>31</v>
      </c>
      <c r="C13" s="14" t="s">
        <v>30</v>
      </c>
      <c r="D13" s="5">
        <v>1023</v>
      </c>
    </row>
    <row r="14" spans="1:4" x14ac:dyDescent="0.25">
      <c r="A14" s="13">
        <v>41216</v>
      </c>
      <c r="B14" s="5" t="s">
        <v>27</v>
      </c>
      <c r="C14" s="14" t="s">
        <v>32</v>
      </c>
      <c r="D14" s="5">
        <v>436</v>
      </c>
    </row>
    <row r="15" spans="1:4" x14ac:dyDescent="0.25">
      <c r="A15" s="13">
        <v>41520</v>
      </c>
      <c r="B15" s="5" t="s">
        <v>27</v>
      </c>
      <c r="C15" s="14" t="s">
        <v>32</v>
      </c>
      <c r="D15" s="5">
        <v>1311</v>
      </c>
    </row>
    <row r="16" spans="1:4" x14ac:dyDescent="0.25">
      <c r="A16" s="13">
        <v>41022</v>
      </c>
      <c r="B16" s="5" t="s">
        <v>31</v>
      </c>
      <c r="C16" s="14" t="s">
        <v>32</v>
      </c>
      <c r="D16" s="5">
        <v>368</v>
      </c>
    </row>
    <row r="17" spans="1:4" x14ac:dyDescent="0.25">
      <c r="A17" s="13">
        <v>41103</v>
      </c>
      <c r="B17" s="5" t="s">
        <v>27</v>
      </c>
      <c r="C17" s="14" t="s">
        <v>28</v>
      </c>
      <c r="D17" s="5">
        <v>1206</v>
      </c>
    </row>
    <row r="18" spans="1:4" ht="3.75" customHeight="1" x14ac:dyDescent="0.25">
      <c r="A18" s="166"/>
      <c r="C18" s="32"/>
    </row>
    <row r="19" spans="1:4" x14ac:dyDescent="0.25">
      <c r="A19" s="170" t="s">
        <v>26</v>
      </c>
      <c r="C19" s="32"/>
    </row>
    <row r="20" spans="1:4" x14ac:dyDescent="0.25">
      <c r="A20" s="8" t="s">
        <v>8</v>
      </c>
      <c r="B20" s="8" t="s">
        <v>22</v>
      </c>
      <c r="C20" s="8" t="s">
        <v>24</v>
      </c>
      <c r="D20" s="8" t="s">
        <v>25</v>
      </c>
    </row>
    <row r="21" spans="1:4" x14ac:dyDescent="0.25">
      <c r="A21" s="13">
        <v>41216</v>
      </c>
      <c r="B21" s="5" t="s">
        <v>27</v>
      </c>
      <c r="C21" s="14" t="s">
        <v>32</v>
      </c>
      <c r="D21" s="5">
        <v>436</v>
      </c>
    </row>
    <row r="22" spans="1:4" x14ac:dyDescent="0.25">
      <c r="A22" s="13">
        <v>41103</v>
      </c>
      <c r="B22" s="5" t="s">
        <v>27</v>
      </c>
      <c r="C22" s="14" t="s">
        <v>28</v>
      </c>
      <c r="D22" s="5">
        <v>1206</v>
      </c>
    </row>
  </sheetData>
  <pageMargins left="0.7" right="0.7" top="0.75" bottom="0.75" header="0.3" footer="0.3"/>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5">
    <tabColor rgb="FF0000FF"/>
  </sheetPr>
  <dimension ref="A1:D28"/>
  <sheetViews>
    <sheetView zoomScale="130" zoomScaleNormal="130" workbookViewId="0">
      <selection activeCell="E3" sqref="E3"/>
    </sheetView>
  </sheetViews>
  <sheetFormatPr defaultRowHeight="15" x14ac:dyDescent="0.25"/>
  <cols>
    <col min="1" max="1" width="12.28515625" customWidth="1"/>
    <col min="2" max="4" width="11.7109375" customWidth="1"/>
  </cols>
  <sheetData>
    <row r="1" spans="1:4" x14ac:dyDescent="0.25">
      <c r="A1" s="167" t="s">
        <v>621</v>
      </c>
    </row>
    <row r="2" spans="1:4" x14ac:dyDescent="0.25">
      <c r="A2" s="104" t="s">
        <v>21</v>
      </c>
      <c r="B2" s="8" t="s">
        <v>22</v>
      </c>
    </row>
    <row r="3" spans="1:4" x14ac:dyDescent="0.25">
      <c r="B3" s="5" t="s">
        <v>27</v>
      </c>
    </row>
    <row r="4" spans="1:4" x14ac:dyDescent="0.25">
      <c r="B4" s="5" t="s">
        <v>23</v>
      </c>
    </row>
    <row r="5" spans="1:4" ht="3.75" customHeight="1" x14ac:dyDescent="0.25"/>
    <row r="6" spans="1:4" x14ac:dyDescent="0.25">
      <c r="A6" s="171" t="s">
        <v>619</v>
      </c>
    </row>
    <row r="7" spans="1:4" ht="3.75" customHeight="1" x14ac:dyDescent="0.25"/>
    <row r="8" spans="1:4" x14ac:dyDescent="0.25">
      <c r="A8" s="8" t="s">
        <v>8</v>
      </c>
      <c r="B8" s="8" t="s">
        <v>22</v>
      </c>
      <c r="C8" s="8" t="s">
        <v>24</v>
      </c>
      <c r="D8" s="8" t="s">
        <v>25</v>
      </c>
    </row>
    <row r="9" spans="1:4" x14ac:dyDescent="0.25">
      <c r="A9" s="13">
        <v>41484</v>
      </c>
      <c r="B9" s="5" t="s">
        <v>27</v>
      </c>
      <c r="C9" s="5" t="s">
        <v>28</v>
      </c>
      <c r="D9" s="5">
        <v>929</v>
      </c>
    </row>
    <row r="10" spans="1:4" x14ac:dyDescent="0.25">
      <c r="A10" s="13">
        <v>40946</v>
      </c>
      <c r="B10" s="5" t="s">
        <v>23</v>
      </c>
      <c r="C10" s="5" t="s">
        <v>30</v>
      </c>
      <c r="D10" s="5">
        <v>681</v>
      </c>
    </row>
    <row r="11" spans="1:4" x14ac:dyDescent="0.25">
      <c r="A11" s="13">
        <v>41175</v>
      </c>
      <c r="B11" s="5" t="s">
        <v>31</v>
      </c>
      <c r="C11" s="14" t="s">
        <v>32</v>
      </c>
      <c r="D11" s="5">
        <v>1393</v>
      </c>
    </row>
    <row r="12" spans="1:4" x14ac:dyDescent="0.25">
      <c r="A12" s="13">
        <v>41013</v>
      </c>
      <c r="B12" s="5" t="s">
        <v>27</v>
      </c>
      <c r="C12" s="14" t="s">
        <v>28</v>
      </c>
      <c r="D12" s="5">
        <v>530</v>
      </c>
    </row>
    <row r="13" spans="1:4" x14ac:dyDescent="0.25">
      <c r="A13" s="13">
        <v>41116</v>
      </c>
      <c r="B13" s="5" t="s">
        <v>23</v>
      </c>
      <c r="C13" s="14" t="s">
        <v>28</v>
      </c>
      <c r="D13" s="5">
        <v>1058</v>
      </c>
    </row>
    <row r="14" spans="1:4" x14ac:dyDescent="0.25">
      <c r="A14" s="13">
        <v>41559</v>
      </c>
      <c r="B14" s="5" t="s">
        <v>31</v>
      </c>
      <c r="C14" s="14" t="s">
        <v>30</v>
      </c>
      <c r="D14" s="5">
        <v>1023</v>
      </c>
    </row>
    <row r="15" spans="1:4" x14ac:dyDescent="0.25">
      <c r="A15" s="13">
        <v>41216</v>
      </c>
      <c r="B15" s="5" t="s">
        <v>27</v>
      </c>
      <c r="C15" s="14" t="s">
        <v>32</v>
      </c>
      <c r="D15" s="5">
        <v>436</v>
      </c>
    </row>
    <row r="16" spans="1:4" x14ac:dyDescent="0.25">
      <c r="A16" s="13">
        <v>41520</v>
      </c>
      <c r="B16" s="5" t="s">
        <v>27</v>
      </c>
      <c r="C16" s="14" t="s">
        <v>32</v>
      </c>
      <c r="D16" s="5">
        <v>1311</v>
      </c>
    </row>
    <row r="17" spans="1:4" x14ac:dyDescent="0.25">
      <c r="A17" s="13">
        <v>41022</v>
      </c>
      <c r="B17" s="5" t="s">
        <v>31</v>
      </c>
      <c r="C17" s="14" t="s">
        <v>32</v>
      </c>
      <c r="D17" s="5">
        <v>368</v>
      </c>
    </row>
    <row r="18" spans="1:4" x14ac:dyDescent="0.25">
      <c r="A18" s="13">
        <v>41103</v>
      </c>
      <c r="B18" s="5" t="s">
        <v>27</v>
      </c>
      <c r="C18" s="14" t="s">
        <v>28</v>
      </c>
      <c r="D18" s="5">
        <v>1206</v>
      </c>
    </row>
    <row r="19" spans="1:4" ht="3.75" customHeight="1" x14ac:dyDescent="0.25"/>
    <row r="20" spans="1:4" x14ac:dyDescent="0.25">
      <c r="A20" s="170" t="s">
        <v>26</v>
      </c>
      <c r="C20" s="32"/>
    </row>
    <row r="21" spans="1:4" x14ac:dyDescent="0.25">
      <c r="A21" s="8" t="s">
        <v>8</v>
      </c>
      <c r="B21" s="8" t="s">
        <v>22</v>
      </c>
      <c r="C21" s="8" t="s">
        <v>24</v>
      </c>
      <c r="D21" s="8" t="s">
        <v>25</v>
      </c>
    </row>
    <row r="22" spans="1:4" x14ac:dyDescent="0.25">
      <c r="A22" s="13">
        <v>41484</v>
      </c>
      <c r="B22" s="5" t="s">
        <v>27</v>
      </c>
      <c r="C22" s="5" t="s">
        <v>28</v>
      </c>
      <c r="D22" s="5">
        <v>929</v>
      </c>
    </row>
    <row r="23" spans="1:4" x14ac:dyDescent="0.25">
      <c r="A23" s="13">
        <v>40946</v>
      </c>
      <c r="B23" s="5" t="s">
        <v>23</v>
      </c>
      <c r="C23" s="5" t="s">
        <v>30</v>
      </c>
      <c r="D23" s="5">
        <v>681</v>
      </c>
    </row>
    <row r="24" spans="1:4" x14ac:dyDescent="0.25">
      <c r="A24" s="13">
        <v>41013</v>
      </c>
      <c r="B24" s="5" t="s">
        <v>27</v>
      </c>
      <c r="C24" s="14" t="s">
        <v>28</v>
      </c>
      <c r="D24" s="5">
        <v>530</v>
      </c>
    </row>
    <row r="25" spans="1:4" x14ac:dyDescent="0.25">
      <c r="A25" s="13">
        <v>41116</v>
      </c>
      <c r="B25" s="5" t="s">
        <v>23</v>
      </c>
      <c r="C25" s="14" t="s">
        <v>28</v>
      </c>
      <c r="D25" s="5">
        <v>1058</v>
      </c>
    </row>
    <row r="26" spans="1:4" x14ac:dyDescent="0.25">
      <c r="A26" s="13">
        <v>41216</v>
      </c>
      <c r="B26" s="5" t="s">
        <v>27</v>
      </c>
      <c r="C26" s="14" t="s">
        <v>32</v>
      </c>
      <c r="D26" s="5">
        <v>436</v>
      </c>
    </row>
    <row r="27" spans="1:4" x14ac:dyDescent="0.25">
      <c r="A27" s="13">
        <v>41520</v>
      </c>
      <c r="B27" s="5" t="s">
        <v>27</v>
      </c>
      <c r="C27" s="14" t="s">
        <v>32</v>
      </c>
      <c r="D27" s="5">
        <v>1311</v>
      </c>
    </row>
    <row r="28" spans="1:4" x14ac:dyDescent="0.25">
      <c r="A28" s="13">
        <v>41103</v>
      </c>
      <c r="B28" s="5" t="s">
        <v>27</v>
      </c>
      <c r="C28" s="14" t="s">
        <v>28</v>
      </c>
      <c r="D28" s="5">
        <v>1206</v>
      </c>
    </row>
  </sheetData>
  <pageMargins left="0.7" right="0.7" top="0.75" bottom="0.75" header="0.3" footer="0.3"/>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6">
    <tabColor rgb="FF0000FF"/>
  </sheetPr>
  <dimension ref="A1:E24"/>
  <sheetViews>
    <sheetView zoomScale="130" zoomScaleNormal="130" workbookViewId="0">
      <selection activeCell="E3" sqref="E3"/>
    </sheetView>
  </sheetViews>
  <sheetFormatPr defaultRowHeight="15" x14ac:dyDescent="0.25"/>
  <cols>
    <col min="1" max="1" width="12.28515625" customWidth="1"/>
    <col min="2" max="4" width="11.7109375" customWidth="1"/>
  </cols>
  <sheetData>
    <row r="1" spans="1:5" x14ac:dyDescent="0.25">
      <c r="A1" s="167" t="s">
        <v>627</v>
      </c>
    </row>
    <row r="2" spans="1:5" x14ac:dyDescent="0.25">
      <c r="A2" s="104" t="s">
        <v>21</v>
      </c>
      <c r="B2" s="8" t="s">
        <v>8</v>
      </c>
      <c r="C2" s="8" t="s">
        <v>8</v>
      </c>
      <c r="D2" s="8" t="s">
        <v>22</v>
      </c>
    </row>
    <row r="3" spans="1:5" x14ac:dyDescent="0.25">
      <c r="B3" s="5" t="s">
        <v>614</v>
      </c>
      <c r="C3" s="5" t="s">
        <v>615</v>
      </c>
      <c r="D3" s="5" t="s">
        <v>27</v>
      </c>
      <c r="E3" s="172" t="s">
        <v>622</v>
      </c>
    </row>
    <row r="4" spans="1:5" x14ac:dyDescent="0.25">
      <c r="B4" s="5" t="s">
        <v>614</v>
      </c>
      <c r="C4" s="5" t="s">
        <v>615</v>
      </c>
      <c r="D4" s="5" t="s">
        <v>23</v>
      </c>
    </row>
    <row r="5" spans="1:5" ht="3" customHeight="1" x14ac:dyDescent="0.25">
      <c r="A5" s="50"/>
    </row>
    <row r="6" spans="1:5" x14ac:dyDescent="0.25">
      <c r="A6" s="171" t="s">
        <v>619</v>
      </c>
    </row>
    <row r="7" spans="1:5" ht="3" customHeight="1" x14ac:dyDescent="0.25">
      <c r="A7" s="50"/>
    </row>
    <row r="8" spans="1:5" x14ac:dyDescent="0.25">
      <c r="A8" s="8" t="s">
        <v>8</v>
      </c>
      <c r="B8" s="8" t="s">
        <v>22</v>
      </c>
      <c r="C8" s="8" t="s">
        <v>24</v>
      </c>
      <c r="D8" s="8" t="s">
        <v>25</v>
      </c>
    </row>
    <row r="9" spans="1:5" x14ac:dyDescent="0.25">
      <c r="A9" s="13">
        <v>41484</v>
      </c>
      <c r="B9" s="5" t="s">
        <v>27</v>
      </c>
      <c r="C9" s="5" t="s">
        <v>28</v>
      </c>
      <c r="D9" s="5">
        <v>929</v>
      </c>
    </row>
    <row r="10" spans="1:5" x14ac:dyDescent="0.25">
      <c r="A10" s="13">
        <v>40946</v>
      </c>
      <c r="B10" s="5" t="s">
        <v>23</v>
      </c>
      <c r="C10" s="5" t="s">
        <v>30</v>
      </c>
      <c r="D10" s="5">
        <v>681</v>
      </c>
    </row>
    <row r="11" spans="1:5" x14ac:dyDescent="0.25">
      <c r="A11" s="13">
        <v>41175</v>
      </c>
      <c r="B11" s="5" t="s">
        <v>31</v>
      </c>
      <c r="C11" s="14" t="s">
        <v>32</v>
      </c>
      <c r="D11" s="5">
        <v>1393</v>
      </c>
    </row>
    <row r="12" spans="1:5" x14ac:dyDescent="0.25">
      <c r="A12" s="13">
        <v>41013</v>
      </c>
      <c r="B12" s="5" t="s">
        <v>27</v>
      </c>
      <c r="C12" s="14" t="s">
        <v>28</v>
      </c>
      <c r="D12" s="5">
        <v>530</v>
      </c>
    </row>
    <row r="13" spans="1:5" x14ac:dyDescent="0.25">
      <c r="A13" s="13">
        <v>41116</v>
      </c>
      <c r="B13" s="5" t="s">
        <v>23</v>
      </c>
      <c r="C13" s="14" t="s">
        <v>28</v>
      </c>
      <c r="D13" s="5">
        <v>1058</v>
      </c>
    </row>
    <row r="14" spans="1:5" x14ac:dyDescent="0.25">
      <c r="A14" s="13">
        <v>41559</v>
      </c>
      <c r="B14" s="5" t="s">
        <v>31</v>
      </c>
      <c r="C14" s="14" t="s">
        <v>30</v>
      </c>
      <c r="D14" s="5">
        <v>1023</v>
      </c>
    </row>
    <row r="15" spans="1:5" x14ac:dyDescent="0.25">
      <c r="A15" s="13">
        <v>41216</v>
      </c>
      <c r="B15" s="5" t="s">
        <v>27</v>
      </c>
      <c r="C15" s="14" t="s">
        <v>32</v>
      </c>
      <c r="D15" s="5">
        <v>436</v>
      </c>
    </row>
    <row r="16" spans="1:5" x14ac:dyDescent="0.25">
      <c r="A16" s="13">
        <v>41520</v>
      </c>
      <c r="B16" s="5" t="s">
        <v>27</v>
      </c>
      <c r="C16" s="14" t="s">
        <v>32</v>
      </c>
      <c r="D16" s="5">
        <v>1311</v>
      </c>
    </row>
    <row r="17" spans="1:4" x14ac:dyDescent="0.25">
      <c r="A17" s="13">
        <v>41022</v>
      </c>
      <c r="B17" s="5" t="s">
        <v>31</v>
      </c>
      <c r="C17" s="14" t="s">
        <v>32</v>
      </c>
      <c r="D17" s="5">
        <v>368</v>
      </c>
    </row>
    <row r="18" spans="1:4" x14ac:dyDescent="0.25">
      <c r="A18" s="13">
        <v>41103</v>
      </c>
      <c r="B18" s="5" t="s">
        <v>27</v>
      </c>
      <c r="C18" s="14" t="s">
        <v>28</v>
      </c>
      <c r="D18" s="5">
        <v>1206</v>
      </c>
    </row>
    <row r="19" spans="1:4" ht="3" customHeight="1" x14ac:dyDescent="0.25"/>
    <row r="20" spans="1:4" x14ac:dyDescent="0.25">
      <c r="A20" s="170" t="s">
        <v>26</v>
      </c>
      <c r="C20" s="32"/>
    </row>
    <row r="21" spans="1:4" x14ac:dyDescent="0.25">
      <c r="A21" s="8" t="s">
        <v>8</v>
      </c>
      <c r="B21" s="8" t="s">
        <v>22</v>
      </c>
      <c r="C21" s="8" t="s">
        <v>24</v>
      </c>
      <c r="D21" s="8" t="s">
        <v>25</v>
      </c>
    </row>
    <row r="22" spans="1:4" x14ac:dyDescent="0.25">
      <c r="A22" s="13">
        <v>41116</v>
      </c>
      <c r="B22" s="5" t="s">
        <v>23</v>
      </c>
      <c r="C22" s="14" t="s">
        <v>28</v>
      </c>
      <c r="D22" s="5">
        <v>1058</v>
      </c>
    </row>
    <row r="23" spans="1:4" x14ac:dyDescent="0.25">
      <c r="A23" s="13">
        <v>41216</v>
      </c>
      <c r="B23" s="5" t="s">
        <v>27</v>
      </c>
      <c r="C23" s="14" t="s">
        <v>32</v>
      </c>
      <c r="D23" s="5">
        <v>436</v>
      </c>
    </row>
    <row r="24" spans="1:4" x14ac:dyDescent="0.25">
      <c r="A24" s="13">
        <v>41103</v>
      </c>
      <c r="B24" s="5" t="s">
        <v>27</v>
      </c>
      <c r="C24" s="14" t="s">
        <v>28</v>
      </c>
      <c r="D24" s="5">
        <v>1206</v>
      </c>
    </row>
  </sheetData>
  <pageMargins left="0.7" right="0.7" top="0.75" bottom="0.75" header="0.3" footer="0.3"/>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7">
    <tabColor rgb="FF0000FF"/>
  </sheetPr>
  <dimension ref="A1:F24"/>
  <sheetViews>
    <sheetView zoomScale="130" zoomScaleNormal="130" workbookViewId="0">
      <selection activeCell="E3" sqref="E3"/>
    </sheetView>
  </sheetViews>
  <sheetFormatPr defaultRowHeight="15" x14ac:dyDescent="0.25"/>
  <cols>
    <col min="1" max="1" width="12.28515625" customWidth="1"/>
    <col min="2" max="4" width="11.7109375" customWidth="1"/>
  </cols>
  <sheetData>
    <row r="1" spans="1:6" x14ac:dyDescent="0.25">
      <c r="A1" s="167" t="s">
        <v>627</v>
      </c>
    </row>
    <row r="2" spans="1:6" x14ac:dyDescent="0.25">
      <c r="A2" s="104" t="s">
        <v>21</v>
      </c>
      <c r="B2" s="8" t="s">
        <v>8</v>
      </c>
      <c r="C2" s="8" t="s">
        <v>8</v>
      </c>
      <c r="D2" s="8" t="s">
        <v>22</v>
      </c>
      <c r="E2" s="8" t="s">
        <v>24</v>
      </c>
    </row>
    <row r="3" spans="1:6" x14ac:dyDescent="0.25">
      <c r="B3" s="5" t="s">
        <v>614</v>
      </c>
      <c r="C3" s="5" t="s">
        <v>615</v>
      </c>
      <c r="D3" s="5" t="s">
        <v>27</v>
      </c>
      <c r="E3" s="5"/>
      <c r="F3" s="172" t="s">
        <v>623</v>
      </c>
    </row>
    <row r="4" spans="1:6" x14ac:dyDescent="0.25">
      <c r="B4" s="5" t="s">
        <v>614</v>
      </c>
      <c r="C4" s="5" t="s">
        <v>615</v>
      </c>
      <c r="D4" s="5"/>
      <c r="E4" s="5" t="s">
        <v>32</v>
      </c>
      <c r="F4" s="173" t="s">
        <v>624</v>
      </c>
    </row>
    <row r="5" spans="1:6" ht="12.75" customHeight="1" x14ac:dyDescent="0.25">
      <c r="A5" s="50"/>
      <c r="F5" s="173" t="s">
        <v>625</v>
      </c>
    </row>
    <row r="6" spans="1:6" x14ac:dyDescent="0.25">
      <c r="A6" s="171" t="s">
        <v>619</v>
      </c>
    </row>
    <row r="7" spans="1:6" ht="4.5" customHeight="1" x14ac:dyDescent="0.25"/>
    <row r="8" spans="1:6" x14ac:dyDescent="0.25">
      <c r="A8" s="8" t="s">
        <v>8</v>
      </c>
      <c r="B8" s="8" t="s">
        <v>22</v>
      </c>
      <c r="C8" s="8" t="s">
        <v>24</v>
      </c>
      <c r="D8" s="8" t="s">
        <v>25</v>
      </c>
    </row>
    <row r="9" spans="1:6" x14ac:dyDescent="0.25">
      <c r="A9" s="13">
        <v>41484</v>
      </c>
      <c r="B9" s="5" t="s">
        <v>27</v>
      </c>
      <c r="C9" s="5" t="s">
        <v>28</v>
      </c>
      <c r="D9" s="5">
        <v>929</v>
      </c>
    </row>
    <row r="10" spans="1:6" x14ac:dyDescent="0.25">
      <c r="A10" s="13">
        <v>40946</v>
      </c>
      <c r="B10" s="5" t="s">
        <v>23</v>
      </c>
      <c r="C10" s="5" t="s">
        <v>30</v>
      </c>
      <c r="D10" s="5">
        <v>681</v>
      </c>
    </row>
    <row r="11" spans="1:6" x14ac:dyDescent="0.25">
      <c r="A11" s="13">
        <v>41175</v>
      </c>
      <c r="B11" s="5" t="s">
        <v>31</v>
      </c>
      <c r="C11" s="14" t="s">
        <v>32</v>
      </c>
      <c r="D11" s="5">
        <v>1393</v>
      </c>
    </row>
    <row r="12" spans="1:6" x14ac:dyDescent="0.25">
      <c r="A12" s="13">
        <v>41013</v>
      </c>
      <c r="B12" s="5" t="s">
        <v>27</v>
      </c>
      <c r="C12" s="14" t="s">
        <v>28</v>
      </c>
      <c r="D12" s="5">
        <v>530</v>
      </c>
    </row>
    <row r="13" spans="1:6" x14ac:dyDescent="0.25">
      <c r="A13" s="13">
        <v>41116</v>
      </c>
      <c r="B13" s="5" t="s">
        <v>23</v>
      </c>
      <c r="C13" s="14" t="s">
        <v>28</v>
      </c>
      <c r="D13" s="5">
        <v>1058</v>
      </c>
    </row>
    <row r="14" spans="1:6" x14ac:dyDescent="0.25">
      <c r="A14" s="13">
        <v>41559</v>
      </c>
      <c r="B14" s="5" t="s">
        <v>31</v>
      </c>
      <c r="C14" s="14" t="s">
        <v>30</v>
      </c>
      <c r="D14" s="5">
        <v>1023</v>
      </c>
    </row>
    <row r="15" spans="1:6" x14ac:dyDescent="0.25">
      <c r="A15" s="13">
        <v>41216</v>
      </c>
      <c r="B15" s="5" t="s">
        <v>27</v>
      </c>
      <c r="C15" s="14" t="s">
        <v>32</v>
      </c>
      <c r="D15" s="5">
        <v>436</v>
      </c>
    </row>
    <row r="16" spans="1:6" x14ac:dyDescent="0.25">
      <c r="A16" s="13">
        <v>41520</v>
      </c>
      <c r="B16" s="5" t="s">
        <v>27</v>
      </c>
      <c r="C16" s="14" t="s">
        <v>32</v>
      </c>
      <c r="D16" s="5">
        <v>1311</v>
      </c>
    </row>
    <row r="17" spans="1:4" x14ac:dyDescent="0.25">
      <c r="A17" s="13">
        <v>41022</v>
      </c>
      <c r="B17" s="5" t="s">
        <v>31</v>
      </c>
      <c r="C17" s="14" t="s">
        <v>32</v>
      </c>
      <c r="D17" s="5">
        <v>368</v>
      </c>
    </row>
    <row r="18" spans="1:4" x14ac:dyDescent="0.25">
      <c r="A18" s="13">
        <v>41103</v>
      </c>
      <c r="B18" s="5" t="s">
        <v>27</v>
      </c>
      <c r="C18" s="14" t="s">
        <v>28</v>
      </c>
      <c r="D18" s="5">
        <v>1206</v>
      </c>
    </row>
    <row r="19" spans="1:4" ht="4.5" customHeight="1" x14ac:dyDescent="0.25"/>
    <row r="20" spans="1:4" x14ac:dyDescent="0.25">
      <c r="A20" s="170" t="s">
        <v>26</v>
      </c>
      <c r="C20" s="32"/>
    </row>
    <row r="21" spans="1:4" x14ac:dyDescent="0.25">
      <c r="A21" s="8" t="s">
        <v>8</v>
      </c>
      <c r="B21" s="8" t="s">
        <v>22</v>
      </c>
      <c r="C21" s="8" t="s">
        <v>24</v>
      </c>
      <c r="D21" s="8" t="s">
        <v>25</v>
      </c>
    </row>
    <row r="22" spans="1:4" x14ac:dyDescent="0.25">
      <c r="A22" s="13">
        <v>41175</v>
      </c>
      <c r="B22" s="5" t="s">
        <v>31</v>
      </c>
      <c r="C22" s="14" t="s">
        <v>32</v>
      </c>
      <c r="D22" s="5">
        <v>1393</v>
      </c>
    </row>
    <row r="23" spans="1:4" x14ac:dyDescent="0.25">
      <c r="A23" s="13">
        <v>41216</v>
      </c>
      <c r="B23" s="5" t="s">
        <v>27</v>
      </c>
      <c r="C23" s="14" t="s">
        <v>32</v>
      </c>
      <c r="D23" s="5">
        <v>436</v>
      </c>
    </row>
    <row r="24" spans="1:4" x14ac:dyDescent="0.25">
      <c r="A24" s="13">
        <v>41103</v>
      </c>
      <c r="B24" s="5" t="s">
        <v>27</v>
      </c>
      <c r="C24" s="14" t="s">
        <v>28</v>
      </c>
      <c r="D24" s="5">
        <v>1206</v>
      </c>
    </row>
  </sheetData>
  <pageMargins left="0.7" right="0.7" top="0.75" bottom="0.75" header="0.3" footer="0.3"/>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9">
    <tabColor rgb="FF0000FF"/>
  </sheetPr>
  <dimension ref="A1:D26"/>
  <sheetViews>
    <sheetView zoomScale="115" zoomScaleNormal="115" workbookViewId="0">
      <selection activeCell="E3" sqref="E3"/>
    </sheetView>
  </sheetViews>
  <sheetFormatPr defaultRowHeight="15" x14ac:dyDescent="0.25"/>
  <cols>
    <col min="1" max="1" width="12.28515625" customWidth="1"/>
    <col min="2" max="4" width="11.7109375" customWidth="1"/>
  </cols>
  <sheetData>
    <row r="1" spans="1:4" x14ac:dyDescent="0.25">
      <c r="B1" s="8" t="s">
        <v>8</v>
      </c>
      <c r="C1" s="8" t="s">
        <v>8</v>
      </c>
      <c r="D1" s="8" t="s">
        <v>22</v>
      </c>
    </row>
    <row r="2" spans="1:4" x14ac:dyDescent="0.25">
      <c r="B2" s="7">
        <v>41061</v>
      </c>
      <c r="C2" s="7">
        <v>41425</v>
      </c>
      <c r="D2" s="5" t="s">
        <v>27</v>
      </c>
    </row>
    <row r="3" spans="1:4" x14ac:dyDescent="0.25">
      <c r="D3" s="8" t="s">
        <v>24</v>
      </c>
    </row>
    <row r="4" spans="1:4" x14ac:dyDescent="0.25">
      <c r="D4" s="5" t="s">
        <v>32</v>
      </c>
    </row>
    <row r="5" spans="1:4" x14ac:dyDescent="0.25">
      <c r="A5" s="167" t="s">
        <v>628</v>
      </c>
    </row>
    <row r="6" spans="1:4" x14ac:dyDescent="0.25">
      <c r="A6" s="104" t="s">
        <v>21</v>
      </c>
      <c r="B6" s="333" t="s">
        <v>1471</v>
      </c>
      <c r="C6" t="s">
        <v>1472</v>
      </c>
    </row>
    <row r="7" spans="1:4" x14ac:dyDescent="0.25">
      <c r="B7" s="6" t="b">
        <f>AND(A11&gt;=$B$2,A11&lt;=$C$2,OR(B11=$D$2,C11=$D$4))</f>
        <v>0</v>
      </c>
      <c r="C7" s="23" t="s">
        <v>1739</v>
      </c>
    </row>
    <row r="8" spans="1:4" x14ac:dyDescent="0.25">
      <c r="A8" s="171" t="s">
        <v>619</v>
      </c>
      <c r="C8" t="s">
        <v>629</v>
      </c>
    </row>
    <row r="9" spans="1:4" ht="4.5" customHeight="1" x14ac:dyDescent="0.25"/>
    <row r="10" spans="1:4" x14ac:dyDescent="0.25">
      <c r="A10" s="8" t="s">
        <v>8</v>
      </c>
      <c r="B10" s="8" t="s">
        <v>22</v>
      </c>
      <c r="C10" s="8" t="s">
        <v>24</v>
      </c>
      <c r="D10" s="8" t="s">
        <v>25</v>
      </c>
    </row>
    <row r="11" spans="1:4" x14ac:dyDescent="0.25">
      <c r="A11" s="13">
        <v>41484</v>
      </c>
      <c r="B11" s="5" t="s">
        <v>27</v>
      </c>
      <c r="C11" s="5" t="s">
        <v>28</v>
      </c>
      <c r="D11" s="5">
        <v>929</v>
      </c>
    </row>
    <row r="12" spans="1:4" x14ac:dyDescent="0.25">
      <c r="A12" s="13">
        <v>40946</v>
      </c>
      <c r="B12" s="5" t="s">
        <v>23</v>
      </c>
      <c r="C12" s="5" t="s">
        <v>30</v>
      </c>
      <c r="D12" s="5">
        <v>681</v>
      </c>
    </row>
    <row r="13" spans="1:4" x14ac:dyDescent="0.25">
      <c r="A13" s="13">
        <v>41175</v>
      </c>
      <c r="B13" s="5" t="s">
        <v>31</v>
      </c>
      <c r="C13" s="14" t="s">
        <v>32</v>
      </c>
      <c r="D13" s="5">
        <v>1393</v>
      </c>
    </row>
    <row r="14" spans="1:4" x14ac:dyDescent="0.25">
      <c r="A14" s="13">
        <v>41013</v>
      </c>
      <c r="B14" s="5" t="s">
        <v>27</v>
      </c>
      <c r="C14" s="14" t="s">
        <v>28</v>
      </c>
      <c r="D14" s="5">
        <v>530</v>
      </c>
    </row>
    <row r="15" spans="1:4" x14ac:dyDescent="0.25">
      <c r="A15" s="13">
        <v>41116</v>
      </c>
      <c r="B15" s="5" t="s">
        <v>23</v>
      </c>
      <c r="C15" s="14" t="s">
        <v>28</v>
      </c>
      <c r="D15" s="5">
        <v>1058</v>
      </c>
    </row>
    <row r="16" spans="1:4" x14ac:dyDescent="0.25">
      <c r="A16" s="13">
        <v>41559</v>
      </c>
      <c r="B16" s="5" t="s">
        <v>31</v>
      </c>
      <c r="C16" s="14" t="s">
        <v>30</v>
      </c>
      <c r="D16" s="5">
        <v>1023</v>
      </c>
    </row>
    <row r="17" spans="1:4" x14ac:dyDescent="0.25">
      <c r="A17" s="13">
        <v>41216</v>
      </c>
      <c r="B17" s="5" t="s">
        <v>27</v>
      </c>
      <c r="C17" s="14" t="s">
        <v>32</v>
      </c>
      <c r="D17" s="5">
        <v>436</v>
      </c>
    </row>
    <row r="18" spans="1:4" x14ac:dyDescent="0.25">
      <c r="A18" s="13">
        <v>41520</v>
      </c>
      <c r="B18" s="5" t="s">
        <v>27</v>
      </c>
      <c r="C18" s="14" t="s">
        <v>32</v>
      </c>
      <c r="D18" s="5">
        <v>1311</v>
      </c>
    </row>
    <row r="19" spans="1:4" x14ac:dyDescent="0.25">
      <c r="A19" s="13">
        <v>41022</v>
      </c>
      <c r="B19" s="5" t="s">
        <v>31</v>
      </c>
      <c r="C19" s="14" t="s">
        <v>32</v>
      </c>
      <c r="D19" s="5">
        <v>368</v>
      </c>
    </row>
    <row r="20" spans="1:4" x14ac:dyDescent="0.25">
      <c r="A20" s="13">
        <v>41103</v>
      </c>
      <c r="B20" s="5" t="s">
        <v>27</v>
      </c>
      <c r="C20" s="14" t="s">
        <v>28</v>
      </c>
      <c r="D20" s="5">
        <v>1206</v>
      </c>
    </row>
    <row r="21" spans="1:4" ht="4.5" customHeight="1" x14ac:dyDescent="0.25"/>
    <row r="22" spans="1:4" x14ac:dyDescent="0.25">
      <c r="A22" s="170" t="s">
        <v>26</v>
      </c>
      <c r="C22" s="32"/>
    </row>
    <row r="23" spans="1:4" x14ac:dyDescent="0.25">
      <c r="A23" s="8" t="s">
        <v>8</v>
      </c>
      <c r="B23" s="8" t="s">
        <v>22</v>
      </c>
      <c r="C23" s="8" t="s">
        <v>24</v>
      </c>
      <c r="D23" s="8" t="s">
        <v>25</v>
      </c>
    </row>
    <row r="24" spans="1:4" x14ac:dyDescent="0.25">
      <c r="A24" s="13">
        <v>41175</v>
      </c>
      <c r="B24" s="5" t="s">
        <v>31</v>
      </c>
      <c r="C24" s="14" t="s">
        <v>32</v>
      </c>
      <c r="D24" s="5">
        <v>1393</v>
      </c>
    </row>
    <row r="25" spans="1:4" x14ac:dyDescent="0.25">
      <c r="A25" s="13">
        <v>41216</v>
      </c>
      <c r="B25" s="5" t="s">
        <v>27</v>
      </c>
      <c r="C25" s="14" t="s">
        <v>32</v>
      </c>
      <c r="D25" s="5">
        <v>436</v>
      </c>
    </row>
    <row r="26" spans="1:4" x14ac:dyDescent="0.25">
      <c r="A26" s="13">
        <v>41103</v>
      </c>
      <c r="B26" s="5" t="s">
        <v>27</v>
      </c>
      <c r="C26" s="14" t="s">
        <v>28</v>
      </c>
      <c r="D26" s="5">
        <v>1206</v>
      </c>
    </row>
  </sheetData>
  <pageMargins left="0.7" right="0.7" top="0.75" bottom="0.75" header="0.3" footer="0.3"/>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0">
    <tabColor rgb="FF0000FF"/>
  </sheetPr>
  <dimension ref="A1:G15"/>
  <sheetViews>
    <sheetView zoomScale="156" zoomScaleNormal="156" workbookViewId="0">
      <selection activeCell="E3" sqref="E3"/>
    </sheetView>
  </sheetViews>
  <sheetFormatPr defaultRowHeight="15" x14ac:dyDescent="0.25"/>
  <cols>
    <col min="1" max="1" width="12.28515625" customWidth="1"/>
    <col min="2" max="4" width="11.7109375" customWidth="1"/>
    <col min="5" max="5" width="0.85546875" customWidth="1"/>
  </cols>
  <sheetData>
    <row r="1" spans="1:7" x14ac:dyDescent="0.25">
      <c r="A1" s="171" t="s">
        <v>619</v>
      </c>
      <c r="F1" s="170" t="s">
        <v>26</v>
      </c>
      <c r="G1" s="47"/>
    </row>
    <row r="3" spans="1:7" x14ac:dyDescent="0.25">
      <c r="A3" s="8" t="s">
        <v>8</v>
      </c>
      <c r="B3" s="8" t="s">
        <v>22</v>
      </c>
      <c r="C3" s="8" t="s">
        <v>24</v>
      </c>
      <c r="D3" s="8" t="s">
        <v>25</v>
      </c>
      <c r="F3" s="8" t="s">
        <v>24</v>
      </c>
    </row>
    <row r="4" spans="1:7" x14ac:dyDescent="0.25">
      <c r="A4" s="13">
        <v>41484</v>
      </c>
      <c r="B4" s="5" t="s">
        <v>27</v>
      </c>
      <c r="C4" s="5" t="s">
        <v>28</v>
      </c>
      <c r="D4" s="5">
        <v>929</v>
      </c>
      <c r="F4" s="5" t="s">
        <v>28</v>
      </c>
    </row>
    <row r="5" spans="1:7" x14ac:dyDescent="0.25">
      <c r="A5" s="13">
        <v>40946</v>
      </c>
      <c r="B5" s="5" t="s">
        <v>23</v>
      </c>
      <c r="C5" s="5" t="s">
        <v>30</v>
      </c>
      <c r="D5" s="5">
        <v>681</v>
      </c>
      <c r="F5" s="5" t="s">
        <v>30</v>
      </c>
    </row>
    <row r="6" spans="1:7" x14ac:dyDescent="0.25">
      <c r="A6" s="13">
        <v>41175</v>
      </c>
      <c r="B6" s="5" t="s">
        <v>31</v>
      </c>
      <c r="C6" s="14" t="s">
        <v>32</v>
      </c>
      <c r="D6" s="5">
        <v>1393</v>
      </c>
      <c r="F6" s="14" t="s">
        <v>32</v>
      </c>
    </row>
    <row r="7" spans="1:7" x14ac:dyDescent="0.25">
      <c r="A7" s="13">
        <v>41013</v>
      </c>
      <c r="B7" s="5" t="s">
        <v>27</v>
      </c>
      <c r="C7" s="14" t="s">
        <v>28</v>
      </c>
      <c r="D7" s="5">
        <v>530</v>
      </c>
    </row>
    <row r="8" spans="1:7" x14ac:dyDescent="0.25">
      <c r="A8" s="13">
        <v>41116</v>
      </c>
      <c r="B8" s="5" t="s">
        <v>23</v>
      </c>
      <c r="C8" s="14" t="s">
        <v>28</v>
      </c>
      <c r="D8" s="5">
        <v>1058</v>
      </c>
    </row>
    <row r="9" spans="1:7" x14ac:dyDescent="0.25">
      <c r="A9" s="13">
        <v>41559</v>
      </c>
      <c r="B9" s="5" t="s">
        <v>31</v>
      </c>
      <c r="C9" s="14" t="s">
        <v>30</v>
      </c>
      <c r="D9" s="5">
        <v>1023</v>
      </c>
    </row>
    <row r="10" spans="1:7" x14ac:dyDescent="0.25">
      <c r="A10" s="13">
        <v>41216</v>
      </c>
      <c r="B10" s="5" t="s">
        <v>27</v>
      </c>
      <c r="C10" s="14" t="s">
        <v>32</v>
      </c>
      <c r="D10" s="5">
        <v>436</v>
      </c>
    </row>
    <row r="11" spans="1:7" x14ac:dyDescent="0.25">
      <c r="A11" s="13">
        <v>41520</v>
      </c>
      <c r="B11" s="5" t="s">
        <v>27</v>
      </c>
      <c r="C11" s="14" t="s">
        <v>32</v>
      </c>
      <c r="D11" s="5">
        <v>1311</v>
      </c>
    </row>
    <row r="12" spans="1:7" x14ac:dyDescent="0.25">
      <c r="A12" s="13">
        <v>41022</v>
      </c>
      <c r="B12" s="5" t="s">
        <v>31</v>
      </c>
      <c r="C12" s="14" t="s">
        <v>32</v>
      </c>
      <c r="D12" s="5">
        <v>368</v>
      </c>
    </row>
    <row r="13" spans="1:7" x14ac:dyDescent="0.25">
      <c r="A13" s="13">
        <v>41103</v>
      </c>
      <c r="B13" s="5" t="s">
        <v>27</v>
      </c>
      <c r="C13" s="14" t="s">
        <v>28</v>
      </c>
      <c r="D13" s="5">
        <v>1206</v>
      </c>
    </row>
    <row r="14" spans="1:7" ht="4.5" customHeight="1" x14ac:dyDescent="0.25"/>
    <row r="15" spans="1:7" x14ac:dyDescent="0.25">
      <c r="C15" s="32"/>
    </row>
  </sheetData>
  <pageMargins left="0.7" right="0.7" top="0.75" bottom="0.75" header="0.3" footer="0.3"/>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1">
    <tabColor rgb="FF0000FF"/>
  </sheetPr>
  <dimension ref="A1:D18"/>
  <sheetViews>
    <sheetView zoomScale="160" zoomScaleNormal="160" workbookViewId="0">
      <selection activeCell="E3" sqref="E3"/>
    </sheetView>
  </sheetViews>
  <sheetFormatPr defaultColWidth="8.85546875" defaultRowHeight="15" x14ac:dyDescent="0.25"/>
  <cols>
    <col min="1" max="1" width="9" customWidth="1"/>
    <col min="2" max="2" width="8.7109375" bestFit="1" customWidth="1"/>
    <col min="3" max="3" width="9.85546875" bestFit="1" customWidth="1"/>
    <col min="4" max="4" width="7.140625" bestFit="1" customWidth="1"/>
    <col min="5" max="5" width="8.85546875" customWidth="1"/>
    <col min="6" max="6" width="2" customWidth="1"/>
    <col min="7" max="7" width="3.5703125" bestFit="1" customWidth="1"/>
    <col min="8" max="8" width="11.28515625" customWidth="1"/>
    <col min="9" max="9" width="6.7109375" customWidth="1"/>
    <col min="11" max="11" width="10" customWidth="1"/>
  </cols>
  <sheetData>
    <row r="1" spans="1:4" ht="3.75" customHeight="1" x14ac:dyDescent="0.25">
      <c r="A1" s="23"/>
    </row>
    <row r="2" spans="1:4" x14ac:dyDescent="0.25">
      <c r="A2" s="104" t="s">
        <v>21</v>
      </c>
      <c r="B2" s="8" t="s">
        <v>8</v>
      </c>
      <c r="C2" s="8" t="s">
        <v>8</v>
      </c>
      <c r="D2" s="8" t="s">
        <v>22</v>
      </c>
    </row>
    <row r="3" spans="1:4" x14ac:dyDescent="0.25">
      <c r="B3" s="7">
        <v>41061</v>
      </c>
      <c r="C3" s="7">
        <v>41425</v>
      </c>
      <c r="D3" s="5" t="s">
        <v>27</v>
      </c>
    </row>
    <row r="4" spans="1:4" ht="3.75" customHeight="1" x14ac:dyDescent="0.25"/>
    <row r="5" spans="1:4" x14ac:dyDescent="0.25">
      <c r="A5" s="169" t="s">
        <v>619</v>
      </c>
    </row>
    <row r="6" spans="1:4" ht="3.75" customHeight="1" x14ac:dyDescent="0.25"/>
    <row r="7" spans="1:4" x14ac:dyDescent="0.25">
      <c r="A7" s="8" t="s">
        <v>8</v>
      </c>
      <c r="B7" s="8" t="s">
        <v>22</v>
      </c>
      <c r="C7" s="8" t="s">
        <v>24</v>
      </c>
      <c r="D7" s="8" t="s">
        <v>25</v>
      </c>
    </row>
    <row r="8" spans="1:4" x14ac:dyDescent="0.25">
      <c r="A8" s="13">
        <v>41484</v>
      </c>
      <c r="B8" s="5" t="s">
        <v>27</v>
      </c>
      <c r="C8" s="5" t="s">
        <v>28</v>
      </c>
      <c r="D8" s="5">
        <v>929</v>
      </c>
    </row>
    <row r="9" spans="1:4" x14ac:dyDescent="0.25">
      <c r="A9" s="13">
        <v>40946</v>
      </c>
      <c r="B9" s="5" t="s">
        <v>23</v>
      </c>
      <c r="C9" s="5" t="s">
        <v>30</v>
      </c>
      <c r="D9" s="5">
        <v>681</v>
      </c>
    </row>
    <row r="10" spans="1:4" x14ac:dyDescent="0.25">
      <c r="A10" s="13">
        <v>41175</v>
      </c>
      <c r="B10" s="5" t="s">
        <v>31</v>
      </c>
      <c r="C10" s="14" t="s">
        <v>32</v>
      </c>
      <c r="D10" s="5">
        <v>1393</v>
      </c>
    </row>
    <row r="11" spans="1:4" x14ac:dyDescent="0.25">
      <c r="A11" s="13">
        <v>41013</v>
      </c>
      <c r="B11" s="5" t="s">
        <v>27</v>
      </c>
      <c r="C11" s="14" t="s">
        <v>28</v>
      </c>
      <c r="D11" s="5">
        <v>530</v>
      </c>
    </row>
    <row r="12" spans="1:4" x14ac:dyDescent="0.25">
      <c r="A12" s="13">
        <v>41116</v>
      </c>
      <c r="B12" s="5" t="s">
        <v>23</v>
      </c>
      <c r="C12" s="14" t="s">
        <v>28</v>
      </c>
      <c r="D12" s="5">
        <v>1058</v>
      </c>
    </row>
    <row r="13" spans="1:4" x14ac:dyDescent="0.25">
      <c r="A13" s="13">
        <v>41559</v>
      </c>
      <c r="B13" s="5" t="s">
        <v>31</v>
      </c>
      <c r="C13" s="14" t="s">
        <v>30</v>
      </c>
      <c r="D13" s="5">
        <v>1023</v>
      </c>
    </row>
    <row r="14" spans="1:4" x14ac:dyDescent="0.25">
      <c r="A14" s="13">
        <v>41216</v>
      </c>
      <c r="B14" s="5" t="s">
        <v>27</v>
      </c>
      <c r="C14" s="14" t="s">
        <v>32</v>
      </c>
      <c r="D14" s="5">
        <v>436</v>
      </c>
    </row>
    <row r="15" spans="1:4" x14ac:dyDescent="0.25">
      <c r="A15" s="13">
        <v>41520</v>
      </c>
      <c r="B15" s="5" t="s">
        <v>27</v>
      </c>
      <c r="C15" s="14" t="s">
        <v>32</v>
      </c>
      <c r="D15" s="5">
        <v>1311</v>
      </c>
    </row>
    <row r="16" spans="1:4" x14ac:dyDescent="0.25">
      <c r="A16" s="13">
        <v>41022</v>
      </c>
      <c r="B16" s="5" t="s">
        <v>31</v>
      </c>
      <c r="C16" s="14" t="s">
        <v>32</v>
      </c>
      <c r="D16" s="5">
        <v>368</v>
      </c>
    </row>
    <row r="17" spans="1:4" x14ac:dyDescent="0.25">
      <c r="A17" s="13">
        <v>41103</v>
      </c>
      <c r="B17" s="5" t="s">
        <v>27</v>
      </c>
      <c r="C17" s="14" t="s">
        <v>28</v>
      </c>
      <c r="D17" s="5">
        <v>1206</v>
      </c>
    </row>
    <row r="18" spans="1:4" x14ac:dyDescent="0.25">
      <c r="A18" s="166"/>
      <c r="C18" s="32"/>
    </row>
  </sheetData>
  <conditionalFormatting sqref="A8:D17">
    <cfRule type="expression" dxfId="6" priority="1">
      <formula>AND($A8&gt;=$B$3,$A8&lt;=$C$3,$B8=$D$3)</formula>
    </cfRule>
  </conditionalFormatting>
  <pageMargins left="0.7" right="0.7" top="0.75" bottom="0.75" header="0.3" footer="0.3"/>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2">
    <tabColor rgb="FF0000FF"/>
  </sheetPr>
  <dimension ref="A1:K18"/>
  <sheetViews>
    <sheetView zoomScale="160" zoomScaleNormal="160" workbookViewId="0">
      <selection activeCell="E3" sqref="E3"/>
    </sheetView>
  </sheetViews>
  <sheetFormatPr defaultColWidth="8.85546875" defaultRowHeight="15" x14ac:dyDescent="0.25"/>
  <cols>
    <col min="1" max="1" width="9" customWidth="1"/>
    <col min="2" max="2" width="8.7109375" bestFit="1" customWidth="1"/>
    <col min="3" max="3" width="9.85546875" bestFit="1" customWidth="1"/>
    <col min="4" max="4" width="7.140625" bestFit="1" customWidth="1"/>
    <col min="5" max="5" width="8.85546875" customWidth="1"/>
    <col min="6" max="6" width="2" customWidth="1"/>
    <col min="7" max="7" width="3.5703125" bestFit="1" customWidth="1"/>
    <col min="8" max="8" width="11.28515625" customWidth="1"/>
    <col min="9" max="9" width="6.7109375" customWidth="1"/>
    <col min="11" max="11" width="10" customWidth="1"/>
  </cols>
  <sheetData>
    <row r="1" spans="1:11" x14ac:dyDescent="0.25">
      <c r="A1" s="23" t="s">
        <v>633</v>
      </c>
    </row>
    <row r="2" spans="1:11" x14ac:dyDescent="0.25">
      <c r="A2" s="104" t="s">
        <v>21</v>
      </c>
      <c r="B2" s="8" t="s">
        <v>8</v>
      </c>
      <c r="C2" s="8" t="s">
        <v>8</v>
      </c>
      <c r="D2" s="8" t="s">
        <v>22</v>
      </c>
    </row>
    <row r="3" spans="1:11" x14ac:dyDescent="0.25">
      <c r="B3" s="7">
        <v>41061</v>
      </c>
      <c r="C3" s="7">
        <v>41425</v>
      </c>
      <c r="D3" s="5" t="s">
        <v>27</v>
      </c>
    </row>
    <row r="5" spans="1:11" x14ac:dyDescent="0.25">
      <c r="A5" s="169" t="s">
        <v>619</v>
      </c>
      <c r="H5" s="8" t="s">
        <v>33</v>
      </c>
    </row>
    <row r="6" spans="1:11" x14ac:dyDescent="0.25">
      <c r="H6" s="12">
        <f>MAX(E8:E17)</f>
        <v>2</v>
      </c>
      <c r="I6" t="s">
        <v>1740</v>
      </c>
    </row>
    <row r="7" spans="1:11" x14ac:dyDescent="0.25">
      <c r="A7" s="8" t="s">
        <v>8</v>
      </c>
      <c r="B7" s="8" t="s">
        <v>22</v>
      </c>
      <c r="C7" s="8" t="s">
        <v>24</v>
      </c>
      <c r="D7" s="8" t="s">
        <v>25</v>
      </c>
      <c r="E7" s="8" t="s">
        <v>132</v>
      </c>
    </row>
    <row r="8" spans="1:11" x14ac:dyDescent="0.25">
      <c r="A8" s="13">
        <v>41484</v>
      </c>
      <c r="B8" s="5" t="s">
        <v>27</v>
      </c>
      <c r="C8" s="5" t="s">
        <v>28</v>
      </c>
      <c r="D8" s="5">
        <v>929</v>
      </c>
      <c r="E8" s="6">
        <f>SUM(AND(A8&gt;=B$3,A8&lt;=C$3,B8=D$3),E7)</f>
        <v>0</v>
      </c>
    </row>
    <row r="9" spans="1:11" x14ac:dyDescent="0.25">
      <c r="A9" s="13">
        <v>40946</v>
      </c>
      <c r="B9" s="5" t="s">
        <v>23</v>
      </c>
      <c r="C9" s="5" t="s">
        <v>30</v>
      </c>
      <c r="D9" s="5">
        <v>681</v>
      </c>
      <c r="E9" s="6">
        <f t="shared" ref="E9:E17" si="0">SUM(AND(A9&gt;=B$3,A9&lt;=C$3,B9=D$3),E8)</f>
        <v>0</v>
      </c>
    </row>
    <row r="10" spans="1:11" x14ac:dyDescent="0.25">
      <c r="A10" s="13">
        <v>41175</v>
      </c>
      <c r="B10" s="5" t="s">
        <v>31</v>
      </c>
      <c r="C10" s="14" t="s">
        <v>32</v>
      </c>
      <c r="D10" s="5">
        <v>1393</v>
      </c>
      <c r="E10" s="6">
        <f t="shared" si="0"/>
        <v>0</v>
      </c>
      <c r="G10" s="168" t="s">
        <v>26</v>
      </c>
      <c r="H10" s="47"/>
      <c r="J10" s="32"/>
    </row>
    <row r="11" spans="1:11" x14ac:dyDescent="0.25">
      <c r="A11" s="13">
        <v>41013</v>
      </c>
      <c r="B11" s="5" t="s">
        <v>27</v>
      </c>
      <c r="C11" s="14" t="s">
        <v>28</v>
      </c>
      <c r="D11" s="5">
        <v>530</v>
      </c>
      <c r="E11" s="6">
        <f t="shared" si="0"/>
        <v>0</v>
      </c>
      <c r="G11" s="8" t="s">
        <v>29</v>
      </c>
      <c r="H11" s="8" t="s">
        <v>8</v>
      </c>
      <c r="I11" s="8" t="s">
        <v>22</v>
      </c>
      <c r="J11" s="8" t="s">
        <v>24</v>
      </c>
      <c r="K11" s="8" t="s">
        <v>25</v>
      </c>
    </row>
    <row r="12" spans="1:11" x14ac:dyDescent="0.25">
      <c r="A12" s="13">
        <v>41116</v>
      </c>
      <c r="B12" s="5" t="s">
        <v>23</v>
      </c>
      <c r="C12" s="14" t="s">
        <v>28</v>
      </c>
      <c r="D12" s="5">
        <v>1058</v>
      </c>
      <c r="E12" s="6">
        <f t="shared" si="0"/>
        <v>0</v>
      </c>
      <c r="G12" s="5">
        <v>1</v>
      </c>
      <c r="H12" s="15">
        <f t="shared" ref="H12:K17" si="1">IF($G12&gt;$H$6,"",INDEX(A$8:A$17,MATCH($G12,$E$8:$E$17,0)))</f>
        <v>41216</v>
      </c>
      <c r="I12" s="6" t="str">
        <f>IF($G12&gt;$H$6,"",INDEX(B$8:B$17,MATCH($G12,$E$8:$E$17,0)))</f>
        <v>West</v>
      </c>
      <c r="J12" s="6" t="str">
        <f>IF($G12&gt;$H$6,"",INDEX(C$8:C$17,MATCH($G12,$E$8:$E$17,0)))</f>
        <v>K</v>
      </c>
      <c r="K12" s="6">
        <f>IF($G12&gt;$H$6,"",INDEX(D$8:D$17,MATCH($G12,$E$8:$E$17,0)))</f>
        <v>436</v>
      </c>
    </row>
    <row r="13" spans="1:11" x14ac:dyDescent="0.25">
      <c r="A13" s="13">
        <v>41559</v>
      </c>
      <c r="B13" s="5" t="s">
        <v>31</v>
      </c>
      <c r="C13" s="14" t="s">
        <v>30</v>
      </c>
      <c r="D13" s="5">
        <v>1023</v>
      </c>
      <c r="E13" s="6">
        <f t="shared" si="0"/>
        <v>0</v>
      </c>
      <c r="G13" s="5">
        <v>2</v>
      </c>
      <c r="H13" s="15">
        <f t="shared" si="1"/>
        <v>41103</v>
      </c>
      <c r="I13" s="6" t="str">
        <f t="shared" si="1"/>
        <v>West</v>
      </c>
      <c r="J13" s="6" t="str">
        <f t="shared" si="1"/>
        <v>WFMI</v>
      </c>
      <c r="K13" s="6">
        <f t="shared" si="1"/>
        <v>1206</v>
      </c>
    </row>
    <row r="14" spans="1:11" x14ac:dyDescent="0.25">
      <c r="A14" s="13">
        <v>41216</v>
      </c>
      <c r="B14" s="5" t="s">
        <v>27</v>
      </c>
      <c r="C14" s="14" t="s">
        <v>32</v>
      </c>
      <c r="D14" s="5">
        <v>436</v>
      </c>
      <c r="E14" s="6">
        <f t="shared" si="0"/>
        <v>1</v>
      </c>
      <c r="G14" s="5">
        <v>3</v>
      </c>
      <c r="H14" s="15" t="str">
        <f t="shared" si="1"/>
        <v/>
      </c>
      <c r="I14" s="6" t="str">
        <f t="shared" si="1"/>
        <v/>
      </c>
      <c r="J14" s="6" t="str">
        <f t="shared" si="1"/>
        <v/>
      </c>
      <c r="K14" s="6" t="str">
        <f t="shared" si="1"/>
        <v/>
      </c>
    </row>
    <row r="15" spans="1:11" x14ac:dyDescent="0.25">
      <c r="A15" s="13">
        <v>41520</v>
      </c>
      <c r="B15" s="5" t="s">
        <v>27</v>
      </c>
      <c r="C15" s="14" t="s">
        <v>32</v>
      </c>
      <c r="D15" s="5">
        <v>1311</v>
      </c>
      <c r="E15" s="6">
        <f t="shared" si="0"/>
        <v>1</v>
      </c>
      <c r="G15" s="5">
        <v>4</v>
      </c>
      <c r="H15" s="15" t="str">
        <f t="shared" si="1"/>
        <v/>
      </c>
      <c r="I15" s="6" t="str">
        <f t="shared" si="1"/>
        <v/>
      </c>
      <c r="J15" s="6" t="str">
        <f t="shared" si="1"/>
        <v/>
      </c>
      <c r="K15" s="6" t="str">
        <f t="shared" si="1"/>
        <v/>
      </c>
    </row>
    <row r="16" spans="1:11" x14ac:dyDescent="0.25">
      <c r="A16" s="13">
        <v>41022</v>
      </c>
      <c r="B16" s="5" t="s">
        <v>31</v>
      </c>
      <c r="C16" s="14" t="s">
        <v>32</v>
      </c>
      <c r="D16" s="5">
        <v>368</v>
      </c>
      <c r="E16" s="6">
        <f t="shared" si="0"/>
        <v>1</v>
      </c>
      <c r="G16" s="5">
        <v>5</v>
      </c>
      <c r="H16" s="15" t="str">
        <f t="shared" si="1"/>
        <v/>
      </c>
      <c r="I16" s="6" t="str">
        <f t="shared" si="1"/>
        <v/>
      </c>
      <c r="J16" s="6" t="str">
        <f t="shared" si="1"/>
        <v/>
      </c>
      <c r="K16" s="6" t="str">
        <f t="shared" si="1"/>
        <v/>
      </c>
    </row>
    <row r="17" spans="1:11" x14ac:dyDescent="0.25">
      <c r="A17" s="13">
        <v>41103</v>
      </c>
      <c r="B17" s="5" t="s">
        <v>27</v>
      </c>
      <c r="C17" s="14" t="s">
        <v>28</v>
      </c>
      <c r="D17" s="5">
        <v>1206</v>
      </c>
      <c r="E17" s="6">
        <f t="shared" si="0"/>
        <v>2</v>
      </c>
      <c r="G17" s="5">
        <v>6</v>
      </c>
      <c r="H17" s="15" t="str">
        <f t="shared" si="1"/>
        <v/>
      </c>
      <c r="I17" s="6" t="str">
        <f t="shared" si="1"/>
        <v/>
      </c>
      <c r="J17" s="6" t="str">
        <f t="shared" si="1"/>
        <v/>
      </c>
      <c r="K17" s="6" t="str">
        <f t="shared" si="1"/>
        <v/>
      </c>
    </row>
    <row r="18" spans="1:11" x14ac:dyDescent="0.25">
      <c r="A18" s="166"/>
      <c r="C18" s="32"/>
    </row>
  </sheetData>
  <pageMargins left="0.7" right="0.7" top="0.75" bottom="0.75" header="0.3" footer="0.3"/>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3">
    <tabColor rgb="FF0000FF"/>
  </sheetPr>
  <dimension ref="A1:K18"/>
  <sheetViews>
    <sheetView zoomScale="160" zoomScaleNormal="160" workbookViewId="0">
      <selection activeCell="E3" sqref="E3"/>
    </sheetView>
  </sheetViews>
  <sheetFormatPr defaultColWidth="8.85546875" defaultRowHeight="15" x14ac:dyDescent="0.25"/>
  <cols>
    <col min="1" max="1" width="9" customWidth="1"/>
    <col min="2" max="2" width="8.7109375" bestFit="1" customWidth="1"/>
    <col min="3" max="3" width="11" bestFit="1" customWidth="1"/>
    <col min="4" max="4" width="7.140625" bestFit="1" customWidth="1"/>
    <col min="5" max="5" width="8.85546875" customWidth="1"/>
    <col min="6" max="6" width="2" customWidth="1"/>
    <col min="7" max="7" width="3.5703125" bestFit="1" customWidth="1"/>
    <col min="8" max="8" width="11.28515625" customWidth="1"/>
    <col min="9" max="9" width="6.7109375" customWidth="1"/>
    <col min="11" max="11" width="10" customWidth="1"/>
  </cols>
  <sheetData>
    <row r="1" spans="1:11" x14ac:dyDescent="0.25">
      <c r="A1" s="23" t="s">
        <v>633</v>
      </c>
    </row>
    <row r="2" spans="1:11" x14ac:dyDescent="0.25">
      <c r="A2" s="104" t="s">
        <v>21</v>
      </c>
      <c r="B2" s="8" t="s">
        <v>8</v>
      </c>
      <c r="C2" s="8" t="s">
        <v>8</v>
      </c>
      <c r="D2" s="8" t="s">
        <v>22</v>
      </c>
    </row>
    <row r="3" spans="1:11" x14ac:dyDescent="0.25">
      <c r="B3" s="7">
        <v>40940</v>
      </c>
      <c r="C3" s="7">
        <v>41578</v>
      </c>
      <c r="D3" s="5" t="s">
        <v>27</v>
      </c>
    </row>
    <row r="5" spans="1:11" x14ac:dyDescent="0.25">
      <c r="A5" s="169" t="s">
        <v>619</v>
      </c>
      <c r="H5" s="8" t="s">
        <v>33</v>
      </c>
    </row>
    <row r="6" spans="1:11" x14ac:dyDescent="0.25">
      <c r="H6" s="12">
        <f>MAX(E8:E17)</f>
        <v>5</v>
      </c>
      <c r="I6" t="s">
        <v>1740</v>
      </c>
    </row>
    <row r="7" spans="1:11" x14ac:dyDescent="0.25">
      <c r="A7" s="8" t="s">
        <v>8</v>
      </c>
      <c r="B7" s="8" t="s">
        <v>22</v>
      </c>
      <c r="C7" s="8" t="s">
        <v>24</v>
      </c>
      <c r="D7" s="8" t="s">
        <v>25</v>
      </c>
      <c r="E7" s="8" t="s">
        <v>132</v>
      </c>
    </row>
    <row r="8" spans="1:11" x14ac:dyDescent="0.25">
      <c r="A8" s="13">
        <v>41484</v>
      </c>
      <c r="B8" s="5" t="s">
        <v>27</v>
      </c>
      <c r="C8" s="5" t="s">
        <v>28</v>
      </c>
      <c r="D8" s="5">
        <v>929</v>
      </c>
      <c r="E8" s="6">
        <f>SUM(AND(A8&gt;=B$3,A8&lt;=C$3,B8=D$3),E7)</f>
        <v>1</v>
      </c>
    </row>
    <row r="9" spans="1:11" x14ac:dyDescent="0.25">
      <c r="A9" s="13">
        <v>40946</v>
      </c>
      <c r="B9" s="5" t="s">
        <v>23</v>
      </c>
      <c r="C9" s="5" t="s">
        <v>30</v>
      </c>
      <c r="D9" s="5">
        <v>681</v>
      </c>
      <c r="E9" s="6">
        <f t="shared" ref="E9:E17" si="0">SUM(AND(A9&gt;=B$3,A9&lt;=C$3,B9=D$3),E8)</f>
        <v>1</v>
      </c>
    </row>
    <row r="10" spans="1:11" x14ac:dyDescent="0.25">
      <c r="A10" s="13">
        <v>41175</v>
      </c>
      <c r="B10" s="5" t="s">
        <v>31</v>
      </c>
      <c r="C10" s="14" t="s">
        <v>32</v>
      </c>
      <c r="D10" s="5">
        <v>1393</v>
      </c>
      <c r="E10" s="6">
        <f t="shared" si="0"/>
        <v>1</v>
      </c>
      <c r="G10" s="168" t="s">
        <v>26</v>
      </c>
      <c r="H10" s="47"/>
      <c r="J10" s="32"/>
    </row>
    <row r="11" spans="1:11" x14ac:dyDescent="0.25">
      <c r="A11" s="13">
        <v>41013</v>
      </c>
      <c r="B11" s="5" t="s">
        <v>27</v>
      </c>
      <c r="C11" s="14" t="s">
        <v>28</v>
      </c>
      <c r="D11" s="5">
        <v>530</v>
      </c>
      <c r="E11" s="6">
        <f t="shared" si="0"/>
        <v>2</v>
      </c>
      <c r="G11" s="8" t="s">
        <v>29</v>
      </c>
      <c r="H11" s="8" t="s">
        <v>8</v>
      </c>
      <c r="I11" s="8" t="s">
        <v>22</v>
      </c>
      <c r="J11" s="8" t="s">
        <v>24</v>
      </c>
      <c r="K11" s="8" t="s">
        <v>25</v>
      </c>
    </row>
    <row r="12" spans="1:11" x14ac:dyDescent="0.25">
      <c r="A12" s="13">
        <v>41116</v>
      </c>
      <c r="B12" s="5" t="s">
        <v>23</v>
      </c>
      <c r="C12" s="14" t="s">
        <v>28</v>
      </c>
      <c r="D12" s="5">
        <v>1058</v>
      </c>
      <c r="E12" s="6">
        <f t="shared" si="0"/>
        <v>2</v>
      </c>
      <c r="G12" s="5">
        <v>1</v>
      </c>
      <c r="H12" s="15">
        <f t="shared" ref="H12:K17" si="1">IF($G12&gt;$H$6,"",INDEX(A$8:A$17,MATCH($G12,$E$8:$E$17,0)))</f>
        <v>41484</v>
      </c>
      <c r="I12" s="6" t="str">
        <f t="shared" si="1"/>
        <v>West</v>
      </c>
      <c r="J12" s="6" t="str">
        <f t="shared" si="1"/>
        <v>WFMI</v>
      </c>
      <c r="K12" s="6">
        <f t="shared" si="1"/>
        <v>929</v>
      </c>
    </row>
    <row r="13" spans="1:11" x14ac:dyDescent="0.25">
      <c r="A13" s="13">
        <v>41559</v>
      </c>
      <c r="B13" s="5" t="s">
        <v>31</v>
      </c>
      <c r="C13" s="14" t="s">
        <v>30</v>
      </c>
      <c r="D13" s="5">
        <v>1023</v>
      </c>
      <c r="E13" s="6">
        <f t="shared" si="0"/>
        <v>2</v>
      </c>
      <c r="G13" s="5">
        <v>2</v>
      </c>
      <c r="H13" s="15">
        <f t="shared" si="1"/>
        <v>41013</v>
      </c>
      <c r="I13" s="6" t="str">
        <f t="shared" si="1"/>
        <v>West</v>
      </c>
      <c r="J13" s="6" t="str">
        <f t="shared" si="1"/>
        <v>WFMI</v>
      </c>
      <c r="K13" s="6">
        <f t="shared" si="1"/>
        <v>530</v>
      </c>
    </row>
    <row r="14" spans="1:11" x14ac:dyDescent="0.25">
      <c r="A14" s="13">
        <v>41216</v>
      </c>
      <c r="B14" s="5" t="s">
        <v>27</v>
      </c>
      <c r="C14" s="14" t="s">
        <v>32</v>
      </c>
      <c r="D14" s="5">
        <v>436</v>
      </c>
      <c r="E14" s="6">
        <f t="shared" si="0"/>
        <v>3</v>
      </c>
      <c r="G14" s="5">
        <v>3</v>
      </c>
      <c r="H14" s="15">
        <f t="shared" si="1"/>
        <v>41216</v>
      </c>
      <c r="I14" s="6" t="str">
        <f t="shared" si="1"/>
        <v>West</v>
      </c>
      <c r="J14" s="6" t="str">
        <f t="shared" si="1"/>
        <v>K</v>
      </c>
      <c r="K14" s="6">
        <f t="shared" si="1"/>
        <v>436</v>
      </c>
    </row>
    <row r="15" spans="1:11" x14ac:dyDescent="0.25">
      <c r="A15" s="13">
        <v>41520</v>
      </c>
      <c r="B15" s="5" t="s">
        <v>27</v>
      </c>
      <c r="C15" s="14" t="s">
        <v>32</v>
      </c>
      <c r="D15" s="5">
        <v>1311</v>
      </c>
      <c r="E15" s="6">
        <f t="shared" si="0"/>
        <v>4</v>
      </c>
      <c r="G15" s="5">
        <v>4</v>
      </c>
      <c r="H15" s="15">
        <f t="shared" si="1"/>
        <v>41520</v>
      </c>
      <c r="I15" s="6" t="str">
        <f t="shared" si="1"/>
        <v>West</v>
      </c>
      <c r="J15" s="6" t="str">
        <f t="shared" si="1"/>
        <v>K</v>
      </c>
      <c r="K15" s="6">
        <f t="shared" si="1"/>
        <v>1311</v>
      </c>
    </row>
    <row r="16" spans="1:11" x14ac:dyDescent="0.25">
      <c r="A16" s="13">
        <v>41022</v>
      </c>
      <c r="B16" s="5" t="s">
        <v>31</v>
      </c>
      <c r="C16" s="14" t="s">
        <v>32</v>
      </c>
      <c r="D16" s="5">
        <v>368</v>
      </c>
      <c r="E16" s="6">
        <f t="shared" si="0"/>
        <v>4</v>
      </c>
      <c r="G16" s="5">
        <v>5</v>
      </c>
      <c r="H16" s="15">
        <f t="shared" si="1"/>
        <v>41103</v>
      </c>
      <c r="I16" s="6" t="str">
        <f t="shared" si="1"/>
        <v>West</v>
      </c>
      <c r="J16" s="6" t="str">
        <f t="shared" si="1"/>
        <v>WFMI</v>
      </c>
      <c r="K16" s="6">
        <f t="shared" si="1"/>
        <v>1206</v>
      </c>
    </row>
    <row r="17" spans="1:11" x14ac:dyDescent="0.25">
      <c r="A17" s="13">
        <v>41103</v>
      </c>
      <c r="B17" s="5" t="s">
        <v>27</v>
      </c>
      <c r="C17" s="14" t="s">
        <v>28</v>
      </c>
      <c r="D17" s="5">
        <v>1206</v>
      </c>
      <c r="E17" s="6">
        <f t="shared" si="0"/>
        <v>5</v>
      </c>
      <c r="G17" s="5">
        <v>6</v>
      </c>
      <c r="H17" s="15" t="str">
        <f t="shared" si="1"/>
        <v/>
      </c>
      <c r="I17" s="6" t="str">
        <f t="shared" si="1"/>
        <v/>
      </c>
      <c r="J17" s="6" t="str">
        <f t="shared" si="1"/>
        <v/>
      </c>
      <c r="K17" s="6" t="str">
        <f t="shared" si="1"/>
        <v/>
      </c>
    </row>
    <row r="18" spans="1:11" x14ac:dyDescent="0.25">
      <c r="A18" s="166"/>
      <c r="C18" s="32"/>
    </row>
  </sheetData>
  <pageMargins left="0.7" right="0.7" top="0.75" bottom="0.75" header="0.3" footer="0.3"/>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4">
    <tabColor rgb="FF0000FF"/>
  </sheetPr>
  <dimension ref="A1:K18"/>
  <sheetViews>
    <sheetView zoomScale="160" zoomScaleNormal="160" workbookViewId="0">
      <selection activeCell="E3" sqref="E3"/>
    </sheetView>
  </sheetViews>
  <sheetFormatPr defaultColWidth="8.85546875" defaultRowHeight="15" x14ac:dyDescent="0.25"/>
  <cols>
    <col min="1" max="1" width="9" customWidth="1"/>
    <col min="2" max="2" width="8.7109375" bestFit="1" customWidth="1"/>
    <col min="3" max="3" width="11" bestFit="1" customWidth="1"/>
    <col min="4" max="4" width="7.140625" bestFit="1" customWidth="1"/>
    <col min="5" max="5" width="8.85546875" customWidth="1"/>
    <col min="6" max="6" width="2" customWidth="1"/>
    <col min="7" max="7" width="3.5703125" bestFit="1" customWidth="1"/>
    <col min="8" max="8" width="11.28515625" customWidth="1"/>
    <col min="9" max="9" width="6.7109375" customWidth="1"/>
    <col min="11" max="11" width="10" customWidth="1"/>
  </cols>
  <sheetData>
    <row r="1" spans="1:11" x14ac:dyDescent="0.25">
      <c r="A1" s="23" t="s">
        <v>630</v>
      </c>
    </row>
    <row r="2" spans="1:11" x14ac:dyDescent="0.25">
      <c r="A2" s="104" t="s">
        <v>21</v>
      </c>
      <c r="B2" s="8" t="s">
        <v>8</v>
      </c>
      <c r="C2" s="8" t="s">
        <v>8</v>
      </c>
      <c r="D2" s="8" t="s">
        <v>22</v>
      </c>
    </row>
    <row r="3" spans="1:11" x14ac:dyDescent="0.25">
      <c r="B3" s="7">
        <v>41061</v>
      </c>
      <c r="C3" s="7">
        <v>41425</v>
      </c>
      <c r="D3" s="5" t="s">
        <v>27</v>
      </c>
    </row>
    <row r="5" spans="1:11" x14ac:dyDescent="0.25">
      <c r="A5" s="169" t="s">
        <v>619</v>
      </c>
      <c r="H5" s="8" t="s">
        <v>33</v>
      </c>
    </row>
    <row r="6" spans="1:11" x14ac:dyDescent="0.25">
      <c r="H6" s="12">
        <f>MAX(E8:E17)</f>
        <v>2</v>
      </c>
      <c r="I6" t="s">
        <v>1740</v>
      </c>
    </row>
    <row r="7" spans="1:11" x14ac:dyDescent="0.25">
      <c r="A7" s="8" t="s">
        <v>8</v>
      </c>
      <c r="B7" s="8" t="s">
        <v>22</v>
      </c>
      <c r="C7" s="8" t="s">
        <v>24</v>
      </c>
      <c r="D7" s="8" t="s">
        <v>25</v>
      </c>
      <c r="E7" s="8" t="s">
        <v>132</v>
      </c>
    </row>
    <row r="8" spans="1:11" x14ac:dyDescent="0.25">
      <c r="A8" s="13">
        <v>41484</v>
      </c>
      <c r="B8" s="5" t="s">
        <v>27</v>
      </c>
      <c r="C8" s="5" t="s">
        <v>28</v>
      </c>
      <c r="D8" s="5">
        <v>929</v>
      </c>
      <c r="E8" s="6">
        <f>SUM(AND(A8&gt;=B$3,A8&lt;=C$3,B8=D$3),E7)</f>
        <v>0</v>
      </c>
    </row>
    <row r="9" spans="1:11" x14ac:dyDescent="0.25">
      <c r="A9" s="13">
        <v>40946</v>
      </c>
      <c r="B9" s="5" t="s">
        <v>23</v>
      </c>
      <c r="C9" s="5" t="s">
        <v>30</v>
      </c>
      <c r="D9" s="5">
        <v>681</v>
      </c>
      <c r="E9" s="6">
        <f t="shared" ref="E9:E17" si="0">SUM(AND(A9&gt;=B$3,A9&lt;=C$3,B9=D$3),E8)</f>
        <v>0</v>
      </c>
    </row>
    <row r="10" spans="1:11" x14ac:dyDescent="0.25">
      <c r="A10" s="13">
        <v>41175</v>
      </c>
      <c r="B10" s="5" t="s">
        <v>31</v>
      </c>
      <c r="C10" s="14" t="s">
        <v>32</v>
      </c>
      <c r="D10" s="5">
        <v>1393</v>
      </c>
      <c r="E10" s="6">
        <f t="shared" si="0"/>
        <v>0</v>
      </c>
      <c r="H10" s="174" t="s">
        <v>26</v>
      </c>
      <c r="I10" s="47"/>
      <c r="J10" s="32"/>
    </row>
    <row r="11" spans="1:11" x14ac:dyDescent="0.25">
      <c r="A11" s="13">
        <v>41013</v>
      </c>
      <c r="B11" s="5" t="s">
        <v>27</v>
      </c>
      <c r="C11" s="14" t="s">
        <v>28</v>
      </c>
      <c r="D11" s="5">
        <v>530</v>
      </c>
      <c r="E11" s="6">
        <f t="shared" si="0"/>
        <v>0</v>
      </c>
      <c r="H11" s="8" t="s">
        <v>8</v>
      </c>
      <c r="I11" s="8" t="s">
        <v>22</v>
      </c>
      <c r="J11" s="8" t="s">
        <v>24</v>
      </c>
      <c r="K11" s="8" t="s">
        <v>25</v>
      </c>
    </row>
    <row r="12" spans="1:11" x14ac:dyDescent="0.25">
      <c r="A12" s="13">
        <v>41116</v>
      </c>
      <c r="B12" s="5" t="s">
        <v>23</v>
      </c>
      <c r="C12" s="14" t="s">
        <v>28</v>
      </c>
      <c r="D12" s="5">
        <v>1058</v>
      </c>
      <c r="E12" s="6">
        <f t="shared" si="0"/>
        <v>0</v>
      </c>
      <c r="H12" s="15">
        <f>IF(ROWS(H$12:H12)&gt;$H$6,"",INDEX(A$8:A$17,MATCH(ROWS(H$12:H12),$E$8:$E$17,0)))</f>
        <v>41216</v>
      </c>
      <c r="I12" s="6" t="str">
        <f>IF(ROWS(I$12:I12)&gt;$H$6,"",INDEX(B$8:B$17,MATCH(ROWS(I$12:I12),$E$8:$E$17,0)))</f>
        <v>West</v>
      </c>
      <c r="J12" s="6" t="str">
        <f>IF(ROWS(J$12:J12)&gt;$H$6,"",INDEX(C$8:C$17,MATCH(ROWS(J$12:J12),$E$8:$E$17,0)))</f>
        <v>K</v>
      </c>
      <c r="K12" s="6">
        <f>IF(ROWS(K$12:K12)&gt;$H$6,"",INDEX(D$8:D$17,MATCH(ROWS(K$12:K12),$E$8:$E$17,0)))</f>
        <v>436</v>
      </c>
    </row>
    <row r="13" spans="1:11" x14ac:dyDescent="0.25">
      <c r="A13" s="13">
        <v>41559</v>
      </c>
      <c r="B13" s="5" t="s">
        <v>31</v>
      </c>
      <c r="C13" s="14" t="s">
        <v>30</v>
      </c>
      <c r="D13" s="5">
        <v>1023</v>
      </c>
      <c r="E13" s="6">
        <f t="shared" si="0"/>
        <v>0</v>
      </c>
      <c r="H13" s="15">
        <f>IF(ROWS(H$12:H13)&gt;$H$6,"",INDEX(A$8:A$17,MATCH(ROWS(H$12:H13),$E$8:$E$17,0)))</f>
        <v>41103</v>
      </c>
      <c r="I13" s="6" t="str">
        <f>IF(ROWS(I$12:I13)&gt;$H$6,"",INDEX(B$8:B$17,MATCH(ROWS(I$12:I13),$E$8:$E$17,0)))</f>
        <v>West</v>
      </c>
      <c r="J13" s="6" t="str">
        <f>IF(ROWS(J$12:J13)&gt;$H$6,"",INDEX(C$8:C$17,MATCH(ROWS(J$12:J13),$E$8:$E$17,0)))</f>
        <v>WFMI</v>
      </c>
      <c r="K13" s="6">
        <f>IF(ROWS(K$12:K13)&gt;$H$6,"",INDEX(D$8:D$17,MATCH(ROWS(K$12:K13),$E$8:$E$17,0)))</f>
        <v>1206</v>
      </c>
    </row>
    <row r="14" spans="1:11" x14ac:dyDescent="0.25">
      <c r="A14" s="13">
        <v>41216</v>
      </c>
      <c r="B14" s="5" t="s">
        <v>27</v>
      </c>
      <c r="C14" s="14" t="s">
        <v>32</v>
      </c>
      <c r="D14" s="5">
        <v>436</v>
      </c>
      <c r="E14" s="6">
        <f t="shared" si="0"/>
        <v>1</v>
      </c>
      <c r="H14" s="15" t="str">
        <f>IF(ROWS(H$12:H14)&gt;$H$6,"",INDEX(A$8:A$17,MATCH(ROWS(H$12:H14),$E$8:$E$17,0)))</f>
        <v/>
      </c>
      <c r="I14" s="6" t="str">
        <f>IF(ROWS(I$12:I14)&gt;$H$6,"",INDEX(B$8:B$17,MATCH(ROWS(I$12:I14),$E$8:$E$17,0)))</f>
        <v/>
      </c>
      <c r="J14" s="6" t="str">
        <f>IF(ROWS(J$12:J14)&gt;$H$6,"",INDEX(C$8:C$17,MATCH(ROWS(J$12:J14),$E$8:$E$17,0)))</f>
        <v/>
      </c>
      <c r="K14" s="6" t="str">
        <f>IF(ROWS(K$12:K14)&gt;$H$6,"",INDEX(D$8:D$17,MATCH(ROWS(K$12:K14),$E$8:$E$17,0)))</f>
        <v/>
      </c>
    </row>
    <row r="15" spans="1:11" x14ac:dyDescent="0.25">
      <c r="A15" s="13">
        <v>41520</v>
      </c>
      <c r="B15" s="5" t="s">
        <v>27</v>
      </c>
      <c r="C15" s="14" t="s">
        <v>32</v>
      </c>
      <c r="D15" s="5">
        <v>1311</v>
      </c>
      <c r="E15" s="6">
        <f t="shared" si="0"/>
        <v>1</v>
      </c>
      <c r="H15" s="15" t="str">
        <f>IF(ROWS(H$12:H15)&gt;$H$6,"",INDEX(A$8:A$17,MATCH(ROWS(H$12:H15),$E$8:$E$17,0)))</f>
        <v/>
      </c>
      <c r="I15" s="6" t="str">
        <f>IF(ROWS(I$12:I15)&gt;$H$6,"",INDEX(B$8:B$17,MATCH(ROWS(I$12:I15),$E$8:$E$17,0)))</f>
        <v/>
      </c>
      <c r="J15" s="6" t="str">
        <f>IF(ROWS(J$12:J15)&gt;$H$6,"",INDEX(C$8:C$17,MATCH(ROWS(J$12:J15),$E$8:$E$17,0)))</f>
        <v/>
      </c>
      <c r="K15" s="6" t="str">
        <f>IF(ROWS(K$12:K15)&gt;$H$6,"",INDEX(D$8:D$17,MATCH(ROWS(K$12:K15),$E$8:$E$17,0)))</f>
        <v/>
      </c>
    </row>
    <row r="16" spans="1:11" x14ac:dyDescent="0.25">
      <c r="A16" s="13">
        <v>41022</v>
      </c>
      <c r="B16" s="5" t="s">
        <v>31</v>
      </c>
      <c r="C16" s="14" t="s">
        <v>32</v>
      </c>
      <c r="D16" s="5">
        <v>368</v>
      </c>
      <c r="E16" s="6">
        <f t="shared" si="0"/>
        <v>1</v>
      </c>
      <c r="H16" s="15" t="str">
        <f>IF(ROWS(H$12:H16)&gt;$H$6,"",INDEX(A$8:A$17,MATCH(ROWS(H$12:H16),$E$8:$E$17,0)))</f>
        <v/>
      </c>
      <c r="I16" s="6" t="str">
        <f>IF(ROWS(I$12:I16)&gt;$H$6,"",INDEX(B$8:B$17,MATCH(ROWS(I$12:I16),$E$8:$E$17,0)))</f>
        <v/>
      </c>
      <c r="J16" s="6" t="str">
        <f>IF(ROWS(J$12:J16)&gt;$H$6,"",INDEX(C$8:C$17,MATCH(ROWS(J$12:J16),$E$8:$E$17,0)))</f>
        <v/>
      </c>
      <c r="K16" s="6" t="str">
        <f>IF(ROWS(K$12:K16)&gt;$H$6,"",INDEX(D$8:D$17,MATCH(ROWS(K$12:K16),$E$8:$E$17,0)))</f>
        <v/>
      </c>
    </row>
    <row r="17" spans="1:11" x14ac:dyDescent="0.25">
      <c r="A17" s="13">
        <v>41103</v>
      </c>
      <c r="B17" s="5" t="s">
        <v>27</v>
      </c>
      <c r="C17" s="14" t="s">
        <v>28</v>
      </c>
      <c r="D17" s="5">
        <v>1206</v>
      </c>
      <c r="E17" s="6">
        <f t="shared" si="0"/>
        <v>2</v>
      </c>
      <c r="H17" s="15" t="str">
        <f>IF(ROWS(H$12:H17)&gt;$H$6,"",INDEX(A$8:A$17,MATCH(ROWS(H$12:H17),$E$8:$E$17,0)))</f>
        <v/>
      </c>
      <c r="I17" s="6" t="str">
        <f>IF(ROWS(I$12:I17)&gt;$H$6,"",INDEX(B$8:B$17,MATCH(ROWS(I$12:I17),$E$8:$E$17,0)))</f>
        <v/>
      </c>
      <c r="J17" s="6" t="str">
        <f>IF(ROWS(J$12:J17)&gt;$H$6,"",INDEX(C$8:C$17,MATCH(ROWS(J$12:J17),$E$8:$E$17,0)))</f>
        <v/>
      </c>
      <c r="K17" s="6" t="str">
        <f>IF(ROWS(K$12:K17)&gt;$H$6,"",INDEX(D$8:D$17,MATCH(ROWS(K$12:K17),$E$8:$E$17,0)))</f>
        <v/>
      </c>
    </row>
    <row r="18" spans="1:11" x14ac:dyDescent="0.25">
      <c r="A18" s="166"/>
      <c r="C18" s="32"/>
    </row>
  </sheetData>
  <pageMargins left="0.7" right="0.7" top="0.75" bottom="0.75" header="0.3" footer="0.3"/>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5">
    <tabColor rgb="FF0000FF"/>
  </sheetPr>
  <dimension ref="A1:N19"/>
  <sheetViews>
    <sheetView zoomScale="130" zoomScaleNormal="130" workbookViewId="0">
      <selection activeCell="E3" sqref="E3"/>
    </sheetView>
  </sheetViews>
  <sheetFormatPr defaultRowHeight="15" x14ac:dyDescent="0.25"/>
  <cols>
    <col min="2" max="2" width="12.28515625" customWidth="1"/>
    <col min="3" max="5" width="11.7109375" customWidth="1"/>
    <col min="6" max="6" width="1.5703125" customWidth="1"/>
  </cols>
  <sheetData>
    <row r="1" spans="1:14" x14ac:dyDescent="0.25">
      <c r="A1" s="23" t="s">
        <v>634</v>
      </c>
    </row>
    <row r="2" spans="1:14" x14ac:dyDescent="0.25">
      <c r="A2" s="104" t="s">
        <v>21</v>
      </c>
      <c r="B2" s="8" t="s">
        <v>24</v>
      </c>
    </row>
    <row r="3" spans="1:14" x14ac:dyDescent="0.25">
      <c r="B3" s="5" t="s">
        <v>32</v>
      </c>
    </row>
    <row r="4" spans="1:14" x14ac:dyDescent="0.25">
      <c r="B4" s="5" t="s">
        <v>30</v>
      </c>
    </row>
    <row r="5" spans="1:14" x14ac:dyDescent="0.25">
      <c r="G5" s="8" t="s">
        <v>33</v>
      </c>
    </row>
    <row r="6" spans="1:14" x14ac:dyDescent="0.25">
      <c r="A6" s="171" t="s">
        <v>619</v>
      </c>
      <c r="G6" s="12">
        <f>MAX(A10:A19)</f>
        <v>6</v>
      </c>
      <c r="H6" t="s">
        <v>1741</v>
      </c>
    </row>
    <row r="7" spans="1:14" x14ac:dyDescent="0.25">
      <c r="M7" s="112" t="s">
        <v>751</v>
      </c>
    </row>
    <row r="8" spans="1:14" x14ac:dyDescent="0.25">
      <c r="A8" t="s">
        <v>1743</v>
      </c>
      <c r="G8" s="174" t="s">
        <v>26</v>
      </c>
      <c r="H8" s="47"/>
      <c r="I8" s="32"/>
      <c r="N8" t="s">
        <v>1742</v>
      </c>
    </row>
    <row r="9" spans="1:14" x14ac:dyDescent="0.25">
      <c r="A9" s="8" t="s">
        <v>132</v>
      </c>
      <c r="B9" s="8" t="s">
        <v>8</v>
      </c>
      <c r="C9" s="8" t="s">
        <v>22</v>
      </c>
      <c r="D9" s="8" t="s">
        <v>24</v>
      </c>
      <c r="E9" s="8" t="s">
        <v>25</v>
      </c>
      <c r="G9" s="8" t="s">
        <v>8</v>
      </c>
      <c r="H9" s="8" t="s">
        <v>22</v>
      </c>
      <c r="I9" s="8" t="s">
        <v>24</v>
      </c>
      <c r="J9" s="8" t="s">
        <v>25</v>
      </c>
      <c r="N9" s="8" t="s">
        <v>132</v>
      </c>
    </row>
    <row r="10" spans="1:14" x14ac:dyDescent="0.25">
      <c r="A10" s="6">
        <f>SUM(ISNUMBER(MATCH(D10,$B$3:$B$4,0)),A9)</f>
        <v>0</v>
      </c>
      <c r="B10" s="13">
        <v>41484</v>
      </c>
      <c r="C10" s="5" t="s">
        <v>27</v>
      </c>
      <c r="D10" s="5" t="s">
        <v>28</v>
      </c>
      <c r="E10" s="5">
        <v>929</v>
      </c>
      <c r="G10" s="15">
        <f>IF(ROWS(G$10:G10)&gt;$G$6,"",VLOOKUP(ROWS(G$10:G10),$A$10:$E$19,COLUMNS($G10:G10)+1,0))</f>
        <v>40946</v>
      </c>
      <c r="H10" s="6" t="str">
        <f>IF(ROWS(H$10:H10)&gt;$G$6,"",VLOOKUP(ROWS(H$10:H10),$A$10:$E$19,COLUMNS($G10:H10)+1,0))</f>
        <v>East</v>
      </c>
      <c r="I10" s="6" t="str">
        <f>IF(ROWS(I$10:I10)&gt;$G$6,"",VLOOKUP(ROWS(I$10:I10),$A$10:$E$19,COLUMNS($G10:I10)+1,0))</f>
        <v>SW</v>
      </c>
      <c r="J10" s="6">
        <f>IF(ROWS(J$10:J10)&gt;$G$6,"",VLOOKUP(ROWS(J$10:J10),$A$10:$E$19,COLUMNS($G10:J10)+1,0))</f>
        <v>681</v>
      </c>
      <c r="N10" s="6">
        <f t="shared" ref="N10:N19" si="0">SUM(OR(D10=$B$3,D10=$B$4),N9)</f>
        <v>0</v>
      </c>
    </row>
    <row r="11" spans="1:14" x14ac:dyDescent="0.25">
      <c r="A11" s="6">
        <f t="shared" ref="A11:A19" si="1">SUM(ISNUMBER(MATCH(D11,$B$3:$B$4,0)),A10)</f>
        <v>1</v>
      </c>
      <c r="B11" s="13">
        <v>40946</v>
      </c>
      <c r="C11" s="5" t="s">
        <v>23</v>
      </c>
      <c r="D11" s="5" t="s">
        <v>30</v>
      </c>
      <c r="E11" s="5">
        <v>681</v>
      </c>
      <c r="G11" s="15">
        <f>IF(ROWS(G$10:G11)&gt;$G$6,"",VLOOKUP(ROWS(G$10:G11),$A$10:$E$19,COLUMNS($G11:G11)+1,0))</f>
        <v>41175</v>
      </c>
      <c r="H11" s="6" t="str">
        <f>IF(ROWS(H$10:H11)&gt;$G$6,"",VLOOKUP(ROWS(H$10:H11),$A$10:$E$19,COLUMNS($G11:H11)+1,0))</f>
        <v>Midwest</v>
      </c>
      <c r="I11" s="6" t="str">
        <f>IF(ROWS(I$10:I11)&gt;$G$6,"",VLOOKUP(ROWS(I$10:I11),$A$10:$E$19,COLUMNS($G11:I11)+1,0))</f>
        <v>K</v>
      </c>
      <c r="J11" s="6">
        <f>IF(ROWS(J$10:J11)&gt;$G$6,"",VLOOKUP(ROWS(J$10:J11),$A$10:$E$19,COLUMNS($G11:J11)+1,0))</f>
        <v>1393</v>
      </c>
      <c r="N11" s="6">
        <f t="shared" si="0"/>
        <v>1</v>
      </c>
    </row>
    <row r="12" spans="1:14" x14ac:dyDescent="0.25">
      <c r="A12" s="6">
        <f t="shared" si="1"/>
        <v>2</v>
      </c>
      <c r="B12" s="13">
        <v>41175</v>
      </c>
      <c r="C12" s="5" t="s">
        <v>31</v>
      </c>
      <c r="D12" s="14" t="s">
        <v>32</v>
      </c>
      <c r="E12" s="5">
        <v>1393</v>
      </c>
      <c r="G12" s="15">
        <f>IF(ROWS(G$10:G12)&gt;$G$6,"",VLOOKUP(ROWS(G$10:G12),$A$10:$E$19,COLUMNS($G12:G12)+1,0))</f>
        <v>41559</v>
      </c>
      <c r="H12" s="6" t="str">
        <f>IF(ROWS(H$10:H12)&gt;$G$6,"",VLOOKUP(ROWS(H$10:H12),$A$10:$E$19,COLUMNS($G12:H12)+1,0))</f>
        <v>Midwest</v>
      </c>
      <c r="I12" s="6" t="str">
        <f>IF(ROWS(I$10:I12)&gt;$G$6,"",VLOOKUP(ROWS(I$10:I12),$A$10:$E$19,COLUMNS($G12:I12)+1,0))</f>
        <v>SW</v>
      </c>
      <c r="J12" s="6">
        <f>IF(ROWS(J$10:J12)&gt;$G$6,"",VLOOKUP(ROWS(J$10:J12),$A$10:$E$19,COLUMNS($G12:J12)+1,0))</f>
        <v>1023</v>
      </c>
      <c r="N12" s="6">
        <f t="shared" si="0"/>
        <v>2</v>
      </c>
    </row>
    <row r="13" spans="1:14" x14ac:dyDescent="0.25">
      <c r="A13" s="6">
        <f t="shared" si="1"/>
        <v>2</v>
      </c>
      <c r="B13" s="13">
        <v>41013</v>
      </c>
      <c r="C13" s="5" t="s">
        <v>27</v>
      </c>
      <c r="D13" s="14" t="s">
        <v>28</v>
      </c>
      <c r="E13" s="5">
        <v>530</v>
      </c>
      <c r="G13" s="15">
        <f>IF(ROWS(G$10:G13)&gt;$G$6,"",VLOOKUP(ROWS(G$10:G13),$A$10:$E$19,COLUMNS($G13:G13)+1,0))</f>
        <v>41216</v>
      </c>
      <c r="H13" s="6" t="str">
        <f>IF(ROWS(H$10:H13)&gt;$G$6,"",VLOOKUP(ROWS(H$10:H13),$A$10:$E$19,COLUMNS($G13:H13)+1,0))</f>
        <v>West</v>
      </c>
      <c r="I13" s="6" t="str">
        <f>IF(ROWS(I$10:I13)&gt;$G$6,"",VLOOKUP(ROWS(I$10:I13),$A$10:$E$19,COLUMNS($G13:I13)+1,0))</f>
        <v>K</v>
      </c>
      <c r="J13" s="6">
        <f>IF(ROWS(J$10:J13)&gt;$G$6,"",VLOOKUP(ROWS(J$10:J13),$A$10:$E$19,COLUMNS($G13:J13)+1,0))</f>
        <v>436</v>
      </c>
      <c r="N13" s="6">
        <f t="shared" si="0"/>
        <v>2</v>
      </c>
    </row>
    <row r="14" spans="1:14" x14ac:dyDescent="0.25">
      <c r="A14" s="6">
        <f t="shared" si="1"/>
        <v>2</v>
      </c>
      <c r="B14" s="13">
        <v>41116</v>
      </c>
      <c r="C14" s="5" t="s">
        <v>23</v>
      </c>
      <c r="D14" s="14" t="s">
        <v>28</v>
      </c>
      <c r="E14" s="5">
        <v>1058</v>
      </c>
      <c r="G14" s="15">
        <f>IF(ROWS(G$10:G14)&gt;$G$6,"",VLOOKUP(ROWS(G$10:G14),$A$10:$E$19,COLUMNS($G14:G14)+1,0))</f>
        <v>41520</v>
      </c>
      <c r="H14" s="6" t="str">
        <f>IF(ROWS(H$10:H14)&gt;$G$6,"",VLOOKUP(ROWS(H$10:H14),$A$10:$E$19,COLUMNS($G14:H14)+1,0))</f>
        <v>West</v>
      </c>
      <c r="I14" s="6" t="str">
        <f>IF(ROWS(I$10:I14)&gt;$G$6,"",VLOOKUP(ROWS(I$10:I14),$A$10:$E$19,COLUMNS($G14:I14)+1,0))</f>
        <v>K</v>
      </c>
      <c r="J14" s="6">
        <f>IF(ROWS(J$10:J14)&gt;$G$6,"",VLOOKUP(ROWS(J$10:J14),$A$10:$E$19,COLUMNS($G14:J14)+1,0))</f>
        <v>1311</v>
      </c>
      <c r="N14" s="6">
        <f t="shared" si="0"/>
        <v>2</v>
      </c>
    </row>
    <row r="15" spans="1:14" x14ac:dyDescent="0.25">
      <c r="A15" s="6">
        <f t="shared" si="1"/>
        <v>3</v>
      </c>
      <c r="B15" s="13">
        <v>41559</v>
      </c>
      <c r="C15" s="5" t="s">
        <v>31</v>
      </c>
      <c r="D15" s="14" t="s">
        <v>30</v>
      </c>
      <c r="E15" s="5">
        <v>1023</v>
      </c>
      <c r="G15" s="15">
        <f>IF(ROWS(G$10:G15)&gt;$G$6,"",VLOOKUP(ROWS(G$10:G15),$A$10:$E$19,COLUMNS($G15:G15)+1,0))</f>
        <v>41022</v>
      </c>
      <c r="H15" s="6" t="str">
        <f>IF(ROWS(H$10:H15)&gt;$G$6,"",VLOOKUP(ROWS(H$10:H15),$A$10:$E$19,COLUMNS($G15:H15)+1,0))</f>
        <v>Midwest</v>
      </c>
      <c r="I15" s="6" t="str">
        <f>IF(ROWS(I$10:I15)&gt;$G$6,"",VLOOKUP(ROWS(I$10:I15),$A$10:$E$19,COLUMNS($G15:I15)+1,0))</f>
        <v>K</v>
      </c>
      <c r="J15" s="6">
        <f>IF(ROWS(J$10:J15)&gt;$G$6,"",VLOOKUP(ROWS(J$10:J15),$A$10:$E$19,COLUMNS($G15:J15)+1,0))</f>
        <v>368</v>
      </c>
      <c r="N15" s="6">
        <f t="shared" si="0"/>
        <v>3</v>
      </c>
    </row>
    <row r="16" spans="1:14" x14ac:dyDescent="0.25">
      <c r="A16" s="6">
        <f t="shared" si="1"/>
        <v>4</v>
      </c>
      <c r="B16" s="13">
        <v>41216</v>
      </c>
      <c r="C16" s="5" t="s">
        <v>27</v>
      </c>
      <c r="D16" s="14" t="s">
        <v>32</v>
      </c>
      <c r="E16" s="5">
        <v>436</v>
      </c>
      <c r="G16" s="15" t="str">
        <f>IF(ROWS(G$10:G16)&gt;$G$6,"",VLOOKUP(ROWS(G$10:G16),$A$10:$E$19,COLUMNS($G16:G16)+1,0))</f>
        <v/>
      </c>
      <c r="H16" s="6" t="str">
        <f>IF(ROWS(H$10:H16)&gt;$G$6,"",VLOOKUP(ROWS(H$10:H16),$A$10:$E$19,COLUMNS($G16:H16)+1,0))</f>
        <v/>
      </c>
      <c r="I16" s="6" t="str">
        <f>IF(ROWS(I$10:I16)&gt;$G$6,"",VLOOKUP(ROWS(I$10:I16),$A$10:$E$19,COLUMNS($G16:I16)+1,0))</f>
        <v/>
      </c>
      <c r="J16" s="6" t="str">
        <f>IF(ROWS(J$10:J16)&gt;$G$6,"",VLOOKUP(ROWS(J$10:J16),$A$10:$E$19,COLUMNS($G16:J16)+1,0))</f>
        <v/>
      </c>
      <c r="N16" s="6">
        <f t="shared" si="0"/>
        <v>4</v>
      </c>
    </row>
    <row r="17" spans="1:14" x14ac:dyDescent="0.25">
      <c r="A17" s="6">
        <f t="shared" si="1"/>
        <v>5</v>
      </c>
      <c r="B17" s="13">
        <v>41520</v>
      </c>
      <c r="C17" s="5" t="s">
        <v>27</v>
      </c>
      <c r="D17" s="14" t="s">
        <v>32</v>
      </c>
      <c r="E17" s="5">
        <v>1311</v>
      </c>
      <c r="G17" s="15" t="str">
        <f>IF(ROWS(G$10:G17)&gt;$G$6,"",VLOOKUP(ROWS(G$10:G17),$A$10:$E$19,COLUMNS($G17:G17)+1,0))</f>
        <v/>
      </c>
      <c r="H17" s="6" t="str">
        <f>IF(ROWS(H$10:H17)&gt;$G$6,"",VLOOKUP(ROWS(H$10:H17),$A$10:$E$19,COLUMNS($G17:H17)+1,0))</f>
        <v/>
      </c>
      <c r="I17" s="6" t="str">
        <f>IF(ROWS(I$10:I17)&gt;$G$6,"",VLOOKUP(ROWS(I$10:I17),$A$10:$E$19,COLUMNS($G17:I17)+1,0))</f>
        <v/>
      </c>
      <c r="J17" s="6" t="str">
        <f>IF(ROWS(J$10:J17)&gt;$G$6,"",VLOOKUP(ROWS(J$10:J17),$A$10:$E$19,COLUMNS($G17:J17)+1,0))</f>
        <v/>
      </c>
      <c r="N17" s="6">
        <f t="shared" si="0"/>
        <v>5</v>
      </c>
    </row>
    <row r="18" spans="1:14" x14ac:dyDescent="0.25">
      <c r="A18" s="6">
        <f t="shared" si="1"/>
        <v>6</v>
      </c>
      <c r="B18" s="13">
        <v>41022</v>
      </c>
      <c r="C18" s="5" t="s">
        <v>31</v>
      </c>
      <c r="D18" s="14" t="s">
        <v>32</v>
      </c>
      <c r="E18" s="5">
        <v>368</v>
      </c>
      <c r="G18" s="15" t="str">
        <f>IF(ROWS(G$10:G18)&gt;$G$6,"",VLOOKUP(ROWS(G$10:G18),$A$10:$E$19,COLUMNS($G18:G18)+1,0))</f>
        <v/>
      </c>
      <c r="H18" s="6" t="str">
        <f>IF(ROWS(H$10:H18)&gt;$G$6,"",VLOOKUP(ROWS(H$10:H18),$A$10:$E$19,COLUMNS($G18:H18)+1,0))</f>
        <v/>
      </c>
      <c r="I18" s="6" t="str">
        <f>IF(ROWS(I$10:I18)&gt;$G$6,"",VLOOKUP(ROWS(I$10:I18),$A$10:$E$19,COLUMNS($G18:I18)+1,0))</f>
        <v/>
      </c>
      <c r="J18" s="6" t="str">
        <f>IF(ROWS(J$10:J18)&gt;$G$6,"",VLOOKUP(ROWS(J$10:J18),$A$10:$E$19,COLUMNS($G18:J18)+1,0))</f>
        <v/>
      </c>
      <c r="N18" s="6">
        <f t="shared" si="0"/>
        <v>6</v>
      </c>
    </row>
    <row r="19" spans="1:14" x14ac:dyDescent="0.25">
      <c r="A19" s="6">
        <f t="shared" si="1"/>
        <v>6</v>
      </c>
      <c r="B19" s="13">
        <v>41103</v>
      </c>
      <c r="C19" s="5" t="s">
        <v>27</v>
      </c>
      <c r="D19" s="14" t="s">
        <v>28</v>
      </c>
      <c r="E19" s="5">
        <v>1206</v>
      </c>
      <c r="G19" s="15" t="str">
        <f>IF(ROWS(G$10:G19)&gt;$G$6,"",VLOOKUP(ROWS(G$10:G19),$A$10:$E$19,COLUMNS($G19:G19)+1,0))</f>
        <v/>
      </c>
      <c r="H19" s="6" t="str">
        <f>IF(ROWS(H$10:H19)&gt;$G$6,"",VLOOKUP(ROWS(H$10:H19),$A$10:$E$19,COLUMNS($G19:H19)+1,0))</f>
        <v/>
      </c>
      <c r="I19" s="6" t="str">
        <f>IF(ROWS(I$10:I19)&gt;$G$6,"",VLOOKUP(ROWS(I$10:I19),$A$10:$E$19,COLUMNS($G19:I19)+1,0))</f>
        <v/>
      </c>
      <c r="J19" s="6" t="str">
        <f>IF(ROWS(J$10:J19)&gt;$G$6,"",VLOOKUP(ROWS(J$10:J19),$A$10:$E$19,COLUMNS($G19:J19)+1,0))</f>
        <v/>
      </c>
      <c r="N19" s="6">
        <f t="shared" si="0"/>
        <v>6</v>
      </c>
    </row>
  </sheetData>
  <pageMargins left="0.7" right="0.7" top="0.75" bottom="0.75" header="0.3" footer="0.3"/>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6">
    <tabColor rgb="FF0000FF"/>
  </sheetPr>
  <dimension ref="A1:I19"/>
  <sheetViews>
    <sheetView zoomScale="160" zoomScaleNormal="160" workbookViewId="0">
      <selection activeCell="E3" sqref="E3"/>
    </sheetView>
  </sheetViews>
  <sheetFormatPr defaultRowHeight="15" x14ac:dyDescent="0.25"/>
  <cols>
    <col min="2" max="2" width="12.28515625" customWidth="1"/>
    <col min="3" max="5" width="11.7109375" customWidth="1"/>
    <col min="6" max="6" width="1.5703125" customWidth="1"/>
  </cols>
  <sheetData>
    <row r="1" spans="1:9" x14ac:dyDescent="0.25">
      <c r="A1" s="23" t="s">
        <v>635</v>
      </c>
    </row>
    <row r="2" spans="1:9" x14ac:dyDescent="0.25">
      <c r="A2" s="104" t="s">
        <v>21</v>
      </c>
      <c r="B2" s="8" t="s">
        <v>22</v>
      </c>
      <c r="C2" s="8" t="s">
        <v>631</v>
      </c>
      <c r="D2" s="8" t="s">
        <v>632</v>
      </c>
    </row>
    <row r="3" spans="1:9" x14ac:dyDescent="0.25">
      <c r="B3" s="5" t="s">
        <v>27</v>
      </c>
      <c r="C3" s="5">
        <v>400</v>
      </c>
      <c r="D3" s="5">
        <v>1300</v>
      </c>
    </row>
    <row r="4" spans="1:9" x14ac:dyDescent="0.25">
      <c r="B4" s="8" t="s">
        <v>24</v>
      </c>
    </row>
    <row r="5" spans="1:9" x14ac:dyDescent="0.25">
      <c r="B5" s="5" t="s">
        <v>32</v>
      </c>
      <c r="G5" s="8" t="s">
        <v>33</v>
      </c>
    </row>
    <row r="6" spans="1:9" x14ac:dyDescent="0.25">
      <c r="G6" s="12">
        <f>MAX(E10:E19)</f>
        <v>4</v>
      </c>
      <c r="H6" t="s">
        <v>1745</v>
      </c>
    </row>
    <row r="7" spans="1:9" x14ac:dyDescent="0.25">
      <c r="A7" t="s">
        <v>1744</v>
      </c>
    </row>
    <row r="8" spans="1:9" x14ac:dyDescent="0.25">
      <c r="A8" s="171" t="s">
        <v>619</v>
      </c>
      <c r="G8" s="174" t="s">
        <v>26</v>
      </c>
      <c r="H8" s="47"/>
      <c r="I8" s="32"/>
    </row>
    <row r="9" spans="1:9" x14ac:dyDescent="0.25">
      <c r="A9" s="8" t="s">
        <v>8</v>
      </c>
      <c r="B9" s="8" t="s">
        <v>22</v>
      </c>
      <c r="C9" s="8" t="s">
        <v>24</v>
      </c>
      <c r="D9" s="8" t="s">
        <v>25</v>
      </c>
      <c r="E9" s="8" t="s">
        <v>132</v>
      </c>
      <c r="G9" s="8" t="s">
        <v>8</v>
      </c>
      <c r="H9" s="8" t="s">
        <v>25</v>
      </c>
    </row>
    <row r="10" spans="1:9" x14ac:dyDescent="0.25">
      <c r="A10" s="13">
        <v>41484</v>
      </c>
      <c r="B10" s="5" t="s">
        <v>27</v>
      </c>
      <c r="C10" s="5" t="s">
        <v>28</v>
      </c>
      <c r="D10" s="5">
        <v>929</v>
      </c>
      <c r="E10" s="6">
        <f>SUM(E9,AND(OR(B10=B$3,C10=B$5),D10&gt;=C$3,D10&lt;=D$3))</f>
        <v>1</v>
      </c>
      <c r="G10" s="15">
        <f>IF(ROWS(G$10:G10)&gt;$G$6,"",INDEX($A$10:$D$19,MATCH(ROWS(G$10:G10),$E$10:$E$19,0),MATCH(G$9,$A$9:$D$9,0)))</f>
        <v>41484</v>
      </c>
      <c r="H10" s="6">
        <f>IF(ROWS(H$10:H10)&gt;$G$6,"",INDEX($A$10:$D$19,MATCH(ROWS(H$10:H10),$E$10:$E$19,0),MATCH(H$9,$A$9:$D$9,0)))</f>
        <v>929</v>
      </c>
    </row>
    <row r="11" spans="1:9" x14ac:dyDescent="0.25">
      <c r="A11" s="13">
        <v>40946</v>
      </c>
      <c r="B11" s="5" t="s">
        <v>23</v>
      </c>
      <c r="C11" s="5" t="s">
        <v>30</v>
      </c>
      <c r="D11" s="5">
        <v>681</v>
      </c>
      <c r="E11" s="6">
        <f t="shared" ref="E11:E19" si="0">SUM(E10,AND(OR(B11=B$3,C11=B$5),D11&gt;=C$3,D11&lt;=D$3))</f>
        <v>1</v>
      </c>
      <c r="G11" s="15">
        <f>IF(ROWS(G$10:G11)&gt;$G$6,"",INDEX($A$10:$D$19,MATCH(ROWS(G$10:G11),$E$10:$E$19,0),MATCH(G$9,$A$9:$D$9,0)))</f>
        <v>41013</v>
      </c>
      <c r="H11" s="6">
        <f>IF(ROWS(H$10:H11)&gt;$G$6,"",INDEX($A$10:$D$19,MATCH(ROWS(H$10:H11),$E$10:$E$19,0),MATCH(H$9,$A$9:$D$9,0)))</f>
        <v>530</v>
      </c>
    </row>
    <row r="12" spans="1:9" x14ac:dyDescent="0.25">
      <c r="A12" s="13">
        <v>41175</v>
      </c>
      <c r="B12" s="5" t="s">
        <v>31</v>
      </c>
      <c r="C12" s="14" t="s">
        <v>32</v>
      </c>
      <c r="D12" s="5">
        <v>1393</v>
      </c>
      <c r="E12" s="6">
        <f t="shared" si="0"/>
        <v>1</v>
      </c>
      <c r="G12" s="15">
        <f>IF(ROWS(G$10:G12)&gt;$G$6,"",INDEX($A$10:$D$19,MATCH(ROWS(G$10:G12),$E$10:$E$19,0),MATCH(G$9,$A$9:$D$9,0)))</f>
        <v>41216</v>
      </c>
      <c r="H12" s="6">
        <f>IF(ROWS(H$10:H12)&gt;$G$6,"",INDEX($A$10:$D$19,MATCH(ROWS(H$10:H12),$E$10:$E$19,0),MATCH(H$9,$A$9:$D$9,0)))</f>
        <v>436</v>
      </c>
    </row>
    <row r="13" spans="1:9" x14ac:dyDescent="0.25">
      <c r="A13" s="13">
        <v>41013</v>
      </c>
      <c r="B13" s="5" t="s">
        <v>27</v>
      </c>
      <c r="C13" s="14" t="s">
        <v>28</v>
      </c>
      <c r="D13" s="5">
        <v>530</v>
      </c>
      <c r="E13" s="6">
        <f t="shared" si="0"/>
        <v>2</v>
      </c>
      <c r="G13" s="15">
        <f>IF(ROWS(G$10:G13)&gt;$G$6,"",INDEX($A$10:$D$19,MATCH(ROWS(G$10:G13),$E$10:$E$19,0),MATCH(G$9,$A$9:$D$9,0)))</f>
        <v>41103</v>
      </c>
      <c r="H13" s="6">
        <f>IF(ROWS(H$10:H13)&gt;$G$6,"",INDEX($A$10:$D$19,MATCH(ROWS(H$10:H13),$E$10:$E$19,0),MATCH(H$9,$A$9:$D$9,0)))</f>
        <v>1206</v>
      </c>
    </row>
    <row r="14" spans="1:9" x14ac:dyDescent="0.25">
      <c r="A14" s="13">
        <v>41116</v>
      </c>
      <c r="B14" s="5" t="s">
        <v>23</v>
      </c>
      <c r="C14" s="14" t="s">
        <v>28</v>
      </c>
      <c r="D14" s="5">
        <v>1058</v>
      </c>
      <c r="E14" s="6">
        <f t="shared" si="0"/>
        <v>2</v>
      </c>
      <c r="G14" s="15" t="str">
        <f>IF(ROWS(G$10:G14)&gt;$G$6,"",INDEX($A$10:$D$19,MATCH(ROWS(G$10:G14),$E$10:$E$19,0),MATCH(G$9,$A$9:$D$9,0)))</f>
        <v/>
      </c>
      <c r="H14" s="6" t="str">
        <f>IF(ROWS(H$10:H14)&gt;$G$6,"",INDEX($A$10:$D$19,MATCH(ROWS(H$10:H14),$E$10:$E$19,0),MATCH(H$9,$A$9:$D$9,0)))</f>
        <v/>
      </c>
    </row>
    <row r="15" spans="1:9" x14ac:dyDescent="0.25">
      <c r="A15" s="13">
        <v>41559</v>
      </c>
      <c r="B15" s="5" t="s">
        <v>31</v>
      </c>
      <c r="C15" s="14" t="s">
        <v>30</v>
      </c>
      <c r="D15" s="5">
        <v>1023</v>
      </c>
      <c r="E15" s="6">
        <f t="shared" si="0"/>
        <v>2</v>
      </c>
      <c r="G15" s="15" t="str">
        <f>IF(ROWS(G$10:G15)&gt;$G$6,"",INDEX($A$10:$D$19,MATCH(ROWS(G$10:G15),$E$10:$E$19,0),MATCH(G$9,$A$9:$D$9,0)))</f>
        <v/>
      </c>
      <c r="H15" s="6" t="str">
        <f>IF(ROWS(H$10:H15)&gt;$G$6,"",INDEX($A$10:$D$19,MATCH(ROWS(H$10:H15),$E$10:$E$19,0),MATCH(H$9,$A$9:$D$9,0)))</f>
        <v/>
      </c>
    </row>
    <row r="16" spans="1:9" x14ac:dyDescent="0.25">
      <c r="A16" s="13">
        <v>41216</v>
      </c>
      <c r="B16" s="5" t="s">
        <v>27</v>
      </c>
      <c r="C16" s="14" t="s">
        <v>32</v>
      </c>
      <c r="D16" s="5">
        <v>436</v>
      </c>
      <c r="E16" s="6">
        <f t="shared" si="0"/>
        <v>3</v>
      </c>
    </row>
    <row r="17" spans="1:5" x14ac:dyDescent="0.25">
      <c r="A17" s="13">
        <v>41520</v>
      </c>
      <c r="B17" s="5" t="s">
        <v>27</v>
      </c>
      <c r="C17" s="14" t="s">
        <v>32</v>
      </c>
      <c r="D17" s="5">
        <v>1311</v>
      </c>
      <c r="E17" s="6">
        <f t="shared" si="0"/>
        <v>3</v>
      </c>
    </row>
    <row r="18" spans="1:5" x14ac:dyDescent="0.25">
      <c r="A18" s="13">
        <v>41022</v>
      </c>
      <c r="B18" s="5" t="s">
        <v>31</v>
      </c>
      <c r="C18" s="14" t="s">
        <v>32</v>
      </c>
      <c r="D18" s="5">
        <v>368</v>
      </c>
      <c r="E18" s="6">
        <f t="shared" si="0"/>
        <v>3</v>
      </c>
    </row>
    <row r="19" spans="1:5" x14ac:dyDescent="0.25">
      <c r="A19" s="13">
        <v>41103</v>
      </c>
      <c r="B19" s="5" t="s">
        <v>27</v>
      </c>
      <c r="C19" s="14" t="s">
        <v>28</v>
      </c>
      <c r="D19" s="5">
        <v>1206</v>
      </c>
      <c r="E19" s="6">
        <f t="shared" si="0"/>
        <v>4</v>
      </c>
    </row>
  </sheetData>
  <pageMargins left="0.7" right="0.7" top="0.75" bottom="0.75" header="0.3" footer="0.3"/>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7">
    <tabColor rgb="FF0000FF"/>
  </sheetPr>
  <dimension ref="A1:I19"/>
  <sheetViews>
    <sheetView zoomScale="160" zoomScaleNormal="160" workbookViewId="0">
      <selection activeCell="E3" sqref="E3"/>
    </sheetView>
  </sheetViews>
  <sheetFormatPr defaultRowHeight="15" x14ac:dyDescent="0.25"/>
  <cols>
    <col min="2" max="2" width="12.28515625" customWidth="1"/>
    <col min="3" max="5" width="11.7109375" customWidth="1"/>
    <col min="6" max="6" width="1.5703125" customWidth="1"/>
  </cols>
  <sheetData>
    <row r="1" spans="1:9" x14ac:dyDescent="0.25">
      <c r="A1" s="23" t="s">
        <v>637</v>
      </c>
    </row>
    <row r="2" spans="1:9" x14ac:dyDescent="0.25">
      <c r="A2" s="104" t="s">
        <v>21</v>
      </c>
      <c r="B2" s="8" t="s">
        <v>22</v>
      </c>
      <c r="C2" s="8" t="s">
        <v>513</v>
      </c>
    </row>
    <row r="3" spans="1:9" x14ac:dyDescent="0.25">
      <c r="B3" s="5" t="s">
        <v>27</v>
      </c>
      <c r="C3" s="5" t="s">
        <v>636</v>
      </c>
    </row>
    <row r="4" spans="1:9" x14ac:dyDescent="0.25">
      <c r="B4" s="8" t="s">
        <v>24</v>
      </c>
    </row>
    <row r="5" spans="1:9" x14ac:dyDescent="0.25">
      <c r="B5" s="5" t="s">
        <v>32</v>
      </c>
      <c r="G5" s="8" t="s">
        <v>33</v>
      </c>
    </row>
    <row r="6" spans="1:9" x14ac:dyDescent="0.25">
      <c r="G6" s="12">
        <f>MAX(E10:E19)</f>
        <v>2</v>
      </c>
      <c r="H6" t="s">
        <v>1745</v>
      </c>
    </row>
    <row r="7" spans="1:9" x14ac:dyDescent="0.25">
      <c r="A7" t="s">
        <v>1746</v>
      </c>
    </row>
    <row r="8" spans="1:9" x14ac:dyDescent="0.25">
      <c r="A8" s="171" t="s">
        <v>619</v>
      </c>
      <c r="G8" s="174" t="s">
        <v>26</v>
      </c>
      <c r="H8" s="47"/>
    </row>
    <row r="9" spans="1:9" x14ac:dyDescent="0.25">
      <c r="A9" s="8" t="s">
        <v>8</v>
      </c>
      <c r="B9" s="8" t="s">
        <v>22</v>
      </c>
      <c r="C9" s="8" t="s">
        <v>24</v>
      </c>
      <c r="D9" s="8" t="s">
        <v>25</v>
      </c>
      <c r="E9" s="8" t="s">
        <v>132</v>
      </c>
      <c r="G9" s="8" t="s">
        <v>24</v>
      </c>
      <c r="H9" s="12" t="str">
        <f>IF(COLUMNS($H9:H9)&gt;$G$6,"",INDEX($C$10:$D$19,MATCH(COLUMNS($H9:H9),$E$10:$E$19,0),MATCH($G9,$C$9:$D$9,0)))</f>
        <v>WFMI</v>
      </c>
      <c r="I9" s="12" t="str">
        <f>IF(COLUMNS($H9:I9)&gt;$G$6,"",INDEX($C$10:$D$19,MATCH(COLUMNS($H9:I9),$E$10:$E$19,0),MATCH($G9,$C$9:$D$9,0)))</f>
        <v>WFMI</v>
      </c>
    </row>
    <row r="10" spans="1:9" x14ac:dyDescent="0.25">
      <c r="A10" s="13">
        <v>41484</v>
      </c>
      <c r="B10" s="5" t="s">
        <v>27</v>
      </c>
      <c r="C10" s="5" t="s">
        <v>28</v>
      </c>
      <c r="D10" s="5">
        <v>929</v>
      </c>
      <c r="E10" s="6">
        <f>SUM(E9,AND(OR(B10=B$3,C10=B$5),MONTH(1&amp;$C$3)=MONTH(A10)))</f>
        <v>1</v>
      </c>
      <c r="G10" s="8" t="s">
        <v>25</v>
      </c>
      <c r="H10" s="12">
        <f>IF(COLUMNS($H10:H10)&gt;$G$6,"",INDEX($C$10:$D$19,MATCH(COLUMNS($H10:H10),$E$10:$E$19,0),MATCH($G10,$C$9:$D$9,0)))</f>
        <v>929</v>
      </c>
      <c r="I10" s="12">
        <f>IF(COLUMNS($H10:I10)&gt;$G$6,"",INDEX($C$10:$D$19,MATCH(COLUMNS($H10:I10),$E$10:$E$19,0),MATCH($G10,$C$9:$D$9,0)))</f>
        <v>1206</v>
      </c>
    </row>
    <row r="11" spans="1:9" x14ac:dyDescent="0.25">
      <c r="A11" s="13">
        <v>40946</v>
      </c>
      <c r="B11" s="5" t="s">
        <v>23</v>
      </c>
      <c r="C11" s="5" t="s">
        <v>30</v>
      </c>
      <c r="D11" s="5">
        <v>681</v>
      </c>
      <c r="E11" s="6">
        <f t="shared" ref="E11:E19" si="0">SUM(E10,AND(OR(B11=B$3,C11=B$5),MONTH(1&amp;$C$3)=MONTH(A11)))</f>
        <v>1</v>
      </c>
    </row>
    <row r="12" spans="1:9" x14ac:dyDescent="0.25">
      <c r="A12" s="13">
        <v>41175</v>
      </c>
      <c r="B12" s="5" t="s">
        <v>31</v>
      </c>
      <c r="C12" s="14" t="s">
        <v>32</v>
      </c>
      <c r="D12" s="5">
        <v>1393</v>
      </c>
      <c r="E12" s="6">
        <f t="shared" si="0"/>
        <v>1</v>
      </c>
      <c r="G12" t="s">
        <v>638</v>
      </c>
    </row>
    <row r="13" spans="1:9" x14ac:dyDescent="0.25">
      <c r="A13" s="13">
        <v>41013</v>
      </c>
      <c r="B13" s="5" t="s">
        <v>27</v>
      </c>
      <c r="C13" s="14" t="s">
        <v>28</v>
      </c>
      <c r="D13" s="5">
        <v>530</v>
      </c>
      <c r="E13" s="6">
        <f t="shared" si="0"/>
        <v>1</v>
      </c>
      <c r="G13" t="s">
        <v>639</v>
      </c>
    </row>
    <row r="14" spans="1:9" x14ac:dyDescent="0.25">
      <c r="A14" s="13">
        <v>41116</v>
      </c>
      <c r="B14" s="5" t="s">
        <v>23</v>
      </c>
      <c r="C14" s="14" t="s">
        <v>28</v>
      </c>
      <c r="D14" s="5">
        <v>1058</v>
      </c>
      <c r="E14" s="6">
        <f t="shared" si="0"/>
        <v>1</v>
      </c>
      <c r="G14" t="s">
        <v>640</v>
      </c>
    </row>
    <row r="15" spans="1:9" x14ac:dyDescent="0.25">
      <c r="A15" s="13">
        <v>41559</v>
      </c>
      <c r="B15" s="5" t="s">
        <v>31</v>
      </c>
      <c r="C15" s="14" t="s">
        <v>30</v>
      </c>
      <c r="D15" s="5">
        <v>1023</v>
      </c>
      <c r="E15" s="6">
        <f t="shared" si="0"/>
        <v>1</v>
      </c>
    </row>
    <row r="16" spans="1:9" x14ac:dyDescent="0.25">
      <c r="A16" s="13">
        <v>41216</v>
      </c>
      <c r="B16" s="5" t="s">
        <v>27</v>
      </c>
      <c r="C16" s="14" t="s">
        <v>32</v>
      </c>
      <c r="D16" s="5">
        <v>436</v>
      </c>
      <c r="E16" s="6">
        <f t="shared" si="0"/>
        <v>1</v>
      </c>
    </row>
    <row r="17" spans="1:5" x14ac:dyDescent="0.25">
      <c r="A17" s="13">
        <v>41520</v>
      </c>
      <c r="B17" s="5" t="s">
        <v>27</v>
      </c>
      <c r="C17" s="14" t="s">
        <v>32</v>
      </c>
      <c r="D17" s="5">
        <v>1311</v>
      </c>
      <c r="E17" s="6">
        <f t="shared" si="0"/>
        <v>1</v>
      </c>
    </row>
    <row r="18" spans="1:5" x14ac:dyDescent="0.25">
      <c r="A18" s="13">
        <v>41022</v>
      </c>
      <c r="B18" s="5" t="s">
        <v>31</v>
      </c>
      <c r="C18" s="14" t="s">
        <v>32</v>
      </c>
      <c r="D18" s="5">
        <v>368</v>
      </c>
      <c r="E18" s="6">
        <f t="shared" si="0"/>
        <v>1</v>
      </c>
    </row>
    <row r="19" spans="1:5" x14ac:dyDescent="0.25">
      <c r="A19" s="13">
        <v>41103</v>
      </c>
      <c r="B19" s="5" t="s">
        <v>27</v>
      </c>
      <c r="C19" s="14" t="s">
        <v>28</v>
      </c>
      <c r="D19" s="5">
        <v>1206</v>
      </c>
      <c r="E19" s="6">
        <f t="shared" si="0"/>
        <v>2</v>
      </c>
    </row>
  </sheetData>
  <pageMargins left="0.7" right="0.7" top="0.75" bottom="0.75" header="0.3" footer="0.3"/>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8">
    <tabColor rgb="FF0000FF"/>
  </sheetPr>
  <dimension ref="A1:I20"/>
  <sheetViews>
    <sheetView zoomScale="160" zoomScaleNormal="160" workbookViewId="0">
      <selection activeCell="E3" sqref="E3"/>
    </sheetView>
  </sheetViews>
  <sheetFormatPr defaultColWidth="8.85546875" defaultRowHeight="15" x14ac:dyDescent="0.25"/>
  <cols>
    <col min="1" max="1" width="9" customWidth="1"/>
    <col min="2" max="2" width="10" bestFit="1" customWidth="1"/>
    <col min="3" max="3" width="9.85546875" bestFit="1" customWidth="1"/>
    <col min="4" max="4" width="7.140625" bestFit="1" customWidth="1"/>
    <col min="5" max="5" width="1.42578125" customWidth="1"/>
    <col min="6" max="6" width="11.28515625" customWidth="1"/>
    <col min="7" max="7" width="6.7109375" customWidth="1"/>
    <col min="9" max="9" width="10" customWidth="1"/>
  </cols>
  <sheetData>
    <row r="1" spans="1:9" x14ac:dyDescent="0.25">
      <c r="A1" s="23" t="s">
        <v>641</v>
      </c>
    </row>
    <row r="2" spans="1:9" x14ac:dyDescent="0.25">
      <c r="A2" s="104" t="s">
        <v>21</v>
      </c>
      <c r="B2" s="8" t="s">
        <v>8</v>
      </c>
      <c r="C2" s="8" t="s">
        <v>8</v>
      </c>
      <c r="D2" s="8" t="s">
        <v>22</v>
      </c>
    </row>
    <row r="3" spans="1:9" x14ac:dyDescent="0.25">
      <c r="B3" s="7">
        <v>41061</v>
      </c>
      <c r="C3" s="7">
        <v>41425</v>
      </c>
      <c r="D3" s="5" t="s">
        <v>27</v>
      </c>
    </row>
    <row r="4" spans="1:9" ht="4.5" customHeight="1" x14ac:dyDescent="0.25"/>
    <row r="5" spans="1:9" x14ac:dyDescent="0.25">
      <c r="A5" s="8" t="s">
        <v>33</v>
      </c>
    </row>
    <row r="6" spans="1:9" x14ac:dyDescent="0.25">
      <c r="A6" s="12">
        <f>SUMPRODUCT(--(A11:A20&gt;=B3),--(A11:A20&lt;=C3),--(B11:B20=D3))</f>
        <v>2</v>
      </c>
      <c r="B6" t="s">
        <v>1747</v>
      </c>
    </row>
    <row r="7" spans="1:9" x14ac:dyDescent="0.25">
      <c r="A7" s="12">
        <f>COUNTIFS(A11:A20,"&gt;="&amp;B3,A11:A20,"&lt;="&amp;C3,B11:B20,D3)</f>
        <v>2</v>
      </c>
      <c r="B7" t="s">
        <v>1748</v>
      </c>
    </row>
    <row r="8" spans="1:9" ht="4.5" customHeight="1" x14ac:dyDescent="0.25"/>
    <row r="9" spans="1:9" x14ac:dyDescent="0.25">
      <c r="A9" s="169" t="s">
        <v>619</v>
      </c>
    </row>
    <row r="10" spans="1:9" x14ac:dyDescent="0.25">
      <c r="A10" s="8" t="s">
        <v>8</v>
      </c>
      <c r="B10" s="8" t="s">
        <v>22</v>
      </c>
      <c r="C10" s="8" t="s">
        <v>24</v>
      </c>
      <c r="D10" s="8" t="s">
        <v>25</v>
      </c>
      <c r="F10" s="168" t="s">
        <v>26</v>
      </c>
      <c r="H10" s="32"/>
    </row>
    <row r="11" spans="1:9" x14ac:dyDescent="0.25">
      <c r="A11" s="13">
        <v>41484</v>
      </c>
      <c r="B11" s="5" t="s">
        <v>27</v>
      </c>
      <c r="C11" s="5" t="s">
        <v>28</v>
      </c>
      <c r="D11" s="5">
        <v>929</v>
      </c>
      <c r="F11" s="8" t="s">
        <v>8</v>
      </c>
      <c r="G11" s="8" t="s">
        <v>22</v>
      </c>
      <c r="H11" s="8" t="s">
        <v>24</v>
      </c>
      <c r="I11" s="8" t="s">
        <v>25</v>
      </c>
    </row>
    <row r="12" spans="1:9" x14ac:dyDescent="0.25">
      <c r="A12" s="13">
        <v>40946</v>
      </c>
      <c r="B12" s="5" t="s">
        <v>23</v>
      </c>
      <c r="C12" s="5" t="s">
        <v>30</v>
      </c>
      <c r="D12" s="5">
        <v>681</v>
      </c>
      <c r="F12" s="15">
        <f t="array" ref="F12">IF(ROWS(F$12:F12)&gt;$A$7,"",INDEX(A$11:A$20,SMALL(IF($A$11:$A$20&gt;=$B$3,IF($A$11:$A$20&lt;=$C$3,IF($B$11:$B$20=$D$3,ROW($A$11:$A$20)-ROW($A$11)+1))),ROWS(F$12:F12))))</f>
        <v>41216</v>
      </c>
      <c r="G12" s="6" t="str">
        <f t="array" ref="G12">IF(ROWS(G$12:G12)&gt;$A$7,"",INDEX(B$11:B$20,SMALL(IF($A$11:$A$20&gt;=$B$3,IF($A$11:$A$20&lt;=$C$3,IF($B$11:$B$20=$D$3,ROW($A$11:$A$20)-ROW($A$11)+1))),ROWS(G$12:G12))))</f>
        <v>West</v>
      </c>
      <c r="H12" s="6" t="str">
        <f t="array" ref="H12">IF(ROWS(H$12:H12)&gt;$A$7,"",INDEX(C$11:C$20,SMALL(IF($A$11:$A$20&gt;=$B$3,IF($A$11:$A$20&lt;=$C$3,IF($B$11:$B$20=$D$3,ROW($A$11:$A$20)-ROW($A$11)+1))),ROWS(H$12:H12))))</f>
        <v>K</v>
      </c>
      <c r="I12" s="6">
        <f t="array" ref="I12">IF(ROWS(I$12:I12)&gt;$A$7,"",INDEX(D$11:D$20,SMALL(IF($A$11:$A$20&gt;=$B$3,IF($A$11:$A$20&lt;=$C$3,IF($B$11:$B$20=$D$3,ROW($A$11:$A$20)-ROW($A$11)+1))),ROWS(I$12:I12))))</f>
        <v>436</v>
      </c>
    </row>
    <row r="13" spans="1:9" x14ac:dyDescent="0.25">
      <c r="A13" s="13">
        <v>41175</v>
      </c>
      <c r="B13" s="5" t="s">
        <v>31</v>
      </c>
      <c r="C13" s="14" t="s">
        <v>32</v>
      </c>
      <c r="D13" s="5">
        <v>1393</v>
      </c>
      <c r="F13" s="15">
        <f t="array" ref="F13">IF(ROWS(F$12:F13)&gt;$A$7,"",INDEX(A$11:A$20,SMALL(IF($A$11:$A$20&gt;=$B$3,IF($A$11:$A$20&lt;=$C$3,IF($B$11:$B$20=$D$3,ROW($A$11:$A$20)-ROW($A$11)+1))),ROWS(F$12:F13))))</f>
        <v>41103</v>
      </c>
      <c r="G13" s="6" t="str">
        <f t="array" ref="G13">IF(ROWS(G$12:G13)&gt;$A$7,"",INDEX(B$11:B$20,SMALL(IF($A$11:$A$20&gt;=$B$3,IF($A$11:$A$20&lt;=$C$3,IF($B$11:$B$20=$D$3,ROW($A$11:$A$20)-ROW($A$11)+1))),ROWS(G$12:G13))))</f>
        <v>West</v>
      </c>
      <c r="H13" s="6" t="str">
        <f t="array" ref="H13">IF(ROWS(H$12:H13)&gt;$A$7,"",INDEX(C$11:C$20,SMALL(IF($A$11:$A$20&gt;=$B$3,IF($A$11:$A$20&lt;=$C$3,IF($B$11:$B$20=$D$3,ROW($A$11:$A$20)-ROW($A$11)+1))),ROWS(H$12:H13))))</f>
        <v>WFMI</v>
      </c>
      <c r="I13" s="6">
        <f t="array" ref="I13">IF(ROWS(I$12:I13)&gt;$A$7,"",INDEX(D$11:D$20,SMALL(IF($A$11:$A$20&gt;=$B$3,IF($A$11:$A$20&lt;=$C$3,IF($B$11:$B$20=$D$3,ROW($A$11:$A$20)-ROW($A$11)+1))),ROWS(I$12:I13))))</f>
        <v>1206</v>
      </c>
    </row>
    <row r="14" spans="1:9" x14ac:dyDescent="0.25">
      <c r="A14" s="13">
        <v>41013</v>
      </c>
      <c r="B14" s="5" t="s">
        <v>27</v>
      </c>
      <c r="C14" s="14" t="s">
        <v>28</v>
      </c>
      <c r="D14" s="5">
        <v>530</v>
      </c>
      <c r="F14" s="15" t="str">
        <f t="array" ref="F14">IF(ROWS(F$12:F14)&gt;$A$7,"",INDEX(A$11:A$20,SMALL(IF($A$11:$A$20&gt;=$B$3,IF($A$11:$A$20&lt;=$C$3,IF($B$11:$B$20=$D$3,ROW($A$11:$A$20)-ROW($A$11)+1))),ROWS(F$12:F14))))</f>
        <v/>
      </c>
      <c r="G14" s="6" t="str">
        <f t="array" ref="G14">IF(ROWS(G$12:G14)&gt;$A$7,"",INDEX(B$11:B$20,SMALL(IF($A$11:$A$20&gt;=$B$3,IF($A$11:$A$20&lt;=$C$3,IF($B$11:$B$20=$D$3,ROW($A$11:$A$20)-ROW($A$11)+1))),ROWS(G$12:G14))))</f>
        <v/>
      </c>
      <c r="H14" s="6" t="str">
        <f t="array" ref="H14">IF(ROWS(H$12:H14)&gt;$A$7,"",INDEX(C$11:C$20,SMALL(IF($A$11:$A$20&gt;=$B$3,IF($A$11:$A$20&lt;=$C$3,IF($B$11:$B$20=$D$3,ROW($A$11:$A$20)-ROW($A$11)+1))),ROWS(H$12:H14))))</f>
        <v/>
      </c>
      <c r="I14" s="6" t="str">
        <f t="array" ref="I14">IF(ROWS(I$12:I14)&gt;$A$7,"",INDEX(D$11:D$20,SMALL(IF($A$11:$A$20&gt;=$B$3,IF($A$11:$A$20&lt;=$C$3,IF($B$11:$B$20=$D$3,ROW($A$11:$A$20)-ROW($A$11)+1))),ROWS(I$12:I14))))</f>
        <v/>
      </c>
    </row>
    <row r="15" spans="1:9" x14ac:dyDescent="0.25">
      <c r="A15" s="13">
        <v>41116</v>
      </c>
      <c r="B15" s="5" t="s">
        <v>23</v>
      </c>
      <c r="C15" s="14" t="s">
        <v>28</v>
      </c>
      <c r="D15" s="5">
        <v>1058</v>
      </c>
      <c r="F15" s="15" t="str">
        <f t="array" ref="F15">IF(ROWS(F$12:F15)&gt;$A$7,"",INDEX(A$11:A$20,SMALL(IF($A$11:$A$20&gt;=$B$3,IF($A$11:$A$20&lt;=$C$3,IF($B$11:$B$20=$D$3,ROW($A$11:$A$20)-ROW($A$11)+1))),ROWS(F$12:F15))))</f>
        <v/>
      </c>
      <c r="G15" s="6" t="str">
        <f t="array" ref="G15">IF(ROWS(G$12:G15)&gt;$A$7,"",INDEX(B$11:B$20,SMALL(IF($A$11:$A$20&gt;=$B$3,IF($A$11:$A$20&lt;=$C$3,IF($B$11:$B$20=$D$3,ROW($A$11:$A$20)-ROW($A$11)+1))),ROWS(G$12:G15))))</f>
        <v/>
      </c>
      <c r="H15" s="6" t="str">
        <f t="array" ref="H15">IF(ROWS(H$12:H15)&gt;$A$7,"",INDEX(C$11:C$20,SMALL(IF($A$11:$A$20&gt;=$B$3,IF($A$11:$A$20&lt;=$C$3,IF($B$11:$B$20=$D$3,ROW($A$11:$A$20)-ROW($A$11)+1))),ROWS(H$12:H15))))</f>
        <v/>
      </c>
      <c r="I15" s="6" t="str">
        <f t="array" ref="I15">IF(ROWS(I$12:I15)&gt;$A$7,"",INDEX(D$11:D$20,SMALL(IF($A$11:$A$20&gt;=$B$3,IF($A$11:$A$20&lt;=$C$3,IF($B$11:$B$20=$D$3,ROW($A$11:$A$20)-ROW($A$11)+1))),ROWS(I$12:I15))))</f>
        <v/>
      </c>
    </row>
    <row r="16" spans="1:9" x14ac:dyDescent="0.25">
      <c r="A16" s="13">
        <v>41559</v>
      </c>
      <c r="B16" s="5" t="s">
        <v>31</v>
      </c>
      <c r="C16" s="14" t="s">
        <v>30</v>
      </c>
      <c r="D16" s="5">
        <v>1023</v>
      </c>
      <c r="F16" s="15" t="str">
        <f t="array" ref="F16">IF(ROWS(F$12:F16)&gt;$A$7,"",INDEX(A$11:A$20,SMALL(IF($A$11:$A$20&gt;=$B$3,IF($A$11:$A$20&lt;=$C$3,IF($B$11:$B$20=$D$3,ROW($A$11:$A$20)-ROW($A$11)+1))),ROWS(F$12:F16))))</f>
        <v/>
      </c>
      <c r="G16" s="6" t="str">
        <f t="array" ref="G16">IF(ROWS(G$12:G16)&gt;$A$7,"",INDEX(B$11:B$20,SMALL(IF($A$11:$A$20&gt;=$B$3,IF($A$11:$A$20&lt;=$C$3,IF($B$11:$B$20=$D$3,ROW($A$11:$A$20)-ROW($A$11)+1))),ROWS(G$12:G16))))</f>
        <v/>
      </c>
      <c r="H16" s="6" t="str">
        <f t="array" ref="H16">IF(ROWS(H$12:H16)&gt;$A$7,"",INDEX(C$11:C$20,SMALL(IF($A$11:$A$20&gt;=$B$3,IF($A$11:$A$20&lt;=$C$3,IF($B$11:$B$20=$D$3,ROW($A$11:$A$20)-ROW($A$11)+1))),ROWS(H$12:H16))))</f>
        <v/>
      </c>
      <c r="I16" s="6" t="str">
        <f t="array" ref="I16">IF(ROWS(I$12:I16)&gt;$A$7,"",INDEX(D$11:D$20,SMALL(IF($A$11:$A$20&gt;=$B$3,IF($A$11:$A$20&lt;=$C$3,IF($B$11:$B$20=$D$3,ROW($A$11:$A$20)-ROW($A$11)+1))),ROWS(I$12:I16))))</f>
        <v/>
      </c>
    </row>
    <row r="17" spans="1:9" x14ac:dyDescent="0.25">
      <c r="A17" s="13">
        <v>41216</v>
      </c>
      <c r="B17" s="5" t="s">
        <v>27</v>
      </c>
      <c r="C17" s="14" t="s">
        <v>32</v>
      </c>
      <c r="D17" s="5">
        <v>436</v>
      </c>
      <c r="F17" s="15" t="str">
        <f t="array" ref="F17">IF(ROWS(F$12:F17)&gt;$A$7,"",INDEX(A$11:A$20,SMALL(IF($A$11:$A$20&gt;=$B$3,IF($A$11:$A$20&lt;=$C$3,IF($B$11:$B$20=$D$3,ROW($A$11:$A$20)-ROW($A$11)+1))),ROWS(F$12:F17))))</f>
        <v/>
      </c>
      <c r="G17" s="6" t="str">
        <f t="array" ref="G17">IF(ROWS(G$12:G17)&gt;$A$7,"",INDEX(B$11:B$20,SMALL(IF($A$11:$A$20&gt;=$B$3,IF($A$11:$A$20&lt;=$C$3,IF($B$11:$B$20=$D$3,ROW($A$11:$A$20)-ROW($A$11)+1))),ROWS(G$12:G17))))</f>
        <v/>
      </c>
      <c r="H17" s="6" t="str">
        <f t="array" ref="H17">IF(ROWS(H$12:H17)&gt;$A$7,"",INDEX(C$11:C$20,SMALL(IF($A$11:$A$20&gt;=$B$3,IF($A$11:$A$20&lt;=$C$3,IF($B$11:$B$20=$D$3,ROW($A$11:$A$20)-ROW($A$11)+1))),ROWS(H$12:H17))))</f>
        <v/>
      </c>
      <c r="I17" s="6" t="str">
        <f t="array" ref="I17">IF(ROWS(I$12:I17)&gt;$A$7,"",INDEX(D$11:D$20,SMALL(IF($A$11:$A$20&gt;=$B$3,IF($A$11:$A$20&lt;=$C$3,IF($B$11:$B$20=$D$3,ROW($A$11:$A$20)-ROW($A$11)+1))),ROWS(I$12:I17))))</f>
        <v/>
      </c>
    </row>
    <row r="18" spans="1:9" x14ac:dyDescent="0.25">
      <c r="A18" s="13">
        <v>41520</v>
      </c>
      <c r="B18" s="5" t="s">
        <v>27</v>
      </c>
      <c r="C18" s="14" t="s">
        <v>32</v>
      </c>
      <c r="D18" s="5">
        <v>1311</v>
      </c>
    </row>
    <row r="19" spans="1:9" x14ac:dyDescent="0.25">
      <c r="A19" s="13">
        <v>41022</v>
      </c>
      <c r="B19" s="5" t="s">
        <v>31</v>
      </c>
      <c r="C19" s="14" t="s">
        <v>32</v>
      </c>
      <c r="D19" s="5">
        <v>368</v>
      </c>
    </row>
    <row r="20" spans="1:9" x14ac:dyDescent="0.25">
      <c r="A20" s="13">
        <v>41103</v>
      </c>
      <c r="B20" s="5" t="s">
        <v>27</v>
      </c>
      <c r="C20" s="14" t="s">
        <v>28</v>
      </c>
      <c r="D20" s="5">
        <v>1206</v>
      </c>
    </row>
  </sheetData>
  <conditionalFormatting sqref="A11:D20">
    <cfRule type="expression" dxfId="5" priority="1">
      <formula>AND($A11&gt;=$B$3,$A11&lt;=$C$3,$B11=$D$3)</formula>
    </cfRule>
  </conditionalFormatting>
  <pageMargins left="0.7" right="0.7" top="0.75" bottom="0.75" header="0.3" footer="0.3"/>
  <pageSetup orientation="portrait" r:id="rId1"/>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9">
    <tabColor rgb="FF0000FF"/>
  </sheetPr>
  <dimension ref="A1:I20"/>
  <sheetViews>
    <sheetView zoomScale="160" zoomScaleNormal="160" workbookViewId="0">
      <selection activeCell="E3" sqref="E3"/>
    </sheetView>
  </sheetViews>
  <sheetFormatPr defaultColWidth="8.85546875" defaultRowHeight="15" x14ac:dyDescent="0.25"/>
  <cols>
    <col min="1" max="1" width="9.85546875" customWidth="1"/>
    <col min="2" max="2" width="10" bestFit="1" customWidth="1"/>
    <col min="3" max="3" width="10.5703125" customWidth="1"/>
    <col min="4" max="4" width="7.140625" bestFit="1" customWidth="1"/>
    <col min="5" max="5" width="1.42578125" customWidth="1"/>
    <col min="6" max="6" width="11.28515625" customWidth="1"/>
    <col min="7" max="7" width="6.7109375" customWidth="1"/>
    <col min="9" max="9" width="10" customWidth="1"/>
  </cols>
  <sheetData>
    <row r="1" spans="1:9" x14ac:dyDescent="0.25">
      <c r="A1" s="23" t="s">
        <v>642</v>
      </c>
    </row>
    <row r="2" spans="1:9" x14ac:dyDescent="0.25">
      <c r="A2" s="104" t="s">
        <v>21</v>
      </c>
      <c r="B2" s="8" t="s">
        <v>8</v>
      </c>
      <c r="C2" s="8" t="s">
        <v>8</v>
      </c>
      <c r="D2" s="8" t="s">
        <v>22</v>
      </c>
    </row>
    <row r="3" spans="1:9" x14ac:dyDescent="0.25">
      <c r="B3" s="7">
        <v>41061</v>
      </c>
      <c r="C3" s="7">
        <v>41425</v>
      </c>
      <c r="D3" s="5" t="s">
        <v>27</v>
      </c>
    </row>
    <row r="4" spans="1:9" ht="4.5" customHeight="1" x14ac:dyDescent="0.25"/>
    <row r="6" spans="1:9" x14ac:dyDescent="0.25">
      <c r="A6" s="8" t="s">
        <v>33</v>
      </c>
    </row>
    <row r="7" spans="1:9" x14ac:dyDescent="0.25">
      <c r="A7" s="12">
        <f>COUNTIFS(A11:A20,"&gt;="&amp;B3,A11:A20,"&lt;="&amp;C3,B11:B20,D3)</f>
        <v>2</v>
      </c>
      <c r="B7" t="s">
        <v>1749</v>
      </c>
    </row>
    <row r="8" spans="1:9" ht="4.5" customHeight="1" x14ac:dyDescent="0.25"/>
    <row r="9" spans="1:9" x14ac:dyDescent="0.25">
      <c r="A9" s="169" t="s">
        <v>619</v>
      </c>
    </row>
    <row r="10" spans="1:9" x14ac:dyDescent="0.25">
      <c r="A10" s="8" t="s">
        <v>8</v>
      </c>
      <c r="B10" s="8" t="s">
        <v>22</v>
      </c>
      <c r="C10" s="8" t="s">
        <v>24</v>
      </c>
      <c r="D10" s="8" t="s">
        <v>25</v>
      </c>
      <c r="F10" s="168" t="s">
        <v>26</v>
      </c>
      <c r="H10" s="32"/>
    </row>
    <row r="11" spans="1:9" x14ac:dyDescent="0.25">
      <c r="A11" s="13">
        <v>41484</v>
      </c>
      <c r="B11" s="5" t="s">
        <v>27</v>
      </c>
      <c r="C11" s="5" t="s">
        <v>28</v>
      </c>
      <c r="D11" s="5">
        <v>929</v>
      </c>
      <c r="F11" s="8" t="s">
        <v>8</v>
      </c>
      <c r="G11" s="8" t="s">
        <v>22</v>
      </c>
      <c r="H11" s="8" t="s">
        <v>24</v>
      </c>
      <c r="I11" s="8" t="s">
        <v>25</v>
      </c>
    </row>
    <row r="12" spans="1:9" x14ac:dyDescent="0.25">
      <c r="A12" s="13">
        <v>40946</v>
      </c>
      <c r="B12" s="5" t="s">
        <v>23</v>
      </c>
      <c r="C12" s="5" t="s">
        <v>30</v>
      </c>
      <c r="D12" s="5">
        <v>681</v>
      </c>
      <c r="F12" s="15">
        <f>IF(ROWS(F$12:F12)&gt;$A$7,"",INDEX(A$11:A$20,_xlfn.AGGREGATE(15,6,(ROW($A$11:$A$20)-ROW($A$11)+1)/(($A$11:$A$20&gt;=$B$3)*($A$11:$A$20&lt;=$C$3)*($B$11:$B$20=$D$3)),ROWS(F$12:F12))))</f>
        <v>41216</v>
      </c>
      <c r="G12" s="6" t="str">
        <f>IF(ROWS(G$12:G12)&gt;$A$7,"",INDEX(B$11:B$20,_xlfn.AGGREGATE(15,6,(ROW($A$11:$A$20)-ROW($A$11)+1)/(($A$11:$A$20&gt;=$B$3)*($A$11:$A$20&lt;=$C$3)*($B$11:$B$20=$D$3)),ROWS(G$12:G12))))</f>
        <v>West</v>
      </c>
      <c r="H12" s="6" t="str">
        <f>IF(ROWS(H$12:H12)&gt;$A$7,"",INDEX(C$11:C$20,_xlfn.AGGREGATE(15,6,(ROW($A$11:$A$20)-ROW($A$11)+1)/(($A$11:$A$20&gt;=$B$3)*($A$11:$A$20&lt;=$C$3)*($B$11:$B$20=$D$3)),ROWS(H$12:H12))))</f>
        <v>K</v>
      </c>
      <c r="I12" s="6">
        <f>IF(ROWS(I$12:I12)&gt;$A$7,"",INDEX(D$11:D$20,_xlfn.AGGREGATE(15,6,(ROW($A$11:$A$20)-ROW($A$11)+1)/(($A$11:$A$20&gt;=$B$3)*($A$11:$A$20&lt;=$C$3)*($B$11:$B$20=$D$3)),ROWS(I$12:I12))))</f>
        <v>436</v>
      </c>
    </row>
    <row r="13" spans="1:9" x14ac:dyDescent="0.25">
      <c r="A13" s="13">
        <v>41175</v>
      </c>
      <c r="B13" s="5" t="s">
        <v>31</v>
      </c>
      <c r="C13" s="14" t="s">
        <v>32</v>
      </c>
      <c r="D13" s="5">
        <v>1393</v>
      </c>
      <c r="F13" s="15">
        <f>IF(ROWS(F$12:F13)&gt;$A$7,"",INDEX(A$11:A$20,_xlfn.AGGREGATE(15,6,(ROW($A$11:$A$20)-ROW($A$11)+1)/(($A$11:$A$20&gt;=$B$3)*($A$11:$A$20&lt;=$C$3)*($B$11:$B$20=$D$3)),ROWS(F$12:F13))))</f>
        <v>41103</v>
      </c>
      <c r="G13" s="6" t="str">
        <f>IF(ROWS(G$12:G13)&gt;$A$7,"",INDEX(B$11:B$20,_xlfn.AGGREGATE(15,6,(ROW($A$11:$A$20)-ROW($A$11)+1)/(($A$11:$A$20&gt;=$B$3)*($A$11:$A$20&lt;=$C$3)*($B$11:$B$20=$D$3)),ROWS(G$12:G13))))</f>
        <v>West</v>
      </c>
      <c r="H13" s="6" t="str">
        <f>IF(ROWS(H$12:H13)&gt;$A$7,"",INDEX(C$11:C$20,_xlfn.AGGREGATE(15,6,(ROW($A$11:$A$20)-ROW($A$11)+1)/(($A$11:$A$20&gt;=$B$3)*($A$11:$A$20&lt;=$C$3)*($B$11:$B$20=$D$3)),ROWS(H$12:H13))))</f>
        <v>WFMI</v>
      </c>
      <c r="I13" s="6">
        <f>IF(ROWS(I$12:I13)&gt;$A$7,"",INDEX(D$11:D$20,_xlfn.AGGREGATE(15,6,(ROW($A$11:$A$20)-ROW($A$11)+1)/(($A$11:$A$20&gt;=$B$3)*($A$11:$A$20&lt;=$C$3)*($B$11:$B$20=$D$3)),ROWS(I$12:I13))))</f>
        <v>1206</v>
      </c>
    </row>
    <row r="14" spans="1:9" x14ac:dyDescent="0.25">
      <c r="A14" s="13">
        <v>41013</v>
      </c>
      <c r="B14" s="5" t="s">
        <v>27</v>
      </c>
      <c r="C14" s="14" t="s">
        <v>28</v>
      </c>
      <c r="D14" s="5">
        <v>530</v>
      </c>
      <c r="F14" s="15" t="str">
        <f>IF(ROWS(F$12:F14)&gt;$A$7,"",INDEX(A$11:A$20,_xlfn.AGGREGATE(15,6,(ROW($A$11:$A$20)-ROW($A$11)+1)/(($A$11:$A$20&gt;=$B$3)*($A$11:$A$20&lt;=$C$3)*($B$11:$B$20=$D$3)),ROWS(F$12:F14))))</f>
        <v/>
      </c>
      <c r="G14" s="6" t="str">
        <f>IF(ROWS(G$12:G14)&gt;$A$7,"",INDEX(B$11:B$20,_xlfn.AGGREGATE(15,6,(ROW($A$11:$A$20)-ROW($A$11)+1)/(($A$11:$A$20&gt;=$B$3)*($A$11:$A$20&lt;=$C$3)*($B$11:$B$20=$D$3)),ROWS(G$12:G14))))</f>
        <v/>
      </c>
      <c r="H14" s="6" t="str">
        <f>IF(ROWS(H$12:H14)&gt;$A$7,"",INDEX(C$11:C$20,_xlfn.AGGREGATE(15,6,(ROW($A$11:$A$20)-ROW($A$11)+1)/(($A$11:$A$20&gt;=$B$3)*($A$11:$A$20&lt;=$C$3)*($B$11:$B$20=$D$3)),ROWS(H$12:H14))))</f>
        <v/>
      </c>
      <c r="I14" s="6" t="str">
        <f>IF(ROWS(I$12:I14)&gt;$A$7,"",INDEX(D$11:D$20,_xlfn.AGGREGATE(15,6,(ROW($A$11:$A$20)-ROW($A$11)+1)/(($A$11:$A$20&gt;=$B$3)*($A$11:$A$20&lt;=$C$3)*($B$11:$B$20=$D$3)),ROWS(I$12:I14))))</f>
        <v/>
      </c>
    </row>
    <row r="15" spans="1:9" x14ac:dyDescent="0.25">
      <c r="A15" s="13">
        <v>41116</v>
      </c>
      <c r="B15" s="5" t="s">
        <v>23</v>
      </c>
      <c r="C15" s="14" t="s">
        <v>28</v>
      </c>
      <c r="D15" s="5">
        <v>1058</v>
      </c>
      <c r="F15" s="15" t="str">
        <f>IF(ROWS(F$12:F15)&gt;$A$7,"",INDEX(A$11:A$20,_xlfn.AGGREGATE(15,6,(ROW($A$11:$A$20)-ROW($A$11)+1)/(($A$11:$A$20&gt;=$B$3)*($A$11:$A$20&lt;=$C$3)*($B$11:$B$20=$D$3)),ROWS(F$12:F15))))</f>
        <v/>
      </c>
      <c r="G15" s="6" t="str">
        <f>IF(ROWS(G$12:G15)&gt;$A$7,"",INDEX(B$11:B$20,_xlfn.AGGREGATE(15,6,(ROW($A$11:$A$20)-ROW($A$11)+1)/(($A$11:$A$20&gt;=$B$3)*($A$11:$A$20&lt;=$C$3)*($B$11:$B$20=$D$3)),ROWS(G$12:G15))))</f>
        <v/>
      </c>
      <c r="H15" s="6" t="str">
        <f>IF(ROWS(H$12:H15)&gt;$A$7,"",INDEX(C$11:C$20,_xlfn.AGGREGATE(15,6,(ROW($A$11:$A$20)-ROW($A$11)+1)/(($A$11:$A$20&gt;=$B$3)*($A$11:$A$20&lt;=$C$3)*($B$11:$B$20=$D$3)),ROWS(H$12:H15))))</f>
        <v/>
      </c>
      <c r="I15" s="6" t="str">
        <f>IF(ROWS(I$12:I15)&gt;$A$7,"",INDEX(D$11:D$20,_xlfn.AGGREGATE(15,6,(ROW($A$11:$A$20)-ROW($A$11)+1)/(($A$11:$A$20&gt;=$B$3)*($A$11:$A$20&lt;=$C$3)*($B$11:$B$20=$D$3)),ROWS(I$12:I15))))</f>
        <v/>
      </c>
    </row>
    <row r="16" spans="1:9" x14ac:dyDescent="0.25">
      <c r="A16" s="13">
        <v>41559</v>
      </c>
      <c r="B16" s="5" t="s">
        <v>31</v>
      </c>
      <c r="C16" s="14" t="s">
        <v>30</v>
      </c>
      <c r="D16" s="5">
        <v>1023</v>
      </c>
      <c r="F16" s="15" t="str">
        <f>IF(ROWS(F$12:F16)&gt;$A$7,"",INDEX(A$11:A$20,_xlfn.AGGREGATE(15,6,(ROW($A$11:$A$20)-ROW($A$11)+1)/(($A$11:$A$20&gt;=$B$3)*($A$11:$A$20&lt;=$C$3)*($B$11:$B$20=$D$3)),ROWS(F$12:F16))))</f>
        <v/>
      </c>
      <c r="G16" s="6" t="str">
        <f>IF(ROWS(G$12:G16)&gt;$A$7,"",INDEX(B$11:B$20,_xlfn.AGGREGATE(15,6,(ROW($A$11:$A$20)-ROW($A$11)+1)/(($A$11:$A$20&gt;=$B$3)*($A$11:$A$20&lt;=$C$3)*($B$11:$B$20=$D$3)),ROWS(G$12:G16))))</f>
        <v/>
      </c>
      <c r="H16" s="6" t="str">
        <f>IF(ROWS(H$12:H16)&gt;$A$7,"",INDEX(C$11:C$20,_xlfn.AGGREGATE(15,6,(ROW($A$11:$A$20)-ROW($A$11)+1)/(($A$11:$A$20&gt;=$B$3)*($A$11:$A$20&lt;=$C$3)*($B$11:$B$20=$D$3)),ROWS(H$12:H16))))</f>
        <v/>
      </c>
      <c r="I16" s="6" t="str">
        <f>IF(ROWS(I$12:I16)&gt;$A$7,"",INDEX(D$11:D$20,_xlfn.AGGREGATE(15,6,(ROW($A$11:$A$20)-ROW($A$11)+1)/(($A$11:$A$20&gt;=$B$3)*($A$11:$A$20&lt;=$C$3)*($B$11:$B$20=$D$3)),ROWS(I$12:I16))))</f>
        <v/>
      </c>
    </row>
    <row r="17" spans="1:9" x14ac:dyDescent="0.25">
      <c r="A17" s="13">
        <v>41216</v>
      </c>
      <c r="B17" s="5" t="s">
        <v>27</v>
      </c>
      <c r="C17" s="14" t="s">
        <v>32</v>
      </c>
      <c r="D17" s="5">
        <v>436</v>
      </c>
      <c r="F17" s="15" t="str">
        <f>IF(ROWS(F$12:F17)&gt;$A$7,"",INDEX(A$11:A$20,_xlfn.AGGREGATE(15,6,(ROW($A$11:$A$20)-ROW($A$11)+1)/(($A$11:$A$20&gt;=$B$3)*($A$11:$A$20&lt;=$C$3)*($B$11:$B$20=$D$3)),ROWS(F$12:F17))))</f>
        <v/>
      </c>
      <c r="G17" s="6" t="str">
        <f>IF(ROWS(G$12:G17)&gt;$A$7,"",INDEX(B$11:B$20,_xlfn.AGGREGATE(15,6,(ROW($A$11:$A$20)-ROW($A$11)+1)/(($A$11:$A$20&gt;=$B$3)*($A$11:$A$20&lt;=$C$3)*($B$11:$B$20=$D$3)),ROWS(G$12:G17))))</f>
        <v/>
      </c>
      <c r="H17" s="6" t="str">
        <f>IF(ROWS(H$12:H17)&gt;$A$7,"",INDEX(C$11:C$20,_xlfn.AGGREGATE(15,6,(ROW($A$11:$A$20)-ROW($A$11)+1)/(($A$11:$A$20&gt;=$B$3)*($A$11:$A$20&lt;=$C$3)*($B$11:$B$20=$D$3)),ROWS(H$12:H17))))</f>
        <v/>
      </c>
      <c r="I17" s="6" t="str">
        <f>IF(ROWS(I$12:I17)&gt;$A$7,"",INDEX(D$11:D$20,_xlfn.AGGREGATE(15,6,(ROW($A$11:$A$20)-ROW($A$11)+1)/(($A$11:$A$20&gt;=$B$3)*($A$11:$A$20&lt;=$C$3)*($B$11:$B$20=$D$3)),ROWS(I$12:I17))))</f>
        <v/>
      </c>
    </row>
    <row r="18" spans="1:9" x14ac:dyDescent="0.25">
      <c r="A18" s="13">
        <v>41520</v>
      </c>
      <c r="B18" s="5" t="s">
        <v>27</v>
      </c>
      <c r="C18" s="14" t="s">
        <v>32</v>
      </c>
      <c r="D18" s="5">
        <v>1311</v>
      </c>
    </row>
    <row r="19" spans="1:9" x14ac:dyDescent="0.25">
      <c r="A19" s="13">
        <v>41022</v>
      </c>
      <c r="B19" s="5" t="s">
        <v>31</v>
      </c>
      <c r="C19" s="14" t="s">
        <v>32</v>
      </c>
      <c r="D19" s="5">
        <v>368</v>
      </c>
    </row>
    <row r="20" spans="1:9" x14ac:dyDescent="0.25">
      <c r="A20" s="13">
        <v>41103</v>
      </c>
      <c r="B20" s="5" t="s">
        <v>27</v>
      </c>
      <c r="C20" s="14" t="s">
        <v>28</v>
      </c>
      <c r="D20" s="5">
        <v>1206</v>
      </c>
    </row>
  </sheetData>
  <conditionalFormatting sqref="A11:D20">
    <cfRule type="expression" dxfId="4" priority="1">
      <formula>AND($A11&gt;=$B$3,$A11&lt;=$C$3,$B11=$D$3)</formula>
    </cfRule>
  </conditionalFormatting>
  <pageMargins left="0.7" right="0.7" top="0.75" bottom="0.75" header="0.3" footer="0.3"/>
  <pageSetup orientation="portrait" r:id="rId1"/>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0">
    <tabColor rgb="FF0000FF"/>
  </sheetPr>
  <dimension ref="A1:T52"/>
  <sheetViews>
    <sheetView zoomScale="115" zoomScaleNormal="115" workbookViewId="0">
      <selection activeCell="E3" sqref="E3"/>
    </sheetView>
  </sheetViews>
  <sheetFormatPr defaultColWidth="8.85546875" defaultRowHeight="15" x14ac:dyDescent="0.25"/>
  <cols>
    <col min="1" max="1" width="17.42578125" customWidth="1"/>
    <col min="3" max="3" width="1.5703125" customWidth="1"/>
    <col min="4" max="4" width="19.28515625" customWidth="1"/>
    <col min="7" max="7" width="19.85546875" customWidth="1"/>
  </cols>
  <sheetData>
    <row r="1" spans="1:20" x14ac:dyDescent="0.25">
      <c r="A1" s="23" t="s">
        <v>757</v>
      </c>
    </row>
    <row r="2" spans="1:20" x14ac:dyDescent="0.25">
      <c r="A2" s="8" t="s">
        <v>643</v>
      </c>
      <c r="B2" s="8" t="s">
        <v>644</v>
      </c>
      <c r="D2" s="8" t="s">
        <v>695</v>
      </c>
      <c r="E2" s="8" t="s">
        <v>33</v>
      </c>
      <c r="T2" s="8" t="s">
        <v>695</v>
      </c>
    </row>
    <row r="3" spans="1:20" x14ac:dyDescent="0.25">
      <c r="A3" s="5" t="s">
        <v>645</v>
      </c>
      <c r="B3" s="5" t="s">
        <v>696</v>
      </c>
      <c r="D3" s="5" t="s">
        <v>696</v>
      </c>
      <c r="E3" s="6">
        <f>COUNTIF($B$3:$B$52,D3)</f>
        <v>16</v>
      </c>
      <c r="F3" t="s">
        <v>1752</v>
      </c>
      <c r="T3" s="5" t="s">
        <v>696</v>
      </c>
    </row>
    <row r="4" spans="1:20" x14ac:dyDescent="0.25">
      <c r="A4" s="5" t="s">
        <v>646</v>
      </c>
      <c r="B4" s="5" t="s">
        <v>697</v>
      </c>
      <c r="T4" s="5" t="s">
        <v>697</v>
      </c>
    </row>
    <row r="5" spans="1:20" x14ac:dyDescent="0.25">
      <c r="A5" s="5" t="s">
        <v>647</v>
      </c>
      <c r="B5" s="5" t="s">
        <v>698</v>
      </c>
      <c r="D5" s="8" t="s">
        <v>643</v>
      </c>
      <c r="T5" s="5" t="s">
        <v>699</v>
      </c>
    </row>
    <row r="6" spans="1:20" x14ac:dyDescent="0.25">
      <c r="A6" s="5" t="s">
        <v>648</v>
      </c>
      <c r="B6" s="5" t="s">
        <v>698</v>
      </c>
      <c r="D6" s="6" t="str">
        <f>IF(ROWS(D$6:D6)&gt;E$3,"",INDEX($A$3:$A$52,_xlfn.AGGREGATE(15,6,(ROW($A$3:$A$52)-ROW(A$3)+1)/($B$3:$B$52=D$3),ROWS(D$6:D6))))</f>
        <v>Jules  Horowitz</v>
      </c>
      <c r="E6" t="s">
        <v>1751</v>
      </c>
      <c r="T6" s="5" t="s">
        <v>698</v>
      </c>
    </row>
    <row r="7" spans="1:20" x14ac:dyDescent="0.25">
      <c r="A7" s="5" t="s">
        <v>649</v>
      </c>
      <c r="B7" s="5" t="s">
        <v>696</v>
      </c>
      <c r="D7" s="6" t="str">
        <f>IF(ROWS(D$6:D7)&gt;E$3,"",INDEX($A$3:$A$52,_xlfn.AGGREGATE(15,6,(ROW($A$3:$A$52)-ROW(A$3)+1)/($B$3:$B$52=D$3),ROWS(D$6:D7))))</f>
        <v>Stormy  Haight</v>
      </c>
      <c r="G7" s="8" t="s">
        <v>643</v>
      </c>
    </row>
    <row r="8" spans="1:20" x14ac:dyDescent="0.25">
      <c r="A8" s="5" t="s">
        <v>650</v>
      </c>
      <c r="B8" s="5" t="s">
        <v>699</v>
      </c>
      <c r="D8" s="6" t="str">
        <f>IF(ROWS(D$6:D8)&gt;E$3,"",INDEX($A$3:$A$52,_xlfn.AGGREGATE(15,6,(ROW($A$3:$A$52)-ROW(A$3)+1)/($B$3:$B$52=D$3),ROWS(D$6:D8))))</f>
        <v>Jeremy  Shea</v>
      </c>
      <c r="G8" s="6" t="str">
        <f t="array" ref="G8">IF(ROWS(D$6:D6)&gt;E$3,"",INDEX($A$3:$A$52,SMALL(IF($B$3:$B$52=D$3,ROW($A$3:$A$52)-ROW(D$3)+1),ROWS(D$6:D6))))</f>
        <v>Jules  Horowitz</v>
      </c>
      <c r="H8" t="s">
        <v>1750</v>
      </c>
    </row>
    <row r="9" spans="1:20" x14ac:dyDescent="0.25">
      <c r="A9" s="5" t="s">
        <v>651</v>
      </c>
      <c r="B9" s="5" t="s">
        <v>698</v>
      </c>
      <c r="D9" s="6" t="str">
        <f>IF(ROWS(D$6:D9)&gt;E$3,"",INDEX($A$3:$A$52,_xlfn.AGGREGATE(15,6,(ROW($A$3:$A$52)-ROW(A$3)+1)/($B$3:$B$52=D$3),ROWS(D$6:D9))))</f>
        <v>Ivelisse  Goins</v>
      </c>
      <c r="G9" s="6" t="str">
        <f t="array" ref="G9">IF(ROWS(D$6:D7)&gt;E$3,"",INDEX($A$3:$A$52,SMALL(IF($B$3:$B$52=D$3,ROW($A$3:$A$52)-ROW(D$3)+1),ROWS(D$6:D7))))</f>
        <v>Stormy  Haight</v>
      </c>
      <c r="I9" t="s">
        <v>700</v>
      </c>
    </row>
    <row r="10" spans="1:20" x14ac:dyDescent="0.25">
      <c r="A10" s="5" t="s">
        <v>652</v>
      </c>
      <c r="B10" s="5" t="s">
        <v>698</v>
      </c>
      <c r="D10" s="6" t="str">
        <f>IF(ROWS(D$6:D10)&gt;E$3,"",INDEX($A$3:$A$52,_xlfn.AGGREGATE(15,6,(ROW($A$3:$A$52)-ROW(A$3)+1)/($B$3:$B$52=D$3),ROWS(D$6:D10))))</f>
        <v>Gail  Reaves</v>
      </c>
      <c r="G10" s="6" t="str">
        <f t="array" ref="G10">IF(ROWS(D$6:D8)&gt;E$3,"",INDEX($A$3:$A$52,SMALL(IF($B$3:$B$52=D$3,ROW($A$3:$A$52)-ROW(D$3)+1),ROWS(D$6:D8))))</f>
        <v>Jeremy  Shea</v>
      </c>
    </row>
    <row r="11" spans="1:20" x14ac:dyDescent="0.25">
      <c r="A11" s="5" t="s">
        <v>653</v>
      </c>
      <c r="B11" s="5" t="s">
        <v>696</v>
      </c>
      <c r="D11" s="6" t="str">
        <f>IF(ROWS(D$6:D11)&gt;E$3,"",INDEX($A$3:$A$52,_xlfn.AGGREGATE(15,6,(ROW($A$3:$A$52)-ROW(A$3)+1)/($B$3:$B$52=D$3),ROWS(D$6:D11))))</f>
        <v>Franchesca  Novak</v>
      </c>
      <c r="G11" s="6" t="str">
        <f t="array" ref="G11">IF(ROWS(D$6:D9)&gt;E$3,"",INDEX($A$3:$A$52,SMALL(IF($B$3:$B$52=D$3,ROW($A$3:$A$52)-ROW(D$3)+1),ROWS(D$6:D9))))</f>
        <v>Ivelisse  Goins</v>
      </c>
    </row>
    <row r="12" spans="1:20" x14ac:dyDescent="0.25">
      <c r="A12" s="5" t="s">
        <v>654</v>
      </c>
      <c r="B12" s="5" t="s">
        <v>697</v>
      </c>
      <c r="D12" s="6" t="str">
        <f>IF(ROWS(D$6:D12)&gt;E$3,"",INDEX($A$3:$A$52,_xlfn.AGGREGATE(15,6,(ROW($A$3:$A$52)-ROW(A$3)+1)/($B$3:$B$52=D$3),ROWS(D$6:D12))))</f>
        <v>Shandra  Rife</v>
      </c>
      <c r="G12" s="6" t="str">
        <f t="array" ref="G12">IF(ROWS(D$6:D10)&gt;E$3,"",INDEX($A$3:$A$52,SMALL(IF($B$3:$B$52=D$3,ROW($A$3:$A$52)-ROW(D$3)+1),ROWS(D$6:D10))))</f>
        <v>Gail  Reaves</v>
      </c>
    </row>
    <row r="13" spans="1:20" x14ac:dyDescent="0.25">
      <c r="A13" s="5" t="s">
        <v>655</v>
      </c>
      <c r="B13" s="5" t="s">
        <v>696</v>
      </c>
      <c r="D13" s="6" t="str">
        <f>IF(ROWS(D$6:D13)&gt;E$3,"",INDEX($A$3:$A$52,_xlfn.AGGREGATE(15,6,(ROW($A$3:$A$52)-ROW(A$3)+1)/($B$3:$B$52=D$3),ROWS(D$6:D13))))</f>
        <v>Rhett  Seymore</v>
      </c>
      <c r="G13" s="6" t="str">
        <f t="array" ref="G13">IF(ROWS(D$6:D11)&gt;E$3,"",INDEX($A$3:$A$52,SMALL(IF($B$3:$B$52=D$3,ROW($A$3:$A$52)-ROW(D$3)+1),ROWS(D$6:D11))))</f>
        <v>Franchesca  Novak</v>
      </c>
    </row>
    <row r="14" spans="1:20" x14ac:dyDescent="0.25">
      <c r="A14" s="5" t="s">
        <v>656</v>
      </c>
      <c r="B14" s="5" t="s">
        <v>697</v>
      </c>
      <c r="D14" s="6" t="str">
        <f>IF(ROWS(D$6:D14)&gt;E$3,"",INDEX($A$3:$A$52,_xlfn.AGGREGATE(15,6,(ROW($A$3:$A$52)-ROW(A$3)+1)/($B$3:$B$52=D$3),ROWS(D$6:D14))))</f>
        <v>Eulalia  Clement</v>
      </c>
      <c r="G14" s="6" t="str">
        <f t="array" ref="G14">IF(ROWS(D$6:D12)&gt;E$3,"",INDEX($A$3:$A$52,SMALL(IF($B$3:$B$52=D$3,ROW($A$3:$A$52)-ROW(D$3)+1),ROWS(D$6:D12))))</f>
        <v>Shandra  Rife</v>
      </c>
    </row>
    <row r="15" spans="1:20" x14ac:dyDescent="0.25">
      <c r="A15" s="5" t="s">
        <v>657</v>
      </c>
      <c r="B15" s="5" t="s">
        <v>696</v>
      </c>
      <c r="D15" s="6" t="str">
        <f>IF(ROWS(D$6:D15)&gt;E$3,"",INDEX($A$3:$A$52,_xlfn.AGGREGATE(15,6,(ROW($A$3:$A$52)-ROW(A$3)+1)/($B$3:$B$52=D$3),ROWS(D$6:D15))))</f>
        <v>Allena  Swenson</v>
      </c>
      <c r="G15" s="6" t="str">
        <f t="array" ref="G15">IF(ROWS(D$6:D13)&gt;E$3,"",INDEX($A$3:$A$52,SMALL(IF($B$3:$B$52=D$3,ROW($A$3:$A$52)-ROW(D$3)+1),ROWS(D$6:D13))))</f>
        <v>Rhett  Seymore</v>
      </c>
    </row>
    <row r="16" spans="1:20" x14ac:dyDescent="0.25">
      <c r="A16" s="5" t="s">
        <v>658</v>
      </c>
      <c r="B16" s="5" t="s">
        <v>698</v>
      </c>
      <c r="D16" s="6" t="str">
        <f>IF(ROWS(D$6:D16)&gt;E$3,"",INDEX($A$3:$A$52,_xlfn.AGGREGATE(15,6,(ROW($A$3:$A$52)-ROW(A$3)+1)/($B$3:$B$52=D$3),ROWS(D$6:D16))))</f>
        <v>Alyse  Hopson</v>
      </c>
      <c r="G16" s="6" t="str">
        <f t="array" ref="G16">IF(ROWS(D$6:D14)&gt;E$3,"",INDEX($A$3:$A$52,SMALL(IF($B$3:$B$52=D$3,ROW($A$3:$A$52)-ROW(D$3)+1),ROWS(D$6:D14))))</f>
        <v>Eulalia  Clement</v>
      </c>
    </row>
    <row r="17" spans="1:7" x14ac:dyDescent="0.25">
      <c r="A17" s="5" t="s">
        <v>659</v>
      </c>
      <c r="B17" s="5" t="s">
        <v>697</v>
      </c>
      <c r="D17" s="6" t="str">
        <f>IF(ROWS(D$6:D17)&gt;E$3,"",INDEX($A$3:$A$52,_xlfn.AGGREGATE(15,6,(ROW($A$3:$A$52)-ROW(A$3)+1)/($B$3:$B$52=D$3),ROWS(D$6:D17))))</f>
        <v>Pansy  Sam</v>
      </c>
      <c r="G17" s="6" t="str">
        <f t="array" ref="G17">IF(ROWS(D$6:D15)&gt;E$3,"",INDEX($A$3:$A$52,SMALL(IF($B$3:$B$52=D$3,ROW($A$3:$A$52)-ROW(D$3)+1),ROWS(D$6:D15))))</f>
        <v>Allena  Swenson</v>
      </c>
    </row>
    <row r="18" spans="1:7" x14ac:dyDescent="0.25">
      <c r="A18" s="5" t="s">
        <v>660</v>
      </c>
      <c r="B18" s="5" t="s">
        <v>698</v>
      </c>
      <c r="D18" s="6" t="str">
        <f>IF(ROWS(D$6:D18)&gt;E$3,"",INDEX($A$3:$A$52,_xlfn.AGGREGATE(15,6,(ROW($A$3:$A$52)-ROW(A$3)+1)/($B$3:$B$52=D$3),ROWS(D$6:D18))))</f>
        <v>Marlana  Huang</v>
      </c>
      <c r="G18" s="6" t="str">
        <f t="array" ref="G18">IF(ROWS(D$6:D16)&gt;E$3,"",INDEX($A$3:$A$52,SMALL(IF($B$3:$B$52=D$3,ROW($A$3:$A$52)-ROW(D$3)+1),ROWS(D$6:D16))))</f>
        <v>Alyse  Hopson</v>
      </c>
    </row>
    <row r="19" spans="1:7" x14ac:dyDescent="0.25">
      <c r="A19" s="5" t="s">
        <v>661</v>
      </c>
      <c r="B19" s="5" t="s">
        <v>698</v>
      </c>
      <c r="D19" s="6" t="str">
        <f>IF(ROWS(D$6:D19)&gt;E$3,"",INDEX($A$3:$A$52,_xlfn.AGGREGATE(15,6,(ROW($A$3:$A$52)-ROW(A$3)+1)/($B$3:$B$52=D$3),ROWS(D$6:D19))))</f>
        <v>Marcelle  Raley</v>
      </c>
      <c r="G19" s="6" t="str">
        <f t="array" ref="G19">IF(ROWS(D$6:D17)&gt;E$3,"",INDEX($A$3:$A$52,SMALL(IF($B$3:$B$52=D$3,ROW($A$3:$A$52)-ROW(D$3)+1),ROWS(D$6:D17))))</f>
        <v>Pansy  Sam</v>
      </c>
    </row>
    <row r="20" spans="1:7" x14ac:dyDescent="0.25">
      <c r="A20" s="5" t="s">
        <v>662</v>
      </c>
      <c r="B20" s="5" t="s">
        <v>699</v>
      </c>
      <c r="D20" s="6" t="str">
        <f>IF(ROWS(D$6:D20)&gt;E$3,"",INDEX($A$3:$A$52,_xlfn.AGGREGATE(15,6,(ROW($A$3:$A$52)-ROW(A$3)+1)/($B$3:$B$52=D$3),ROWS(D$6:D20))))</f>
        <v>Idalia  Osullivan</v>
      </c>
      <c r="G20" s="6" t="str">
        <f t="array" ref="G20">IF(ROWS(D$6:D18)&gt;E$3,"",INDEX($A$3:$A$52,SMALL(IF($B$3:$B$52=D$3,ROW($A$3:$A$52)-ROW(D$3)+1),ROWS(D$6:D18))))</f>
        <v>Marlana  Huang</v>
      </c>
    </row>
    <row r="21" spans="1:7" x14ac:dyDescent="0.25">
      <c r="A21" s="5" t="s">
        <v>663</v>
      </c>
      <c r="B21" s="5" t="s">
        <v>696</v>
      </c>
      <c r="D21" s="6" t="str">
        <f>IF(ROWS(D$6:D21)&gt;E$3,"",INDEX($A$3:$A$52,_xlfn.AGGREGATE(15,6,(ROW($A$3:$A$52)-ROW(A$3)+1)/($B$3:$B$52=D$3),ROWS(D$6:D21))))</f>
        <v>Lupe  Donovan</v>
      </c>
      <c r="G21" s="6" t="str">
        <f t="array" ref="G21">IF(ROWS(D$6:D19)&gt;E$3,"",INDEX($A$3:$A$52,SMALL(IF($B$3:$B$52=D$3,ROW($A$3:$A$52)-ROW(D$3)+1),ROWS(D$6:D19))))</f>
        <v>Marcelle  Raley</v>
      </c>
    </row>
    <row r="22" spans="1:7" x14ac:dyDescent="0.25">
      <c r="A22" s="5" t="s">
        <v>664</v>
      </c>
      <c r="B22" s="5" t="s">
        <v>699</v>
      </c>
      <c r="D22" s="6" t="str">
        <f>IF(ROWS(D$6:D22)&gt;E$3,"",INDEX($A$3:$A$52,_xlfn.AGGREGATE(15,6,(ROW($A$3:$A$52)-ROW(A$3)+1)/($B$3:$B$52=D$3),ROWS(D$6:D22))))</f>
        <v/>
      </c>
      <c r="G22" s="6" t="str">
        <f t="array" ref="G22">IF(ROWS(D$6:D20)&gt;E$3,"",INDEX($A$3:$A$52,SMALL(IF($B$3:$B$52=D$3,ROW($A$3:$A$52)-ROW(D$3)+1),ROWS(D$6:D20))))</f>
        <v>Idalia  Osullivan</v>
      </c>
    </row>
    <row r="23" spans="1:7" x14ac:dyDescent="0.25">
      <c r="A23" s="5" t="s">
        <v>665</v>
      </c>
      <c r="B23" s="5" t="s">
        <v>697</v>
      </c>
      <c r="D23" s="6" t="str">
        <f>IF(ROWS(D$6:D23)&gt;E$3,"",INDEX($A$3:$A$52,_xlfn.AGGREGATE(15,6,(ROW($A$3:$A$52)-ROW(A$3)+1)/($B$3:$B$52=D$3),ROWS(D$6:D23))))</f>
        <v/>
      </c>
      <c r="G23" s="6" t="str">
        <f t="array" ref="G23">IF(ROWS(D$6:D21)&gt;E$3,"",INDEX($A$3:$A$52,SMALL(IF($B$3:$B$52=D$3,ROW($A$3:$A$52)-ROW(D$3)+1),ROWS(D$6:D21))))</f>
        <v>Lupe  Donovan</v>
      </c>
    </row>
    <row r="24" spans="1:7" x14ac:dyDescent="0.25">
      <c r="A24" s="5" t="s">
        <v>666</v>
      </c>
      <c r="B24" s="5" t="s">
        <v>697</v>
      </c>
      <c r="D24" s="6" t="str">
        <f>IF(ROWS(D$6:D24)&gt;E$3,"",INDEX($A$3:$A$52,_xlfn.AGGREGATE(15,6,(ROW($A$3:$A$52)-ROW(A$3)+1)/($B$3:$B$52=D$3),ROWS(D$6:D24))))</f>
        <v/>
      </c>
      <c r="G24" s="6" t="str">
        <f t="array" ref="G24">IF(ROWS(D$6:D22)&gt;E$3,"",INDEX($A$3:$A$52,SMALL(IF($B$3:$B$52=D$3,ROW($A$3:$A$52)-ROW(D$3)+1),ROWS(D$6:D22))))</f>
        <v/>
      </c>
    </row>
    <row r="25" spans="1:7" x14ac:dyDescent="0.25">
      <c r="A25" s="5" t="s">
        <v>667</v>
      </c>
      <c r="B25" s="5" t="s">
        <v>696</v>
      </c>
      <c r="D25" s="6" t="str">
        <f>IF(ROWS(D$6:D25)&gt;E$3,"",INDEX($A$3:$A$52,_xlfn.AGGREGATE(15,6,(ROW($A$3:$A$52)-ROW(A$3)+1)/($B$3:$B$52=D$3),ROWS(D$6:D25))))</f>
        <v/>
      </c>
      <c r="G25" s="6" t="str">
        <f t="array" ref="G25">IF(ROWS(D$6:D23)&gt;E$3,"",INDEX($A$3:$A$52,SMALL(IF($B$3:$B$52=D$3,ROW($A$3:$A$52)-ROW(D$3)+1),ROWS(D$6:D23))))</f>
        <v/>
      </c>
    </row>
    <row r="26" spans="1:7" x14ac:dyDescent="0.25">
      <c r="A26" s="5" t="s">
        <v>668</v>
      </c>
      <c r="B26" s="5" t="s">
        <v>699</v>
      </c>
      <c r="G26" s="6" t="str">
        <f t="array" ref="G26">IF(ROWS(D$6:D24)&gt;E$3,"",INDEX($A$3:$A$52,SMALL(IF($B$3:$B$52=D$3,ROW($A$3:$A$52)-ROW(D$3)+1),ROWS(D$6:D24))))</f>
        <v/>
      </c>
    </row>
    <row r="27" spans="1:7" x14ac:dyDescent="0.25">
      <c r="A27" s="5" t="s">
        <v>669</v>
      </c>
      <c r="B27" s="5" t="s">
        <v>696</v>
      </c>
      <c r="G27" s="6" t="str">
        <f t="array" ref="G27">IF(ROWS(D$6:D25)&gt;E$3,"",INDEX($A$3:$A$52,SMALL(IF($B$3:$B$52=D$3,ROW($A$3:$A$52)-ROW(D$3)+1),ROWS(D$6:D25))))</f>
        <v/>
      </c>
    </row>
    <row r="28" spans="1:7" x14ac:dyDescent="0.25">
      <c r="A28" s="5" t="s">
        <v>670</v>
      </c>
      <c r="B28" s="5" t="s">
        <v>696</v>
      </c>
    </row>
    <row r="29" spans="1:7" x14ac:dyDescent="0.25">
      <c r="A29" s="5" t="s">
        <v>671</v>
      </c>
      <c r="B29" s="5" t="s">
        <v>697</v>
      </c>
    </row>
    <row r="30" spans="1:7" x14ac:dyDescent="0.25">
      <c r="A30" s="5" t="s">
        <v>672</v>
      </c>
      <c r="B30" s="5" t="s">
        <v>698</v>
      </c>
    </row>
    <row r="31" spans="1:7" x14ac:dyDescent="0.25">
      <c r="A31" s="5" t="s">
        <v>673</v>
      </c>
      <c r="B31" s="5" t="s">
        <v>697</v>
      </c>
    </row>
    <row r="32" spans="1:7" x14ac:dyDescent="0.25">
      <c r="A32" s="5" t="s">
        <v>674</v>
      </c>
      <c r="B32" s="5" t="s">
        <v>698</v>
      </c>
    </row>
    <row r="33" spans="1:2" x14ac:dyDescent="0.25">
      <c r="A33" s="5" t="s">
        <v>675</v>
      </c>
      <c r="B33" s="5" t="s">
        <v>698</v>
      </c>
    </row>
    <row r="34" spans="1:2" x14ac:dyDescent="0.25">
      <c r="A34" s="5" t="s">
        <v>676</v>
      </c>
      <c r="B34" s="5" t="s">
        <v>697</v>
      </c>
    </row>
    <row r="35" spans="1:2" x14ac:dyDescent="0.25">
      <c r="A35" s="5" t="s">
        <v>677</v>
      </c>
      <c r="B35" s="5" t="s">
        <v>698</v>
      </c>
    </row>
    <row r="36" spans="1:2" x14ac:dyDescent="0.25">
      <c r="A36" s="5" t="s">
        <v>678</v>
      </c>
      <c r="B36" s="5" t="s">
        <v>696</v>
      </c>
    </row>
    <row r="37" spans="1:2" x14ac:dyDescent="0.25">
      <c r="A37" s="5" t="s">
        <v>679</v>
      </c>
      <c r="B37" s="5" t="s">
        <v>699</v>
      </c>
    </row>
    <row r="38" spans="1:2" x14ac:dyDescent="0.25">
      <c r="A38" s="5" t="s">
        <v>680</v>
      </c>
      <c r="B38" s="5" t="s">
        <v>697</v>
      </c>
    </row>
    <row r="39" spans="1:2" x14ac:dyDescent="0.25">
      <c r="A39" s="5" t="s">
        <v>681</v>
      </c>
      <c r="B39" s="5" t="s">
        <v>698</v>
      </c>
    </row>
    <row r="40" spans="1:2" x14ac:dyDescent="0.25">
      <c r="A40" s="5" t="s">
        <v>682</v>
      </c>
      <c r="B40" s="5" t="s">
        <v>698</v>
      </c>
    </row>
    <row r="41" spans="1:2" x14ac:dyDescent="0.25">
      <c r="A41" s="5" t="s">
        <v>683</v>
      </c>
      <c r="B41" s="5" t="s">
        <v>696</v>
      </c>
    </row>
    <row r="42" spans="1:2" x14ac:dyDescent="0.25">
      <c r="A42" s="5" t="s">
        <v>684</v>
      </c>
      <c r="B42" s="5" t="s">
        <v>697</v>
      </c>
    </row>
    <row r="43" spans="1:2" x14ac:dyDescent="0.25">
      <c r="A43" s="5" t="s">
        <v>685</v>
      </c>
      <c r="B43" s="5" t="s">
        <v>696</v>
      </c>
    </row>
    <row r="44" spans="1:2" x14ac:dyDescent="0.25">
      <c r="A44" s="5" t="s">
        <v>686</v>
      </c>
      <c r="B44" s="5" t="s">
        <v>699</v>
      </c>
    </row>
    <row r="45" spans="1:2" x14ac:dyDescent="0.25">
      <c r="A45" s="5" t="s">
        <v>687</v>
      </c>
      <c r="B45" s="5" t="s">
        <v>696</v>
      </c>
    </row>
    <row r="46" spans="1:2" x14ac:dyDescent="0.25">
      <c r="A46" s="5" t="s">
        <v>688</v>
      </c>
      <c r="B46" s="5" t="s">
        <v>696</v>
      </c>
    </row>
    <row r="47" spans="1:2" x14ac:dyDescent="0.25">
      <c r="A47" s="5" t="s">
        <v>689</v>
      </c>
      <c r="B47" s="5" t="s">
        <v>697</v>
      </c>
    </row>
    <row r="48" spans="1:2" x14ac:dyDescent="0.25">
      <c r="A48" s="5" t="s">
        <v>690</v>
      </c>
      <c r="B48" s="5" t="s">
        <v>698</v>
      </c>
    </row>
    <row r="49" spans="1:2" x14ac:dyDescent="0.25">
      <c r="A49" s="5" t="s">
        <v>691</v>
      </c>
      <c r="B49" s="5" t="s">
        <v>697</v>
      </c>
    </row>
    <row r="50" spans="1:2" x14ac:dyDescent="0.25">
      <c r="A50" s="5" t="s">
        <v>692</v>
      </c>
      <c r="B50" s="5" t="s">
        <v>698</v>
      </c>
    </row>
    <row r="51" spans="1:2" x14ac:dyDescent="0.25">
      <c r="A51" s="5" t="s">
        <v>693</v>
      </c>
      <c r="B51" s="5" t="s">
        <v>696</v>
      </c>
    </row>
    <row r="52" spans="1:2" x14ac:dyDescent="0.25">
      <c r="A52" s="5" t="s">
        <v>694</v>
      </c>
      <c r="B52" s="5" t="s">
        <v>696</v>
      </c>
    </row>
  </sheetData>
  <dataValidations count="1">
    <dataValidation type="list" allowBlank="1" showInputMessage="1" showErrorMessage="1" sqref="D3">
      <formula1>$T$3:$T$6</formula1>
    </dataValidation>
  </dataValidations>
  <pageMargins left="0.7" right="0.7" top="0.75" bottom="0.75" header="0.3" footer="0.3"/>
  <pageSetup orientation="portrait" r:id="rId1"/>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1">
    <tabColor rgb="FF0000FF"/>
  </sheetPr>
  <dimension ref="A1:U52"/>
  <sheetViews>
    <sheetView zoomScaleNormal="100" workbookViewId="0">
      <selection activeCell="E3" sqref="E3"/>
    </sheetView>
  </sheetViews>
  <sheetFormatPr defaultColWidth="8.85546875" defaultRowHeight="15" x14ac:dyDescent="0.25"/>
  <cols>
    <col min="1" max="1" width="8.85546875" customWidth="1"/>
    <col min="2" max="2" width="16.28515625" customWidth="1"/>
    <col min="3" max="3" width="8" customWidth="1"/>
    <col min="4" max="4" width="1.5703125" customWidth="1"/>
    <col min="5" max="5" width="16.7109375" customWidth="1"/>
    <col min="8" max="8" width="19.85546875" customWidth="1"/>
    <col min="9" max="9" width="6.42578125" customWidth="1"/>
  </cols>
  <sheetData>
    <row r="1" spans="1:21" x14ac:dyDescent="0.25">
      <c r="A1" s="23" t="str">
        <f ca="1">"Formula in cell "&amp;ADDRESS(ROW(A3),COLUMN(A3),4)&amp;": "&amp;_xlfn.FORMULATEXT(A3)</f>
        <v>Formula in cell A3: =C3&amp;COUNTIF(C$3:C3,C3)</v>
      </c>
    </row>
    <row r="2" spans="1:21" x14ac:dyDescent="0.25">
      <c r="A2" s="8" t="s">
        <v>132</v>
      </c>
      <c r="B2" s="8" t="s">
        <v>643</v>
      </c>
      <c r="C2" s="8" t="s">
        <v>644</v>
      </c>
      <c r="E2" s="8" t="s">
        <v>695</v>
      </c>
      <c r="F2" s="8" t="s">
        <v>33</v>
      </c>
      <c r="U2" s="8" t="s">
        <v>695</v>
      </c>
    </row>
    <row r="3" spans="1:21" x14ac:dyDescent="0.25">
      <c r="A3" s="6" t="str">
        <f>C3&amp;COUNTIF(C$3:C3,C3)</f>
        <v>Cascade1</v>
      </c>
      <c r="B3" s="5" t="s">
        <v>645</v>
      </c>
      <c r="C3" s="5" t="s">
        <v>696</v>
      </c>
      <c r="E3" s="5" t="s">
        <v>696</v>
      </c>
      <c r="F3" s="6">
        <f>COUNTIF($C$3:$C$52,E3)</f>
        <v>16</v>
      </c>
      <c r="G3" s="23" t="s">
        <v>1753</v>
      </c>
      <c r="U3" s="5" t="s">
        <v>696</v>
      </c>
    </row>
    <row r="4" spans="1:21" x14ac:dyDescent="0.25">
      <c r="A4" s="6" t="str">
        <f>C4&amp;COUNTIF(C$3:C4,C4)</f>
        <v>Kroner1</v>
      </c>
      <c r="B4" s="5" t="s">
        <v>646</v>
      </c>
      <c r="C4" s="5" t="s">
        <v>697</v>
      </c>
      <c r="U4" s="5" t="s">
        <v>697</v>
      </c>
    </row>
    <row r="5" spans="1:21" x14ac:dyDescent="0.25">
      <c r="A5" s="6" t="str">
        <f>C5&amp;COUNTIF(C$3:C5,C5)</f>
        <v>Yanaki1</v>
      </c>
      <c r="B5" s="5" t="s">
        <v>647</v>
      </c>
      <c r="C5" s="5" t="s">
        <v>698</v>
      </c>
      <c r="E5" s="8" t="s">
        <v>643</v>
      </c>
      <c r="N5" s="23"/>
      <c r="U5" s="5" t="s">
        <v>699</v>
      </c>
    </row>
    <row r="6" spans="1:21" x14ac:dyDescent="0.25">
      <c r="A6" s="6" t="str">
        <f>C6&amp;COUNTIF(C$3:C6,C6)</f>
        <v>Yanaki2</v>
      </c>
      <c r="B6" s="5" t="s">
        <v>648</v>
      </c>
      <c r="C6" s="5" t="s">
        <v>698</v>
      </c>
      <c r="E6" s="6" t="str">
        <f>IF(ROWS(E$6:E6)&gt;F$3,"",VLOOKUP(E$3&amp;ROWS(E$6:E6),$A$3:$B$52,2,0))</f>
        <v>Jules  Horowitz</v>
      </c>
      <c r="F6" s="23" t="s">
        <v>752</v>
      </c>
      <c r="U6" s="5" t="s">
        <v>698</v>
      </c>
    </row>
    <row r="7" spans="1:21" x14ac:dyDescent="0.25">
      <c r="A7" s="6" t="str">
        <f>C7&amp;COUNTIF(C$3:C7,C7)</f>
        <v>Cascade2</v>
      </c>
      <c r="B7" s="5" t="s">
        <v>649</v>
      </c>
      <c r="C7" s="5" t="s">
        <v>696</v>
      </c>
      <c r="E7" s="6" t="str">
        <f>IF(ROWS(E$6:E7)&gt;F$3,"",VLOOKUP(E$3&amp;ROWS(E$6:E7),$A$3:$B$52,2,0))</f>
        <v>Stormy  Haight</v>
      </c>
      <c r="F7" s="175" t="s">
        <v>753</v>
      </c>
    </row>
    <row r="8" spans="1:21" x14ac:dyDescent="0.25">
      <c r="A8" s="6" t="str">
        <f>C8&amp;COUNTIF(C$3:C8,C8)</f>
        <v>Philips1</v>
      </c>
      <c r="B8" s="5" t="s">
        <v>650</v>
      </c>
      <c r="C8" s="5" t="s">
        <v>699</v>
      </c>
      <c r="E8" s="6" t="str">
        <f>IF(ROWS(E$6:E8)&gt;F$3,"",VLOOKUP(E$3&amp;ROWS(E$6:E8),$A$3:$B$52,2,0))</f>
        <v>Jeremy  Shea</v>
      </c>
    </row>
    <row r="9" spans="1:21" x14ac:dyDescent="0.25">
      <c r="A9" s="6" t="str">
        <f>C9&amp;COUNTIF(C$3:C9,C9)</f>
        <v>Yanaki3</v>
      </c>
      <c r="B9" s="5" t="s">
        <v>651</v>
      </c>
      <c r="C9" s="5" t="s">
        <v>698</v>
      </c>
      <c r="E9" s="6" t="str">
        <f>IF(ROWS(E$6:E9)&gt;F$3,"",VLOOKUP(E$3&amp;ROWS(E$6:E9),$A$3:$B$52,2,0))</f>
        <v>Ivelisse  Goins</v>
      </c>
    </row>
    <row r="10" spans="1:21" x14ac:dyDescent="0.25">
      <c r="A10" s="6" t="str">
        <f>C10&amp;COUNTIF(C$3:C10,C10)</f>
        <v>Yanaki4</v>
      </c>
      <c r="B10" s="5" t="s">
        <v>652</v>
      </c>
      <c r="C10" s="5" t="s">
        <v>698</v>
      </c>
      <c r="E10" s="6" t="str">
        <f>IF(ROWS(E$6:E10)&gt;F$3,"",VLOOKUP(E$3&amp;ROWS(E$6:E10),$A$3:$B$52,2,0))</f>
        <v>Gail  Reaves</v>
      </c>
    </row>
    <row r="11" spans="1:21" x14ac:dyDescent="0.25">
      <c r="A11" s="6" t="str">
        <f>C11&amp;COUNTIF(C$3:C11,C11)</f>
        <v>Cascade3</v>
      </c>
      <c r="B11" s="5" t="s">
        <v>653</v>
      </c>
      <c r="C11" s="5" t="s">
        <v>696</v>
      </c>
      <c r="E11" s="6" t="str">
        <f>IF(ROWS(E$6:E11)&gt;F$3,"",VLOOKUP(E$3&amp;ROWS(E$6:E11),$A$3:$B$52,2,0))</f>
        <v>Franchesca  Novak</v>
      </c>
    </row>
    <row r="12" spans="1:21" x14ac:dyDescent="0.25">
      <c r="A12" s="6" t="str">
        <f>C12&amp;COUNTIF(C$3:C12,C12)</f>
        <v>Kroner2</v>
      </c>
      <c r="B12" s="5" t="s">
        <v>654</v>
      </c>
      <c r="C12" s="5" t="s">
        <v>697</v>
      </c>
      <c r="E12" s="6" t="str">
        <f>IF(ROWS(E$6:E12)&gt;F$3,"",VLOOKUP(E$3&amp;ROWS(E$6:E12),$A$3:$B$52,2,0))</f>
        <v>Shandra  Rife</v>
      </c>
    </row>
    <row r="13" spans="1:21" x14ac:dyDescent="0.25">
      <c r="A13" s="6" t="str">
        <f>C13&amp;COUNTIF(C$3:C13,C13)</f>
        <v>Cascade4</v>
      </c>
      <c r="B13" s="5" t="s">
        <v>655</v>
      </c>
      <c r="C13" s="5" t="s">
        <v>696</v>
      </c>
      <c r="E13" s="6" t="str">
        <f>IF(ROWS(E$6:E13)&gt;F$3,"",VLOOKUP(E$3&amp;ROWS(E$6:E13),$A$3:$B$52,2,0))</f>
        <v>Rhett  Seymore</v>
      </c>
    </row>
    <row r="14" spans="1:21" x14ac:dyDescent="0.25">
      <c r="A14" s="6" t="str">
        <f>C14&amp;COUNTIF(C$3:C14,C14)</f>
        <v>Kroner3</v>
      </c>
      <c r="B14" s="5" t="s">
        <v>656</v>
      </c>
      <c r="C14" s="5" t="s">
        <v>697</v>
      </c>
      <c r="E14" s="6" t="str">
        <f>IF(ROWS(E$6:E14)&gt;F$3,"",VLOOKUP(E$3&amp;ROWS(E$6:E14),$A$3:$B$52,2,0))</f>
        <v>Eulalia  Clement</v>
      </c>
    </row>
    <row r="15" spans="1:21" x14ac:dyDescent="0.25">
      <c r="A15" s="6" t="str">
        <f>C15&amp;COUNTIF(C$3:C15,C15)</f>
        <v>Cascade5</v>
      </c>
      <c r="B15" s="5" t="s">
        <v>657</v>
      </c>
      <c r="C15" s="5" t="s">
        <v>696</v>
      </c>
      <c r="E15" s="6" t="str">
        <f>IF(ROWS(E$6:E15)&gt;F$3,"",VLOOKUP(E$3&amp;ROWS(E$6:E15),$A$3:$B$52,2,0))</f>
        <v>Allena  Swenson</v>
      </c>
    </row>
    <row r="16" spans="1:21" x14ac:dyDescent="0.25">
      <c r="A16" s="6" t="str">
        <f>C16&amp;COUNTIF(C$3:C16,C16)</f>
        <v>Yanaki5</v>
      </c>
      <c r="B16" s="5" t="s">
        <v>658</v>
      </c>
      <c r="C16" s="5" t="s">
        <v>698</v>
      </c>
      <c r="E16" s="6" t="str">
        <f>IF(ROWS(E$6:E16)&gt;F$3,"",VLOOKUP(E$3&amp;ROWS(E$6:E16),$A$3:$B$52,2,0))</f>
        <v>Alyse  Hopson</v>
      </c>
    </row>
    <row r="17" spans="1:5" x14ac:dyDescent="0.25">
      <c r="A17" s="6" t="str">
        <f>C17&amp;COUNTIF(C$3:C17,C17)</f>
        <v>Kroner4</v>
      </c>
      <c r="B17" s="5" t="s">
        <v>659</v>
      </c>
      <c r="C17" s="5" t="s">
        <v>697</v>
      </c>
      <c r="E17" s="6" t="str">
        <f>IF(ROWS(E$6:E17)&gt;F$3,"",VLOOKUP(E$3&amp;ROWS(E$6:E17),$A$3:$B$52,2,0))</f>
        <v>Pansy  Sam</v>
      </c>
    </row>
    <row r="18" spans="1:5" x14ac:dyDescent="0.25">
      <c r="A18" s="6" t="str">
        <f>C18&amp;COUNTIF(C$3:C18,C18)</f>
        <v>Yanaki6</v>
      </c>
      <c r="B18" s="5" t="s">
        <v>660</v>
      </c>
      <c r="C18" s="5" t="s">
        <v>698</v>
      </c>
      <c r="E18" s="6" t="str">
        <f>IF(ROWS(E$6:E18)&gt;F$3,"",VLOOKUP(E$3&amp;ROWS(E$6:E18),$A$3:$B$52,2,0))</f>
        <v>Marlana  Huang</v>
      </c>
    </row>
    <row r="19" spans="1:5" x14ac:dyDescent="0.25">
      <c r="A19" s="6" t="str">
        <f>C19&amp;COUNTIF(C$3:C19,C19)</f>
        <v>Yanaki7</v>
      </c>
      <c r="B19" s="5" t="s">
        <v>661</v>
      </c>
      <c r="C19" s="5" t="s">
        <v>698</v>
      </c>
      <c r="E19" s="6" t="str">
        <f>IF(ROWS(E$6:E19)&gt;F$3,"",VLOOKUP(E$3&amp;ROWS(E$6:E19),$A$3:$B$52,2,0))</f>
        <v>Marcelle  Raley</v>
      </c>
    </row>
    <row r="20" spans="1:5" x14ac:dyDescent="0.25">
      <c r="A20" s="6" t="str">
        <f>C20&amp;COUNTIF(C$3:C20,C20)</f>
        <v>Philips2</v>
      </c>
      <c r="B20" s="5" t="s">
        <v>662</v>
      </c>
      <c r="C20" s="5" t="s">
        <v>699</v>
      </c>
      <c r="E20" s="6" t="str">
        <f>IF(ROWS(E$6:E20)&gt;F$3,"",VLOOKUP(E$3&amp;ROWS(E$6:E20),$A$3:$B$52,2,0))</f>
        <v>Idalia  Osullivan</v>
      </c>
    </row>
    <row r="21" spans="1:5" x14ac:dyDescent="0.25">
      <c r="A21" s="6" t="str">
        <f>C21&amp;COUNTIF(C$3:C21,C21)</f>
        <v>Cascade6</v>
      </c>
      <c r="B21" s="5" t="s">
        <v>663</v>
      </c>
      <c r="C21" s="5" t="s">
        <v>696</v>
      </c>
      <c r="E21" s="6" t="str">
        <f>IF(ROWS(E$6:E21)&gt;F$3,"",VLOOKUP(E$3&amp;ROWS(E$6:E21),$A$3:$B$52,2,0))</f>
        <v>Lupe  Donovan</v>
      </c>
    </row>
    <row r="22" spans="1:5" x14ac:dyDescent="0.25">
      <c r="A22" s="6" t="str">
        <f>C22&amp;COUNTIF(C$3:C22,C22)</f>
        <v>Philips3</v>
      </c>
      <c r="B22" s="5" t="s">
        <v>664</v>
      </c>
      <c r="C22" s="5" t="s">
        <v>699</v>
      </c>
      <c r="E22" s="6" t="str">
        <f>IF(ROWS(E$6:E22)&gt;F$3,"",VLOOKUP(E$3&amp;ROWS(E$6:E22),$A$3:$B$52,2,0))</f>
        <v/>
      </c>
    </row>
    <row r="23" spans="1:5" x14ac:dyDescent="0.25">
      <c r="A23" s="6" t="str">
        <f>C23&amp;COUNTIF(C$3:C23,C23)</f>
        <v>Kroner5</v>
      </c>
      <c r="B23" s="5" t="s">
        <v>665</v>
      </c>
      <c r="C23" s="5" t="s">
        <v>697</v>
      </c>
      <c r="E23" s="6" t="str">
        <f>IF(ROWS(E$6:E23)&gt;F$3,"",VLOOKUP(E$3&amp;ROWS(E$6:E23),$A$3:$B$52,2,0))</f>
        <v/>
      </c>
    </row>
    <row r="24" spans="1:5" x14ac:dyDescent="0.25">
      <c r="A24" s="6" t="str">
        <f>C24&amp;COUNTIF(C$3:C24,C24)</f>
        <v>Kroner6</v>
      </c>
      <c r="B24" s="5" t="s">
        <v>666</v>
      </c>
      <c r="C24" s="5" t="s">
        <v>697</v>
      </c>
      <c r="E24" s="6" t="str">
        <f>IF(ROWS(E$6:E24)&gt;F$3,"",VLOOKUP(E$3&amp;ROWS(E$6:E24),$A$3:$B$52,2,0))</f>
        <v/>
      </c>
    </row>
    <row r="25" spans="1:5" x14ac:dyDescent="0.25">
      <c r="A25" s="6" t="str">
        <f>C25&amp;COUNTIF(C$3:C25,C25)</f>
        <v>Cascade7</v>
      </c>
      <c r="B25" s="5" t="s">
        <v>667</v>
      </c>
      <c r="C25" s="5" t="s">
        <v>696</v>
      </c>
      <c r="E25" s="6" t="str">
        <f>IF(ROWS(E$6:E25)&gt;F$3,"",VLOOKUP(E$3&amp;ROWS(E$6:E25),$A$3:$B$52,2,0))</f>
        <v/>
      </c>
    </row>
    <row r="26" spans="1:5" x14ac:dyDescent="0.25">
      <c r="A26" s="6" t="str">
        <f>C26&amp;COUNTIF(C$3:C26,C26)</f>
        <v>Philips4</v>
      </c>
      <c r="B26" s="5" t="s">
        <v>668</v>
      </c>
      <c r="C26" s="5" t="s">
        <v>699</v>
      </c>
    </row>
    <row r="27" spans="1:5" x14ac:dyDescent="0.25">
      <c r="A27" s="6" t="str">
        <f>C27&amp;COUNTIF(C$3:C27,C27)</f>
        <v>Cascade8</v>
      </c>
      <c r="B27" s="5" t="s">
        <v>669</v>
      </c>
      <c r="C27" s="5" t="s">
        <v>696</v>
      </c>
    </row>
    <row r="28" spans="1:5" x14ac:dyDescent="0.25">
      <c r="A28" s="6" t="str">
        <f>C28&amp;COUNTIF(C$3:C28,C28)</f>
        <v>Cascade9</v>
      </c>
      <c r="B28" s="5" t="s">
        <v>670</v>
      </c>
      <c r="C28" s="5" t="s">
        <v>696</v>
      </c>
    </row>
    <row r="29" spans="1:5" x14ac:dyDescent="0.25">
      <c r="A29" s="6" t="str">
        <f>C29&amp;COUNTIF(C$3:C29,C29)</f>
        <v>Kroner7</v>
      </c>
      <c r="B29" s="5" t="s">
        <v>671</v>
      </c>
      <c r="C29" s="5" t="s">
        <v>697</v>
      </c>
    </row>
    <row r="30" spans="1:5" x14ac:dyDescent="0.25">
      <c r="A30" s="6" t="str">
        <f>C30&amp;COUNTIF(C$3:C30,C30)</f>
        <v>Yanaki8</v>
      </c>
      <c r="B30" s="5" t="s">
        <v>672</v>
      </c>
      <c r="C30" s="5" t="s">
        <v>698</v>
      </c>
    </row>
    <row r="31" spans="1:5" x14ac:dyDescent="0.25">
      <c r="A31" s="6" t="str">
        <f>C31&amp;COUNTIF(C$3:C31,C31)</f>
        <v>Kroner8</v>
      </c>
      <c r="B31" s="5" t="s">
        <v>673</v>
      </c>
      <c r="C31" s="5" t="s">
        <v>697</v>
      </c>
    </row>
    <row r="32" spans="1:5" x14ac:dyDescent="0.25">
      <c r="A32" s="6" t="str">
        <f>C32&amp;COUNTIF(C$3:C32,C32)</f>
        <v>Yanaki9</v>
      </c>
      <c r="B32" s="5" t="s">
        <v>674</v>
      </c>
      <c r="C32" s="5" t="s">
        <v>698</v>
      </c>
    </row>
    <row r="33" spans="1:3" x14ac:dyDescent="0.25">
      <c r="A33" s="6" t="str">
        <f>C33&amp;COUNTIF(C$3:C33,C33)</f>
        <v>Yanaki10</v>
      </c>
      <c r="B33" s="5" t="s">
        <v>675</v>
      </c>
      <c r="C33" s="5" t="s">
        <v>698</v>
      </c>
    </row>
    <row r="34" spans="1:3" x14ac:dyDescent="0.25">
      <c r="A34" s="6" t="str">
        <f>C34&amp;COUNTIF(C$3:C34,C34)</f>
        <v>Kroner9</v>
      </c>
      <c r="B34" s="5" t="s">
        <v>676</v>
      </c>
      <c r="C34" s="5" t="s">
        <v>697</v>
      </c>
    </row>
    <row r="35" spans="1:3" x14ac:dyDescent="0.25">
      <c r="A35" s="6" t="str">
        <f>C35&amp;COUNTIF(C$3:C35,C35)</f>
        <v>Yanaki11</v>
      </c>
      <c r="B35" s="5" t="s">
        <v>677</v>
      </c>
      <c r="C35" s="5" t="s">
        <v>698</v>
      </c>
    </row>
    <row r="36" spans="1:3" x14ac:dyDescent="0.25">
      <c r="A36" s="6" t="str">
        <f>C36&amp;COUNTIF(C$3:C36,C36)</f>
        <v>Cascade10</v>
      </c>
      <c r="B36" s="5" t="s">
        <v>678</v>
      </c>
      <c r="C36" s="5" t="s">
        <v>696</v>
      </c>
    </row>
    <row r="37" spans="1:3" x14ac:dyDescent="0.25">
      <c r="A37" s="6" t="str">
        <f>C37&amp;COUNTIF(C$3:C37,C37)</f>
        <v>Philips5</v>
      </c>
      <c r="B37" s="5" t="s">
        <v>679</v>
      </c>
      <c r="C37" s="5" t="s">
        <v>699</v>
      </c>
    </row>
    <row r="38" spans="1:3" x14ac:dyDescent="0.25">
      <c r="A38" s="6" t="str">
        <f>C38&amp;COUNTIF(C$3:C38,C38)</f>
        <v>Kroner10</v>
      </c>
      <c r="B38" s="5" t="s">
        <v>680</v>
      </c>
      <c r="C38" s="5" t="s">
        <v>697</v>
      </c>
    </row>
    <row r="39" spans="1:3" x14ac:dyDescent="0.25">
      <c r="A39" s="6" t="str">
        <f>C39&amp;COUNTIF(C$3:C39,C39)</f>
        <v>Yanaki12</v>
      </c>
      <c r="B39" s="5" t="s">
        <v>681</v>
      </c>
      <c r="C39" s="5" t="s">
        <v>698</v>
      </c>
    </row>
    <row r="40" spans="1:3" x14ac:dyDescent="0.25">
      <c r="A40" s="6" t="str">
        <f>C40&amp;COUNTIF(C$3:C40,C40)</f>
        <v>Yanaki13</v>
      </c>
      <c r="B40" s="5" t="s">
        <v>682</v>
      </c>
      <c r="C40" s="5" t="s">
        <v>698</v>
      </c>
    </row>
    <row r="41" spans="1:3" x14ac:dyDescent="0.25">
      <c r="A41" s="6" t="str">
        <f>C41&amp;COUNTIF(C$3:C41,C41)</f>
        <v>Cascade11</v>
      </c>
      <c r="B41" s="5" t="s">
        <v>683</v>
      </c>
      <c r="C41" s="5" t="s">
        <v>696</v>
      </c>
    </row>
    <row r="42" spans="1:3" x14ac:dyDescent="0.25">
      <c r="A42" s="6" t="str">
        <f>C42&amp;COUNTIF(C$3:C42,C42)</f>
        <v>Kroner11</v>
      </c>
      <c r="B42" s="5" t="s">
        <v>684</v>
      </c>
      <c r="C42" s="5" t="s">
        <v>697</v>
      </c>
    </row>
    <row r="43" spans="1:3" x14ac:dyDescent="0.25">
      <c r="A43" s="6" t="str">
        <f>C43&amp;COUNTIF(C$3:C43,C43)</f>
        <v>Cascade12</v>
      </c>
      <c r="B43" s="5" t="s">
        <v>685</v>
      </c>
      <c r="C43" s="5" t="s">
        <v>696</v>
      </c>
    </row>
    <row r="44" spans="1:3" x14ac:dyDescent="0.25">
      <c r="A44" s="6" t="str">
        <f>C44&amp;COUNTIF(C$3:C44,C44)</f>
        <v>Philips6</v>
      </c>
      <c r="B44" s="5" t="s">
        <v>686</v>
      </c>
      <c r="C44" s="5" t="s">
        <v>699</v>
      </c>
    </row>
    <row r="45" spans="1:3" x14ac:dyDescent="0.25">
      <c r="A45" s="6" t="str">
        <f>C45&amp;COUNTIF(C$3:C45,C45)</f>
        <v>Cascade13</v>
      </c>
      <c r="B45" s="5" t="s">
        <v>687</v>
      </c>
      <c r="C45" s="5" t="s">
        <v>696</v>
      </c>
    </row>
    <row r="46" spans="1:3" x14ac:dyDescent="0.25">
      <c r="A46" s="6" t="str">
        <f>C46&amp;COUNTIF(C$3:C46,C46)</f>
        <v>Cascade14</v>
      </c>
      <c r="B46" s="5" t="s">
        <v>688</v>
      </c>
      <c r="C46" s="5" t="s">
        <v>696</v>
      </c>
    </row>
    <row r="47" spans="1:3" x14ac:dyDescent="0.25">
      <c r="A47" s="6" t="str">
        <f>C47&amp;COUNTIF(C$3:C47,C47)</f>
        <v>Kroner12</v>
      </c>
      <c r="B47" s="5" t="s">
        <v>689</v>
      </c>
      <c r="C47" s="5" t="s">
        <v>697</v>
      </c>
    </row>
    <row r="48" spans="1:3" x14ac:dyDescent="0.25">
      <c r="A48" s="6" t="str">
        <f>C48&amp;COUNTIF(C$3:C48,C48)</f>
        <v>Yanaki14</v>
      </c>
      <c r="B48" s="5" t="s">
        <v>690</v>
      </c>
      <c r="C48" s="5" t="s">
        <v>698</v>
      </c>
    </row>
    <row r="49" spans="1:3" x14ac:dyDescent="0.25">
      <c r="A49" s="6" t="str">
        <f>C49&amp;COUNTIF(C$3:C49,C49)</f>
        <v>Kroner13</v>
      </c>
      <c r="B49" s="5" t="s">
        <v>691</v>
      </c>
      <c r="C49" s="5" t="s">
        <v>697</v>
      </c>
    </row>
    <row r="50" spans="1:3" x14ac:dyDescent="0.25">
      <c r="A50" s="6" t="str">
        <f>C50&amp;COUNTIF(C$3:C50,C50)</f>
        <v>Yanaki15</v>
      </c>
      <c r="B50" s="5" t="s">
        <v>692</v>
      </c>
      <c r="C50" s="5" t="s">
        <v>698</v>
      </c>
    </row>
    <row r="51" spans="1:3" x14ac:dyDescent="0.25">
      <c r="A51" s="6" t="str">
        <f>C51&amp;COUNTIF(C$3:C51,C51)</f>
        <v>Cascade15</v>
      </c>
      <c r="B51" s="5" t="s">
        <v>693</v>
      </c>
      <c r="C51" s="5" t="s">
        <v>696</v>
      </c>
    </row>
    <row r="52" spans="1:3" x14ac:dyDescent="0.25">
      <c r="A52" s="6" t="str">
        <f>C52&amp;COUNTIF(C$3:C52,C52)</f>
        <v>Cascade16</v>
      </c>
      <c r="B52" s="5" t="s">
        <v>694</v>
      </c>
      <c r="C52" s="5" t="s">
        <v>696</v>
      </c>
    </row>
  </sheetData>
  <dataValidations count="1">
    <dataValidation type="list" allowBlank="1" showInputMessage="1" showErrorMessage="1" sqref="E3">
      <formula1>$U$3:$U$6</formula1>
    </dataValidation>
  </dataValidations>
  <pageMargins left="0.7" right="0.7" top="0.75" bottom="0.75" header="0.3" footer="0.3"/>
  <pageSetup orientation="portrait" r:id="rId1"/>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2">
    <tabColor rgb="FF0000FF"/>
  </sheetPr>
  <dimension ref="A1:AD936"/>
  <sheetViews>
    <sheetView zoomScaleNormal="100" workbookViewId="0">
      <selection activeCell="E3" sqref="E3"/>
    </sheetView>
  </sheetViews>
  <sheetFormatPr defaultColWidth="8.85546875" defaultRowHeight="15" x14ac:dyDescent="0.25"/>
  <cols>
    <col min="1" max="1" width="9.5703125" bestFit="1" customWidth="1"/>
    <col min="2" max="2" width="17.28515625" customWidth="1"/>
    <col min="3" max="3" width="8.85546875" customWidth="1"/>
    <col min="4" max="4" width="2.140625" customWidth="1"/>
    <col min="5" max="5" width="5.28515625" customWidth="1"/>
    <col min="6" max="6" width="17.140625" customWidth="1"/>
    <col min="7" max="7" width="12.28515625" customWidth="1"/>
    <col min="8" max="8" width="2.140625" customWidth="1"/>
    <col min="9" max="9" width="17" customWidth="1"/>
    <col min="10" max="11" width="17.140625" customWidth="1"/>
    <col min="12" max="12" width="19.42578125" customWidth="1"/>
    <col min="13" max="13" width="35.5703125" customWidth="1"/>
    <col min="14" max="14" width="12" customWidth="1"/>
    <col min="15" max="15" width="17.140625" customWidth="1"/>
    <col min="16" max="16" width="15" customWidth="1"/>
    <col min="30" max="30" width="20.28515625" bestFit="1" customWidth="1"/>
  </cols>
  <sheetData>
    <row r="1" spans="1:30" x14ac:dyDescent="0.25">
      <c r="B1" s="23" t="s">
        <v>1754</v>
      </c>
    </row>
    <row r="3" spans="1:30" x14ac:dyDescent="0.25">
      <c r="A3" s="23" t="s">
        <v>758</v>
      </c>
      <c r="E3" s="23"/>
    </row>
    <row r="4" spans="1:30" ht="30" x14ac:dyDescent="0.25">
      <c r="A4" s="8" t="s">
        <v>8</v>
      </c>
      <c r="B4" s="8" t="s">
        <v>222</v>
      </c>
      <c r="C4" s="28" t="s">
        <v>756</v>
      </c>
      <c r="E4" s="176" t="s">
        <v>755</v>
      </c>
      <c r="F4" s="110"/>
      <c r="G4" s="111"/>
      <c r="I4" s="73" t="s">
        <v>412</v>
      </c>
      <c r="L4" s="8" t="s">
        <v>644</v>
      </c>
      <c r="M4" s="28" t="s">
        <v>754</v>
      </c>
      <c r="AB4" s="8" t="s">
        <v>695</v>
      </c>
      <c r="AD4" s="8" t="s">
        <v>643</v>
      </c>
    </row>
    <row r="5" spans="1:30" x14ac:dyDescent="0.25">
      <c r="A5" s="19">
        <v>41832</v>
      </c>
      <c r="B5" s="5" t="s">
        <v>675</v>
      </c>
      <c r="C5" s="5">
        <v>24</v>
      </c>
      <c r="G5" s="6">
        <f>SUMPRODUCT(--ISNUMBER(MATCH($B$5:$B$936,$I$6:$I$21,0)))</f>
        <v>158</v>
      </c>
      <c r="I5" s="8" t="s">
        <v>222</v>
      </c>
      <c r="L5" s="5" t="s">
        <v>696</v>
      </c>
      <c r="M5" s="6">
        <f>COUNTIF('15-(44)'!$B$3:$B$52,L5)</f>
        <v>16</v>
      </c>
      <c r="AB5" s="5" t="s">
        <v>696</v>
      </c>
      <c r="AD5" s="5" t="s">
        <v>645</v>
      </c>
    </row>
    <row r="6" spans="1:30" x14ac:dyDescent="0.25">
      <c r="A6" s="19">
        <v>41948</v>
      </c>
      <c r="B6" s="5" t="s">
        <v>665</v>
      </c>
      <c r="C6" s="5">
        <v>3</v>
      </c>
      <c r="I6" s="14" t="str">
        <f t="array" ref="I6">IF(ROWS(I$6:I6)&gt;M$5,"",INDEX('15-(44)'!$A$3:$A$52,SMALL(IF('15-(44)'!$B$3:$B$52=L$5,ROW('15-(44)'!$B$3:$B$52)-ROW('15-(44)'!$B$3)+1),ROWS(I$6:I6))))</f>
        <v>Jules  Horowitz</v>
      </c>
      <c r="AB6" s="5" t="s">
        <v>697</v>
      </c>
      <c r="AD6" s="5" t="s">
        <v>646</v>
      </c>
    </row>
    <row r="7" spans="1:30" ht="30" x14ac:dyDescent="0.25">
      <c r="A7" s="19">
        <v>41988</v>
      </c>
      <c r="B7" s="5" t="s">
        <v>668</v>
      </c>
      <c r="C7" s="5">
        <v>51</v>
      </c>
      <c r="E7" s="8" t="s">
        <v>29</v>
      </c>
      <c r="F7" s="8" t="s">
        <v>222</v>
      </c>
      <c r="G7" s="28" t="s">
        <v>756</v>
      </c>
      <c r="I7" s="14" t="str">
        <f t="array" ref="I7">IF(ROWS(I$6:I7)&gt;M$5,"",INDEX('15-(44)'!$A$3:$A$52,SMALL(IF('15-(44)'!$B$3:$B$52=L$5,ROW('15-(44)'!$B$3:$B$52)-ROW('15-(44)'!$B$3)+1),ROWS(I$6:I7))))</f>
        <v>Stormy  Haight</v>
      </c>
      <c r="K7" s="8" t="s">
        <v>29</v>
      </c>
      <c r="L7" s="8" t="s">
        <v>222</v>
      </c>
      <c r="M7" s="28" t="s">
        <v>756</v>
      </c>
      <c r="AB7" s="5" t="s">
        <v>699</v>
      </c>
      <c r="AD7" s="5" t="s">
        <v>647</v>
      </c>
    </row>
    <row r="8" spans="1:30" x14ac:dyDescent="0.25">
      <c r="A8" s="19">
        <v>41979</v>
      </c>
      <c r="B8" s="5" t="s">
        <v>662</v>
      </c>
      <c r="C8" s="5">
        <v>49</v>
      </c>
      <c r="E8" s="5">
        <v>1</v>
      </c>
      <c r="F8" s="6" t="str">
        <f t="array" ref="F8">IF(ROWS(F$8:F8)&gt;$G$5,"",INDEX(B$5:B$936,SMALL(IF(ISNUMBER(MATCH($B$5:$B$936,$I$6:$I$21,0)),ROW($B$5:$B$936)-ROW($B$5)+1),ROWS(F$8:F8))))</f>
        <v>Franchesca  Novak</v>
      </c>
      <c r="G8" s="6">
        <f t="array" ref="G8">IF(ROWS(G$8:G8)&gt;$G$5,"",INDEX(C$5:C$936,SMALL(IF(ISNUMBER(MATCH($B$5:$B$936,$I$6:$I$21,0)),ROW($B$5:$B$936)-ROW($B$5)+1),ROWS(G$8:G8))))</f>
        <v>35</v>
      </c>
      <c r="I8" s="14" t="str">
        <f t="array" ref="I8">IF(ROWS(I$6:I8)&gt;M$5,"",INDEX('15-(44)'!$A$3:$A$52,SMALL(IF('15-(44)'!$B$3:$B$52=L$5,ROW('15-(44)'!$B$3:$B$52)-ROW('15-(44)'!$B$3)+1),ROWS(I$6:I8))))</f>
        <v>Jeremy  Shea</v>
      </c>
      <c r="K8" s="5">
        <v>1</v>
      </c>
      <c r="L8" s="6" t="str">
        <f>IF(ROWS(F$8:F8)&gt;$G$5,"",INDEX(B$5:B$936,_xlfn.AGGREGATE(15,6,(ROW($B$5:$B$936)-ROW($B$5)+1)/ISNUMBER(MATCH($B$5:$B$936,$I$6:$I$21,0)),ROWS(F$8:F8))))</f>
        <v>Franchesca  Novak</v>
      </c>
      <c r="M8" s="6">
        <f>IF(ROWS(G$8:G8)&gt;$G$5,"",INDEX(C$5:C$936,_xlfn.AGGREGATE(15,6,(ROW($B$5:$B$936)-ROW($B$5)+1)/ISNUMBER(MATCH($B$5:$B$936,$I$6:$I$21,0)),ROWS(G$8:G8))))</f>
        <v>35</v>
      </c>
      <c r="AB8" s="5" t="s">
        <v>698</v>
      </c>
      <c r="AD8" s="5" t="s">
        <v>648</v>
      </c>
    </row>
    <row r="9" spans="1:30" x14ac:dyDescent="0.25">
      <c r="A9" s="19">
        <v>41946</v>
      </c>
      <c r="B9" s="5" t="s">
        <v>663</v>
      </c>
      <c r="C9" s="5">
        <v>35</v>
      </c>
      <c r="E9" s="5">
        <v>2</v>
      </c>
      <c r="F9" s="6" t="str">
        <f t="array" ref="F9">IF(ROWS(F$8:F9)&gt;$G$5,"",INDEX(B$5:B$936,SMALL(IF(ISNUMBER(MATCH($B$5:$B$936,$I$6:$I$21,0)),ROW($B$5:$B$936)-ROW($B$5)+1),ROWS(F$8:F9))))</f>
        <v>Eulalia  Clement</v>
      </c>
      <c r="G9" s="6">
        <f t="array" ref="G9">IF(ROWS(G$8:G9)&gt;$G$5,"",INDEX(C$5:C$936,SMALL(IF(ISNUMBER(MATCH($B$5:$B$936,$I$6:$I$21,0)),ROW($B$5:$B$936)-ROW($B$5)+1),ROWS(G$8:G9))))</f>
        <v>54</v>
      </c>
      <c r="I9" s="14" t="str">
        <f t="array" ref="I9">IF(ROWS(I$6:I9)&gt;M$5,"",INDEX('15-(44)'!$A$3:$A$52,SMALL(IF('15-(44)'!$B$3:$B$52=L$5,ROW('15-(44)'!$B$3:$B$52)-ROW('15-(44)'!$B$3)+1),ROWS(I$6:I9))))</f>
        <v>Ivelisse  Goins</v>
      </c>
      <c r="K9" s="5">
        <v>2</v>
      </c>
      <c r="L9" s="6" t="str">
        <f>IF(ROWS(F$8:F9)&gt;$G$5,"",INDEX(B$5:B$936,_xlfn.AGGREGATE(15,6,(ROW($B$5:$B$936)-ROW($B$5)+1)/ISNUMBER(MATCH($B$5:$B$936,$I$6:$I$21,0)),ROWS(F$8:F9))))</f>
        <v>Eulalia  Clement</v>
      </c>
      <c r="M9" s="6">
        <f>IF(ROWS(G$8:G9)&gt;$G$5,"",INDEX(C$5:C$936,_xlfn.AGGREGATE(15,6,(ROW($B$5:$B$936)-ROW($B$5)+1)/ISNUMBER(MATCH($B$5:$B$936,$I$6:$I$21,0)),ROWS(G$8:G9))))</f>
        <v>54</v>
      </c>
      <c r="AD9" s="5" t="s">
        <v>649</v>
      </c>
    </row>
    <row r="10" spans="1:30" x14ac:dyDescent="0.25">
      <c r="A10" s="19">
        <v>41827</v>
      </c>
      <c r="B10" s="5" t="s">
        <v>670</v>
      </c>
      <c r="C10" s="5">
        <v>54</v>
      </c>
      <c r="E10" s="5">
        <v>3</v>
      </c>
      <c r="F10" s="6" t="str">
        <f t="array" ref="F10">IF(ROWS(F$8:F10)&gt;$G$5,"",INDEX(B$5:B$936,SMALL(IF(ISNUMBER(MATCH($B$5:$B$936,$I$6:$I$21,0)),ROW($B$5:$B$936)-ROW($B$5)+1),ROWS(F$8:F10))))</f>
        <v>Shandra  Rife</v>
      </c>
      <c r="G10" s="6">
        <f t="array" ref="G10">IF(ROWS(G$8:G10)&gt;$G$5,"",INDEX(C$5:C$936,SMALL(IF(ISNUMBER(MATCH($B$5:$B$936,$I$6:$I$21,0)),ROW($B$5:$B$936)-ROW($B$5)+1),ROWS(G$8:G10))))</f>
        <v>12</v>
      </c>
      <c r="I10" s="14" t="str">
        <f t="array" ref="I10">IF(ROWS(I$6:I10)&gt;M$5,"",INDEX('15-(44)'!$A$3:$A$52,SMALL(IF('15-(44)'!$B$3:$B$52=L$5,ROW('15-(44)'!$B$3:$B$52)-ROW('15-(44)'!$B$3)+1),ROWS(I$6:I10))))</f>
        <v>Gail  Reaves</v>
      </c>
      <c r="K10" s="5">
        <v>3</v>
      </c>
      <c r="L10" s="6" t="str">
        <f>IF(ROWS(F$8:F10)&gt;$G$5,"",INDEX(B$5:B$936,_xlfn.AGGREGATE(15,6,(ROW($B$5:$B$936)-ROW($B$5)+1)/ISNUMBER(MATCH($B$5:$B$936,$I$6:$I$21,0)),ROWS(F$8:F10))))</f>
        <v>Shandra  Rife</v>
      </c>
      <c r="M10" s="6">
        <f>IF(ROWS(G$8:G10)&gt;$G$5,"",INDEX(C$5:C$936,_xlfn.AGGREGATE(15,6,(ROW($B$5:$B$936)-ROW($B$5)+1)/ISNUMBER(MATCH($B$5:$B$936,$I$6:$I$21,0)),ROWS(G$8:G10))))</f>
        <v>12</v>
      </c>
      <c r="AD10" s="5" t="s">
        <v>650</v>
      </c>
    </row>
    <row r="11" spans="1:30" x14ac:dyDescent="0.25">
      <c r="A11" s="19">
        <v>41985</v>
      </c>
      <c r="B11" s="5" t="s">
        <v>723</v>
      </c>
      <c r="C11" s="5">
        <v>65</v>
      </c>
      <c r="E11" s="5">
        <v>4</v>
      </c>
      <c r="F11" s="6" t="str">
        <f t="array" ref="F11">IF(ROWS(F$8:F11)&gt;$G$5,"",INDEX(B$5:B$936,SMALL(IF(ISNUMBER(MATCH($B$5:$B$936,$I$6:$I$21,0)),ROW($B$5:$B$936)-ROW($B$5)+1),ROWS(F$8:F11))))</f>
        <v>Ivelisse  Goins</v>
      </c>
      <c r="G11" s="6">
        <f t="array" ref="G11">IF(ROWS(G$8:G11)&gt;$G$5,"",INDEX(C$5:C$936,SMALL(IF(ISNUMBER(MATCH($B$5:$B$936,$I$6:$I$21,0)),ROW($B$5:$B$936)-ROW($B$5)+1),ROWS(G$8:G11))))</f>
        <v>65</v>
      </c>
      <c r="I11" s="14" t="str">
        <f t="array" ref="I11">IF(ROWS(I$6:I11)&gt;M$5,"",INDEX('15-(44)'!$A$3:$A$52,SMALL(IF('15-(44)'!$B$3:$B$52=L$5,ROW('15-(44)'!$B$3:$B$52)-ROW('15-(44)'!$B$3)+1),ROWS(I$6:I11))))</f>
        <v>Franchesca  Novak</v>
      </c>
      <c r="K11" s="5">
        <v>4</v>
      </c>
      <c r="L11" s="6" t="str">
        <f>IF(ROWS(F$8:F11)&gt;$G$5,"",INDEX(B$5:B$936,_xlfn.AGGREGATE(15,6,(ROW($B$5:$B$936)-ROW($B$5)+1)/ISNUMBER(MATCH($B$5:$B$936,$I$6:$I$21,0)),ROWS(F$8:F11))))</f>
        <v>Ivelisse  Goins</v>
      </c>
      <c r="M11" s="6">
        <f>IF(ROWS(G$8:G11)&gt;$G$5,"",INDEX(C$5:C$936,_xlfn.AGGREGATE(15,6,(ROW($B$5:$B$936)-ROW($B$5)+1)/ISNUMBER(MATCH($B$5:$B$936,$I$6:$I$21,0)),ROWS(G$8:G11))))</f>
        <v>65</v>
      </c>
      <c r="AD11" s="5" t="s">
        <v>651</v>
      </c>
    </row>
    <row r="12" spans="1:30" x14ac:dyDescent="0.25">
      <c r="A12" s="19">
        <v>41969</v>
      </c>
      <c r="B12" s="5" t="s">
        <v>648</v>
      </c>
      <c r="C12" s="5">
        <v>5</v>
      </c>
      <c r="E12" s="5">
        <v>5</v>
      </c>
      <c r="F12" s="6" t="str">
        <f t="array" ref="F12">IF(ROWS(F$8:F12)&gt;$G$5,"",INDEX(B$5:B$936,SMALL(IF(ISNUMBER(MATCH($B$5:$B$936,$I$6:$I$21,0)),ROW($B$5:$B$936)-ROW($B$5)+1),ROWS(F$8:F12))))</f>
        <v>Idalia  Osullivan</v>
      </c>
      <c r="G12" s="6">
        <f t="array" ref="G12">IF(ROWS(G$8:G12)&gt;$G$5,"",INDEX(C$5:C$936,SMALL(IF(ISNUMBER(MATCH($B$5:$B$936,$I$6:$I$21,0)),ROW($B$5:$B$936)-ROW($B$5)+1),ROWS(G$8:G12))))</f>
        <v>65</v>
      </c>
      <c r="I12" s="14" t="str">
        <f t="array" ref="I12">IF(ROWS(I$6:I12)&gt;M$5,"",INDEX('15-(44)'!$A$3:$A$52,SMALL(IF('15-(44)'!$B$3:$B$52=L$5,ROW('15-(44)'!$B$3:$B$52)-ROW('15-(44)'!$B$3)+1),ROWS(I$6:I12))))</f>
        <v>Shandra  Rife</v>
      </c>
      <c r="K12" s="5">
        <v>5</v>
      </c>
      <c r="L12" s="6" t="str">
        <f>IF(ROWS(F$8:F12)&gt;$G$5,"",INDEX(B$5:B$936,_xlfn.AGGREGATE(15,6,(ROW($B$5:$B$936)-ROW($B$5)+1)/ISNUMBER(MATCH($B$5:$B$936,$I$6:$I$21,0)),ROWS(F$8:F12))))</f>
        <v>Idalia  Osullivan</v>
      </c>
      <c r="M12" s="6">
        <f>IF(ROWS(G$8:G12)&gt;$G$5,"",INDEX(C$5:C$936,_xlfn.AGGREGATE(15,6,(ROW($B$5:$B$936)-ROW($B$5)+1)/ISNUMBER(MATCH($B$5:$B$936,$I$6:$I$21,0)),ROWS(G$8:G12))))</f>
        <v>65</v>
      </c>
      <c r="AD12" s="5" t="s">
        <v>652</v>
      </c>
    </row>
    <row r="13" spans="1:30" x14ac:dyDescent="0.25">
      <c r="A13" s="19">
        <v>41815</v>
      </c>
      <c r="B13" s="5" t="s">
        <v>726</v>
      </c>
      <c r="C13" s="5">
        <v>38</v>
      </c>
      <c r="E13" s="5">
        <v>6</v>
      </c>
      <c r="F13" s="6" t="str">
        <f t="array" ref="F13">IF(ROWS(F$8:F13)&gt;$G$5,"",INDEX(B$5:B$936,SMALL(IF(ISNUMBER(MATCH($B$5:$B$936,$I$6:$I$21,0)),ROW($B$5:$B$936)-ROW($B$5)+1),ROWS(F$8:F13))))</f>
        <v>Jules  Horowitz</v>
      </c>
      <c r="G13" s="6">
        <f t="array" ref="G13">IF(ROWS(G$8:G13)&gt;$G$5,"",INDEX(C$5:C$936,SMALL(IF(ISNUMBER(MATCH($B$5:$B$936,$I$6:$I$21,0)),ROW($B$5:$B$936)-ROW($B$5)+1),ROWS(G$8:G13))))</f>
        <v>5</v>
      </c>
      <c r="I13" s="14" t="str">
        <f t="array" ref="I13">IF(ROWS(I$6:I13)&gt;M$5,"",INDEX('15-(44)'!$A$3:$A$52,SMALL(IF('15-(44)'!$B$3:$B$52=L$5,ROW('15-(44)'!$B$3:$B$52)-ROW('15-(44)'!$B$3)+1),ROWS(I$6:I13))))</f>
        <v>Rhett  Seymore</v>
      </c>
      <c r="K13" s="5">
        <v>6</v>
      </c>
      <c r="L13" s="6" t="str">
        <f>IF(ROWS(F$8:F13)&gt;$G$5,"",INDEX(B$5:B$936,_xlfn.AGGREGATE(15,6,(ROW($B$5:$B$936)-ROW($B$5)+1)/ISNUMBER(MATCH($B$5:$B$936,$I$6:$I$21,0)),ROWS(F$8:F13))))</f>
        <v>Jules  Horowitz</v>
      </c>
      <c r="M13" s="6">
        <f>IF(ROWS(G$8:G13)&gt;$G$5,"",INDEX(C$5:C$936,_xlfn.AGGREGATE(15,6,(ROW($B$5:$B$936)-ROW($B$5)+1)/ISNUMBER(MATCH($B$5:$B$936,$I$6:$I$21,0)),ROWS(G$8:G13))))</f>
        <v>5</v>
      </c>
      <c r="AD13" s="5" t="s">
        <v>653</v>
      </c>
    </row>
    <row r="14" spans="1:30" x14ac:dyDescent="0.25">
      <c r="A14" s="19">
        <v>41838</v>
      </c>
      <c r="B14" s="5" t="s">
        <v>667</v>
      </c>
      <c r="C14" s="5">
        <v>12</v>
      </c>
      <c r="E14" s="5">
        <v>7</v>
      </c>
      <c r="F14" s="6" t="str">
        <f t="array" ref="F14">IF(ROWS(F$8:F14)&gt;$G$5,"",INDEX(B$5:B$936,SMALL(IF(ISNUMBER(MATCH($B$5:$B$936,$I$6:$I$21,0)),ROW($B$5:$B$936)-ROW($B$5)+1),ROWS(F$8:F14))))</f>
        <v>Idalia  Osullivan</v>
      </c>
      <c r="G14" s="6">
        <f t="array" ref="G14">IF(ROWS(G$8:G14)&gt;$G$5,"",INDEX(C$5:C$936,SMALL(IF(ISNUMBER(MATCH($B$5:$B$936,$I$6:$I$21,0)),ROW($B$5:$B$936)-ROW($B$5)+1),ROWS(G$8:G14))))</f>
        <v>68</v>
      </c>
      <c r="I14" s="14" t="str">
        <f t="array" ref="I14">IF(ROWS(I$6:I14)&gt;M$5,"",INDEX('15-(44)'!$A$3:$A$52,SMALL(IF('15-(44)'!$B$3:$B$52=L$5,ROW('15-(44)'!$B$3:$B$52)-ROW('15-(44)'!$B$3)+1),ROWS(I$6:I14))))</f>
        <v>Eulalia  Clement</v>
      </c>
      <c r="K14" s="5">
        <v>7</v>
      </c>
      <c r="L14" s="6" t="str">
        <f>IF(ROWS(F$8:F14)&gt;$G$5,"",INDEX(B$5:B$936,_xlfn.AGGREGATE(15,6,(ROW($B$5:$B$936)-ROW($B$5)+1)/ISNUMBER(MATCH($B$5:$B$936,$I$6:$I$21,0)),ROWS(F$8:F14))))</f>
        <v>Idalia  Osullivan</v>
      </c>
      <c r="M14" s="6">
        <f>IF(ROWS(G$8:G14)&gt;$G$5,"",INDEX(C$5:C$936,_xlfn.AGGREGATE(15,6,(ROW($B$5:$B$936)-ROW($B$5)+1)/ISNUMBER(MATCH($B$5:$B$936,$I$6:$I$21,0)),ROWS(G$8:G14))))</f>
        <v>68</v>
      </c>
      <c r="AD14" s="5" t="s">
        <v>654</v>
      </c>
    </row>
    <row r="15" spans="1:30" x14ac:dyDescent="0.25">
      <c r="A15" s="19">
        <v>41854</v>
      </c>
      <c r="B15" s="5" t="s">
        <v>690</v>
      </c>
      <c r="C15" s="5">
        <v>48</v>
      </c>
      <c r="E15" s="5">
        <v>8</v>
      </c>
      <c r="F15" s="6" t="str">
        <f t="array" ref="F15">IF(ROWS(F$8:F15)&gt;$G$5,"",INDEX(B$5:B$936,SMALL(IF(ISNUMBER(MATCH($B$5:$B$936,$I$6:$I$21,0)),ROW($B$5:$B$936)-ROW($B$5)+1),ROWS(F$8:F15))))</f>
        <v>Rhett  Seymore</v>
      </c>
      <c r="G15" s="6">
        <f t="array" ref="G15">IF(ROWS(G$8:G15)&gt;$G$5,"",INDEX(C$5:C$936,SMALL(IF(ISNUMBER(MATCH($B$5:$B$936,$I$6:$I$21,0)),ROW($B$5:$B$936)-ROW($B$5)+1),ROWS(G$8:G15))))</f>
        <v>67</v>
      </c>
      <c r="I15" s="14" t="str">
        <f t="array" ref="I15">IF(ROWS(I$6:I15)&gt;M$5,"",INDEX('15-(44)'!$A$3:$A$52,SMALL(IF('15-(44)'!$B$3:$B$52=L$5,ROW('15-(44)'!$B$3:$B$52)-ROW('15-(44)'!$B$3)+1),ROWS(I$6:I15))))</f>
        <v>Allena  Swenson</v>
      </c>
      <c r="K15" s="5">
        <v>8</v>
      </c>
      <c r="L15" s="6" t="str">
        <f>IF(ROWS(F$8:F15)&gt;$G$5,"",INDEX(B$5:B$936,_xlfn.AGGREGATE(15,6,(ROW($B$5:$B$936)-ROW($B$5)+1)/ISNUMBER(MATCH($B$5:$B$936,$I$6:$I$21,0)),ROWS(F$8:F15))))</f>
        <v>Rhett  Seymore</v>
      </c>
      <c r="M15" s="6">
        <f>IF(ROWS(G$8:G15)&gt;$G$5,"",INDEX(C$5:C$936,_xlfn.AGGREGATE(15,6,(ROW($B$5:$B$936)-ROW($B$5)+1)/ISNUMBER(MATCH($B$5:$B$936,$I$6:$I$21,0)),ROWS(G$8:G15))))</f>
        <v>67</v>
      </c>
      <c r="AD15" s="5" t="s">
        <v>655</v>
      </c>
    </row>
    <row r="16" spans="1:30" x14ac:dyDescent="0.25">
      <c r="A16" s="19">
        <v>41992</v>
      </c>
      <c r="B16" s="5" t="s">
        <v>675</v>
      </c>
      <c r="C16" s="5">
        <v>25</v>
      </c>
      <c r="E16" s="5">
        <v>9</v>
      </c>
      <c r="F16" s="6" t="str">
        <f t="array" ref="F16">IF(ROWS(F$8:F16)&gt;$G$5,"",INDEX(B$5:B$936,SMALL(IF(ISNUMBER(MATCH($B$5:$B$936,$I$6:$I$21,0)),ROW($B$5:$B$936)-ROW($B$5)+1),ROWS(F$8:F16))))</f>
        <v>Marlana  Huang</v>
      </c>
      <c r="G16" s="6">
        <f t="array" ref="G16">IF(ROWS(G$8:G16)&gt;$G$5,"",INDEX(C$5:C$936,SMALL(IF(ISNUMBER(MATCH($B$5:$B$936,$I$6:$I$21,0)),ROW($B$5:$B$936)-ROW($B$5)+1),ROWS(G$8:G16))))</f>
        <v>19</v>
      </c>
      <c r="I16" s="14" t="str">
        <f t="array" ref="I16">IF(ROWS(I$6:I16)&gt;M$5,"",INDEX('15-(44)'!$A$3:$A$52,SMALL(IF('15-(44)'!$B$3:$B$52=L$5,ROW('15-(44)'!$B$3:$B$52)-ROW('15-(44)'!$B$3)+1),ROWS(I$6:I16))))</f>
        <v>Alyse  Hopson</v>
      </c>
      <c r="K16" s="5">
        <v>9</v>
      </c>
      <c r="L16" s="6" t="str">
        <f>IF(ROWS(F$8:F16)&gt;$G$5,"",INDEX(B$5:B$936,_xlfn.AGGREGATE(15,6,(ROW($B$5:$B$936)-ROW($B$5)+1)/ISNUMBER(MATCH($B$5:$B$936,$I$6:$I$21,0)),ROWS(F$8:F16))))</f>
        <v>Marlana  Huang</v>
      </c>
      <c r="M16" s="6">
        <f>IF(ROWS(G$8:G16)&gt;$G$5,"",INDEX(C$5:C$936,_xlfn.AGGREGATE(15,6,(ROW($B$5:$B$936)-ROW($B$5)+1)/ISNUMBER(MATCH($B$5:$B$936,$I$6:$I$21,0)),ROWS(G$8:G16))))</f>
        <v>19</v>
      </c>
      <c r="AD16" s="5" t="s">
        <v>656</v>
      </c>
    </row>
    <row r="17" spans="1:30" x14ac:dyDescent="0.25">
      <c r="A17" s="19">
        <v>41831</v>
      </c>
      <c r="B17" s="5" t="s">
        <v>736</v>
      </c>
      <c r="C17" s="5">
        <v>62</v>
      </c>
      <c r="E17" s="5">
        <v>10</v>
      </c>
      <c r="F17" s="6" t="str">
        <f t="array" ref="F17">IF(ROWS(F$8:F17)&gt;$G$5,"",INDEX(B$5:B$936,SMALL(IF(ISNUMBER(MATCH($B$5:$B$936,$I$6:$I$21,0)),ROW($B$5:$B$936)-ROW($B$5)+1),ROWS(F$8:F17))))</f>
        <v>Allena  Swenson</v>
      </c>
      <c r="G17" s="6">
        <f t="array" ref="G17">IF(ROWS(G$8:G17)&gt;$G$5,"",INDEX(C$5:C$936,SMALL(IF(ISNUMBER(MATCH($B$5:$B$936,$I$6:$I$21,0)),ROW($B$5:$B$936)-ROW($B$5)+1),ROWS(G$8:G17))))</f>
        <v>47</v>
      </c>
      <c r="I17" s="14" t="str">
        <f t="array" ref="I17">IF(ROWS(I$6:I17)&gt;M$5,"",INDEX('15-(44)'!$A$3:$A$52,SMALL(IF('15-(44)'!$B$3:$B$52=L$5,ROW('15-(44)'!$B$3:$B$52)-ROW('15-(44)'!$B$3)+1),ROWS(I$6:I17))))</f>
        <v>Pansy  Sam</v>
      </c>
      <c r="K17" s="5">
        <v>10</v>
      </c>
      <c r="L17" s="6" t="str">
        <f>IF(ROWS(F$8:F17)&gt;$G$5,"",INDEX(B$5:B$936,_xlfn.AGGREGATE(15,6,(ROW($B$5:$B$936)-ROW($B$5)+1)/ISNUMBER(MATCH($B$5:$B$936,$I$6:$I$21,0)),ROWS(F$8:F17))))</f>
        <v>Allena  Swenson</v>
      </c>
      <c r="M17" s="6">
        <f>IF(ROWS(G$8:G17)&gt;$G$5,"",INDEX(C$5:C$936,_xlfn.AGGREGATE(15,6,(ROW($B$5:$B$936)-ROW($B$5)+1)/ISNUMBER(MATCH($B$5:$B$936,$I$6:$I$21,0)),ROWS(G$8:G17))))</f>
        <v>47</v>
      </c>
      <c r="AD17" s="5" t="s">
        <v>657</v>
      </c>
    </row>
    <row r="18" spans="1:30" x14ac:dyDescent="0.25">
      <c r="A18" s="19">
        <v>41822</v>
      </c>
      <c r="B18" s="5" t="s">
        <v>686</v>
      </c>
      <c r="C18" s="5">
        <v>18</v>
      </c>
      <c r="E18" s="5">
        <v>11</v>
      </c>
      <c r="F18" s="6" t="str">
        <f t="array" ref="F18">IF(ROWS(F$8:F18)&gt;$G$5,"",INDEX(B$5:B$936,SMALL(IF(ISNUMBER(MATCH($B$5:$B$936,$I$6:$I$21,0)),ROW($B$5:$B$936)-ROW($B$5)+1),ROWS(F$8:F18))))</f>
        <v>Jules  Horowitz</v>
      </c>
      <c r="G18" s="6">
        <f t="array" ref="G18">IF(ROWS(G$8:G18)&gt;$G$5,"",INDEX(C$5:C$936,SMALL(IF(ISNUMBER(MATCH($B$5:$B$936,$I$6:$I$21,0)),ROW($B$5:$B$936)-ROW($B$5)+1),ROWS(G$8:G18))))</f>
        <v>9</v>
      </c>
      <c r="I18" s="14" t="str">
        <f t="array" ref="I18">IF(ROWS(I$6:I18)&gt;M$5,"",INDEX('15-(44)'!$A$3:$A$52,SMALL(IF('15-(44)'!$B$3:$B$52=L$5,ROW('15-(44)'!$B$3:$B$52)-ROW('15-(44)'!$B$3)+1),ROWS(I$6:I18))))</f>
        <v>Marlana  Huang</v>
      </c>
      <c r="K18" s="5">
        <v>11</v>
      </c>
      <c r="L18" s="6" t="str">
        <f>IF(ROWS(F$8:F18)&gt;$G$5,"",INDEX(B$5:B$936,_xlfn.AGGREGATE(15,6,(ROW($B$5:$B$936)-ROW($B$5)+1)/ISNUMBER(MATCH($B$5:$B$936,$I$6:$I$21,0)),ROWS(F$8:F18))))</f>
        <v>Jules  Horowitz</v>
      </c>
      <c r="M18" s="6">
        <f>IF(ROWS(G$8:G18)&gt;$G$5,"",INDEX(C$5:C$936,_xlfn.AGGREGATE(15,6,(ROW($B$5:$B$936)-ROW($B$5)+1)/ISNUMBER(MATCH($B$5:$B$936,$I$6:$I$21,0)),ROWS(G$8:G18))))</f>
        <v>9</v>
      </c>
      <c r="AD18" s="5" t="s">
        <v>658</v>
      </c>
    </row>
    <row r="19" spans="1:30" x14ac:dyDescent="0.25">
      <c r="A19" s="19">
        <v>41935</v>
      </c>
      <c r="B19" s="5" t="s">
        <v>704</v>
      </c>
      <c r="C19" s="5">
        <v>39</v>
      </c>
      <c r="E19" s="5">
        <v>12</v>
      </c>
      <c r="F19" s="6" t="str">
        <f t="array" ref="F19">IF(ROWS(F$8:F19)&gt;$G$5,"",INDEX(B$5:B$936,SMALL(IF(ISNUMBER(MATCH($B$5:$B$936,$I$6:$I$21,0)),ROW($B$5:$B$936)-ROW($B$5)+1),ROWS(F$8:F19))))</f>
        <v>Alyse  Hopson</v>
      </c>
      <c r="G19" s="6">
        <f t="array" ref="G19">IF(ROWS(G$8:G19)&gt;$G$5,"",INDEX(C$5:C$936,SMALL(IF(ISNUMBER(MATCH($B$5:$B$936,$I$6:$I$21,0)),ROW($B$5:$B$936)-ROW($B$5)+1),ROWS(G$8:G19))))</f>
        <v>39</v>
      </c>
      <c r="I19" s="14" t="str">
        <f t="array" ref="I19">IF(ROWS(I$6:I19)&gt;M$5,"",INDEX('15-(44)'!$A$3:$A$52,SMALL(IF('15-(44)'!$B$3:$B$52=L$5,ROW('15-(44)'!$B$3:$B$52)-ROW('15-(44)'!$B$3)+1),ROWS(I$6:I19))))</f>
        <v>Marcelle  Raley</v>
      </c>
      <c r="K19" s="5">
        <v>12</v>
      </c>
      <c r="L19" s="6" t="str">
        <f>IF(ROWS(F$8:F19)&gt;$G$5,"",INDEX(B$5:B$936,_xlfn.AGGREGATE(15,6,(ROW($B$5:$B$936)-ROW($B$5)+1)/ISNUMBER(MATCH($B$5:$B$936,$I$6:$I$21,0)),ROWS(F$8:F19))))</f>
        <v>Alyse  Hopson</v>
      </c>
      <c r="M19" s="6">
        <f>IF(ROWS(G$8:G19)&gt;$G$5,"",INDEX(C$5:C$936,_xlfn.AGGREGATE(15,6,(ROW($B$5:$B$936)-ROW($B$5)+1)/ISNUMBER(MATCH($B$5:$B$936,$I$6:$I$21,0)),ROWS(G$8:G19))))</f>
        <v>39</v>
      </c>
      <c r="AD19" s="5" t="s">
        <v>659</v>
      </c>
    </row>
    <row r="20" spans="1:30" x14ac:dyDescent="0.25">
      <c r="A20" s="19">
        <v>41933</v>
      </c>
      <c r="B20" s="5" t="s">
        <v>728</v>
      </c>
      <c r="C20" s="5">
        <v>45</v>
      </c>
      <c r="E20" s="5">
        <v>13</v>
      </c>
      <c r="F20" s="6" t="str">
        <f t="array" ref="F20">IF(ROWS(F$8:F20)&gt;$G$5,"",INDEX(B$5:B$936,SMALL(IF(ISNUMBER(MATCH($B$5:$B$936,$I$6:$I$21,0)),ROW($B$5:$B$936)-ROW($B$5)+1),ROWS(F$8:F20))))</f>
        <v>Stormy  Haight</v>
      </c>
      <c r="G20" s="6">
        <f t="array" ref="G20">IF(ROWS(G$8:G20)&gt;$G$5,"",INDEX(C$5:C$936,SMALL(IF(ISNUMBER(MATCH($B$5:$B$936,$I$6:$I$21,0)),ROW($B$5:$B$936)-ROW($B$5)+1),ROWS(G$8:G20))))</f>
        <v>12</v>
      </c>
      <c r="I20" s="14" t="str">
        <f t="array" ref="I20">IF(ROWS(I$6:I20)&gt;M$5,"",INDEX('15-(44)'!$A$3:$A$52,SMALL(IF('15-(44)'!$B$3:$B$52=L$5,ROW('15-(44)'!$B$3:$B$52)-ROW('15-(44)'!$B$3)+1),ROWS(I$6:I20))))</f>
        <v>Idalia  Osullivan</v>
      </c>
      <c r="K20" s="5">
        <v>13</v>
      </c>
      <c r="L20" s="6" t="str">
        <f>IF(ROWS(F$8:F20)&gt;$G$5,"",INDEX(B$5:B$936,_xlfn.AGGREGATE(15,6,(ROW($B$5:$B$936)-ROW($B$5)+1)/ISNUMBER(MATCH($B$5:$B$936,$I$6:$I$21,0)),ROWS(F$8:F20))))</f>
        <v>Stormy  Haight</v>
      </c>
      <c r="M20" s="6">
        <f>IF(ROWS(G$8:G20)&gt;$G$5,"",INDEX(C$5:C$936,_xlfn.AGGREGATE(15,6,(ROW($B$5:$B$936)-ROW($B$5)+1)/ISNUMBER(MATCH($B$5:$B$936,$I$6:$I$21,0)),ROWS(G$8:G20))))</f>
        <v>12</v>
      </c>
      <c r="AD20" s="5" t="s">
        <v>660</v>
      </c>
    </row>
    <row r="21" spans="1:30" x14ac:dyDescent="0.25">
      <c r="A21" s="19">
        <v>41906</v>
      </c>
      <c r="B21" s="5" t="s">
        <v>655</v>
      </c>
      <c r="C21" s="5">
        <v>65</v>
      </c>
      <c r="E21" s="5">
        <v>14</v>
      </c>
      <c r="F21" s="6" t="str">
        <f t="array" ref="F21">IF(ROWS(F$8:F21)&gt;$G$5,"",INDEX(B$5:B$936,SMALL(IF(ISNUMBER(MATCH($B$5:$B$936,$I$6:$I$21,0)),ROW($B$5:$B$936)-ROW($B$5)+1),ROWS(F$8:F21))))</f>
        <v>Franchesca  Novak</v>
      </c>
      <c r="G21" s="6">
        <f t="array" ref="G21">IF(ROWS(G$8:G21)&gt;$G$5,"",INDEX(C$5:C$936,SMALL(IF(ISNUMBER(MATCH($B$5:$B$936,$I$6:$I$21,0)),ROW($B$5:$B$936)-ROW($B$5)+1),ROWS(G$8:G21))))</f>
        <v>19</v>
      </c>
      <c r="I21" s="14" t="str">
        <f t="array" ref="I21">IF(ROWS(I$6:I21)&gt;M$5,"",INDEX('15-(44)'!$A$3:$A$52,SMALL(IF('15-(44)'!$B$3:$B$52=L$5,ROW('15-(44)'!$B$3:$B$52)-ROW('15-(44)'!$B$3)+1),ROWS(I$6:I21))))</f>
        <v>Lupe  Donovan</v>
      </c>
      <c r="K21" s="5">
        <v>14</v>
      </c>
      <c r="L21" s="6" t="str">
        <f>IF(ROWS(F$8:F21)&gt;$G$5,"",INDEX(B$5:B$936,_xlfn.AGGREGATE(15,6,(ROW($B$5:$B$936)-ROW($B$5)+1)/ISNUMBER(MATCH($B$5:$B$936,$I$6:$I$21,0)),ROWS(F$8:F21))))</f>
        <v>Franchesca  Novak</v>
      </c>
      <c r="M21" s="6">
        <f>IF(ROWS(G$8:G21)&gt;$G$5,"",INDEX(C$5:C$936,_xlfn.AGGREGATE(15,6,(ROW($B$5:$B$936)-ROW($B$5)+1)/ISNUMBER(MATCH($B$5:$B$936,$I$6:$I$21,0)),ROWS(G$8:G21))))</f>
        <v>19</v>
      </c>
      <c r="AD21" s="5" t="s">
        <v>661</v>
      </c>
    </row>
    <row r="22" spans="1:30" x14ac:dyDescent="0.25">
      <c r="A22" s="19">
        <v>41869</v>
      </c>
      <c r="B22" s="5" t="s">
        <v>747</v>
      </c>
      <c r="C22" s="5">
        <v>75</v>
      </c>
      <c r="E22" s="5">
        <v>15</v>
      </c>
      <c r="F22" s="6" t="str">
        <f t="array" ref="F22">IF(ROWS(F$8:F22)&gt;$G$5,"",INDEX(B$5:B$936,SMALL(IF(ISNUMBER(MATCH($B$5:$B$936,$I$6:$I$21,0)),ROW($B$5:$B$936)-ROW($B$5)+1),ROWS(F$8:F22))))</f>
        <v>Alyse  Hopson</v>
      </c>
      <c r="G22" s="6">
        <f t="array" ref="G22">IF(ROWS(G$8:G22)&gt;$G$5,"",INDEX(C$5:C$936,SMALL(IF(ISNUMBER(MATCH($B$5:$B$936,$I$6:$I$21,0)),ROW($B$5:$B$936)-ROW($B$5)+1),ROWS(G$8:G22))))</f>
        <v>8</v>
      </c>
      <c r="K22" s="5">
        <v>15</v>
      </c>
      <c r="L22" s="6" t="str">
        <f>IF(ROWS(F$8:F22)&gt;$G$5,"",INDEX(B$5:B$936,_xlfn.AGGREGATE(15,6,(ROW($B$5:$B$936)-ROW($B$5)+1)/ISNUMBER(MATCH($B$5:$B$936,$I$6:$I$21,0)),ROWS(F$8:F22))))</f>
        <v>Alyse  Hopson</v>
      </c>
      <c r="M22" s="6">
        <f>IF(ROWS(G$8:G22)&gt;$G$5,"",INDEX(C$5:C$936,_xlfn.AGGREGATE(15,6,(ROW($B$5:$B$936)-ROW($B$5)+1)/ISNUMBER(MATCH($B$5:$B$936,$I$6:$I$21,0)),ROWS(G$8:G22))))</f>
        <v>8</v>
      </c>
      <c r="AD22" s="5" t="s">
        <v>662</v>
      </c>
    </row>
    <row r="23" spans="1:30" x14ac:dyDescent="0.25">
      <c r="A23" s="19">
        <v>41879</v>
      </c>
      <c r="B23" s="5" t="s">
        <v>702</v>
      </c>
      <c r="C23" s="5">
        <v>25</v>
      </c>
      <c r="E23" s="5">
        <v>16</v>
      </c>
      <c r="F23" s="6" t="str">
        <f t="array" ref="F23">IF(ROWS(F$8:F23)&gt;$G$5,"",INDEX(B$5:B$936,SMALL(IF(ISNUMBER(MATCH($B$5:$B$936,$I$6:$I$21,0)),ROW($B$5:$B$936)-ROW($B$5)+1),ROWS(F$8:F23))))</f>
        <v>Alyse  Hopson</v>
      </c>
      <c r="G23" s="6">
        <f t="array" ref="G23">IF(ROWS(G$8:G23)&gt;$G$5,"",INDEX(C$5:C$936,SMALL(IF(ISNUMBER(MATCH($B$5:$B$936,$I$6:$I$21,0)),ROW($B$5:$B$936)-ROW($B$5)+1),ROWS(G$8:G23))))</f>
        <v>28</v>
      </c>
      <c r="K23" s="5">
        <v>16</v>
      </c>
      <c r="L23" s="6" t="str">
        <f>IF(ROWS(F$8:F23)&gt;$G$5,"",INDEX(B$5:B$936,_xlfn.AGGREGATE(15,6,(ROW($B$5:$B$936)-ROW($B$5)+1)/ISNUMBER(MATCH($B$5:$B$936,$I$6:$I$21,0)),ROWS(F$8:F23))))</f>
        <v>Alyse  Hopson</v>
      </c>
      <c r="M23" s="6">
        <f>IF(ROWS(G$8:G23)&gt;$G$5,"",INDEX(C$5:C$936,_xlfn.AGGREGATE(15,6,(ROW($B$5:$B$936)-ROW($B$5)+1)/ISNUMBER(MATCH($B$5:$B$936,$I$6:$I$21,0)),ROWS(G$8:G23))))</f>
        <v>28</v>
      </c>
      <c r="AD23" s="5" t="s">
        <v>663</v>
      </c>
    </row>
    <row r="24" spans="1:30" x14ac:dyDescent="0.25">
      <c r="A24" s="19">
        <v>41961</v>
      </c>
      <c r="B24" s="5" t="s">
        <v>693</v>
      </c>
      <c r="C24" s="5">
        <v>65</v>
      </c>
      <c r="E24" s="5">
        <v>17</v>
      </c>
      <c r="F24" s="6" t="str">
        <f t="array" ref="F24">IF(ROWS(F$8:F24)&gt;$G$5,"",INDEX(B$5:B$936,SMALL(IF(ISNUMBER(MATCH($B$5:$B$936,$I$6:$I$21,0)),ROW($B$5:$B$936)-ROW($B$5)+1),ROWS(F$8:F24))))</f>
        <v>Eulalia  Clement</v>
      </c>
      <c r="G24" s="6">
        <f t="array" ref="G24">IF(ROWS(G$8:G24)&gt;$G$5,"",INDEX(C$5:C$936,SMALL(IF(ISNUMBER(MATCH($B$5:$B$936,$I$6:$I$21,0)),ROW($B$5:$B$936)-ROW($B$5)+1),ROWS(G$8:G24))))</f>
        <v>66</v>
      </c>
      <c r="K24" s="5">
        <v>17</v>
      </c>
      <c r="L24" s="6" t="str">
        <f>IF(ROWS(F$8:F24)&gt;$G$5,"",INDEX(B$5:B$936,_xlfn.AGGREGATE(15,6,(ROW($B$5:$B$936)-ROW($B$5)+1)/ISNUMBER(MATCH($B$5:$B$936,$I$6:$I$21,0)),ROWS(F$8:F24))))</f>
        <v>Eulalia  Clement</v>
      </c>
      <c r="M24" s="6">
        <f>IF(ROWS(G$8:G24)&gt;$G$5,"",INDEX(C$5:C$936,_xlfn.AGGREGATE(15,6,(ROW($B$5:$B$936)-ROW($B$5)+1)/ISNUMBER(MATCH($B$5:$B$936,$I$6:$I$21,0)),ROWS(G$8:G24))))</f>
        <v>66</v>
      </c>
      <c r="AD24" s="5" t="s">
        <v>664</v>
      </c>
    </row>
    <row r="25" spans="1:30" x14ac:dyDescent="0.25">
      <c r="A25" s="19">
        <v>41868</v>
      </c>
      <c r="B25" s="5" t="s">
        <v>701</v>
      </c>
      <c r="C25" s="5">
        <v>24</v>
      </c>
      <c r="E25" s="5">
        <v>18</v>
      </c>
      <c r="F25" s="6" t="str">
        <f t="array" ref="F25">IF(ROWS(F$8:F25)&gt;$G$5,"",INDEX(B$5:B$936,SMALL(IF(ISNUMBER(MATCH($B$5:$B$936,$I$6:$I$21,0)),ROW($B$5:$B$936)-ROW($B$5)+1),ROWS(F$8:F25))))</f>
        <v>Gail  Reaves</v>
      </c>
      <c r="G25" s="6">
        <f t="array" ref="G25">IF(ROWS(G$8:G25)&gt;$G$5,"",INDEX(C$5:C$936,SMALL(IF(ISNUMBER(MATCH($B$5:$B$936,$I$6:$I$21,0)),ROW($B$5:$B$936)-ROW($B$5)+1),ROWS(G$8:G25))))</f>
        <v>11</v>
      </c>
      <c r="K25" s="5">
        <v>18</v>
      </c>
      <c r="L25" s="6" t="str">
        <f>IF(ROWS(F$8:F25)&gt;$G$5,"",INDEX(B$5:B$936,_xlfn.AGGREGATE(15,6,(ROW($B$5:$B$936)-ROW($B$5)+1)/ISNUMBER(MATCH($B$5:$B$936,$I$6:$I$21,0)),ROWS(F$8:F25))))</f>
        <v>Gail  Reaves</v>
      </c>
      <c r="M25" s="6">
        <f>IF(ROWS(G$8:G25)&gt;$G$5,"",INDEX(C$5:C$936,_xlfn.AGGREGATE(15,6,(ROW($B$5:$B$936)-ROW($B$5)+1)/ISNUMBER(MATCH($B$5:$B$936,$I$6:$I$21,0)),ROWS(G$8:G25))))</f>
        <v>11</v>
      </c>
      <c r="AD25" s="5" t="s">
        <v>665</v>
      </c>
    </row>
    <row r="26" spans="1:30" x14ac:dyDescent="0.25">
      <c r="A26" s="19">
        <v>41913</v>
      </c>
      <c r="B26" s="5" t="s">
        <v>661</v>
      </c>
      <c r="C26" s="5">
        <v>69</v>
      </c>
      <c r="E26" s="5">
        <v>19</v>
      </c>
      <c r="F26" s="6" t="str">
        <f t="array" ref="F26">IF(ROWS(F$8:F26)&gt;$G$5,"",INDEX(B$5:B$936,SMALL(IF(ISNUMBER(MATCH($B$5:$B$936,$I$6:$I$21,0)),ROW($B$5:$B$936)-ROW($B$5)+1),ROWS(F$8:F26))))</f>
        <v>Gail  Reaves</v>
      </c>
      <c r="G26" s="6">
        <f t="array" ref="G26">IF(ROWS(G$8:G26)&gt;$G$5,"",INDEX(C$5:C$936,SMALL(IF(ISNUMBER(MATCH($B$5:$B$936,$I$6:$I$21,0)),ROW($B$5:$B$936)-ROW($B$5)+1),ROWS(G$8:G26))))</f>
        <v>63</v>
      </c>
      <c r="K26" s="5">
        <v>19</v>
      </c>
      <c r="L26" s="6" t="str">
        <f>IF(ROWS(F$8:F26)&gt;$G$5,"",INDEX(B$5:B$936,_xlfn.AGGREGATE(15,6,(ROW($B$5:$B$936)-ROW($B$5)+1)/ISNUMBER(MATCH($B$5:$B$936,$I$6:$I$21,0)),ROWS(F$8:F26))))</f>
        <v>Gail  Reaves</v>
      </c>
      <c r="M26" s="6">
        <f>IF(ROWS(G$8:G26)&gt;$G$5,"",INDEX(C$5:C$936,_xlfn.AGGREGATE(15,6,(ROW($B$5:$B$936)-ROW($B$5)+1)/ISNUMBER(MATCH($B$5:$B$936,$I$6:$I$21,0)),ROWS(G$8:G26))))</f>
        <v>63</v>
      </c>
      <c r="AD26" s="5" t="s">
        <v>666</v>
      </c>
    </row>
    <row r="27" spans="1:30" x14ac:dyDescent="0.25">
      <c r="A27" s="19">
        <v>41942</v>
      </c>
      <c r="B27" s="5" t="s">
        <v>645</v>
      </c>
      <c r="C27" s="5">
        <v>5</v>
      </c>
      <c r="E27" s="5">
        <v>20</v>
      </c>
      <c r="F27" s="6" t="str">
        <f t="array" ref="F27">IF(ROWS(F$8:F27)&gt;$G$5,"",INDEX(B$5:B$936,SMALL(IF(ISNUMBER(MATCH($B$5:$B$936,$I$6:$I$21,0)),ROW($B$5:$B$936)-ROW($B$5)+1),ROWS(F$8:F27))))</f>
        <v>Eulalia  Clement</v>
      </c>
      <c r="G27" s="6">
        <f t="array" ref="G27">IF(ROWS(G$8:G27)&gt;$G$5,"",INDEX(C$5:C$936,SMALL(IF(ISNUMBER(MATCH($B$5:$B$936,$I$6:$I$21,0)),ROW($B$5:$B$936)-ROW($B$5)+1),ROWS(G$8:G27))))</f>
        <v>55</v>
      </c>
      <c r="K27" s="5">
        <v>20</v>
      </c>
      <c r="L27" s="6" t="str">
        <f>IF(ROWS(F$8:F27)&gt;$G$5,"",INDEX(B$5:B$936,_xlfn.AGGREGATE(15,6,(ROW($B$5:$B$936)-ROW($B$5)+1)/ISNUMBER(MATCH($B$5:$B$936,$I$6:$I$21,0)),ROWS(F$8:F27))))</f>
        <v>Eulalia  Clement</v>
      </c>
      <c r="M27" s="6">
        <f>IF(ROWS(G$8:G27)&gt;$G$5,"",INDEX(C$5:C$936,_xlfn.AGGREGATE(15,6,(ROW($B$5:$B$936)-ROW($B$5)+1)/ISNUMBER(MATCH($B$5:$B$936,$I$6:$I$21,0)),ROWS(G$8:G27))))</f>
        <v>55</v>
      </c>
      <c r="AD27" s="5" t="s">
        <v>667</v>
      </c>
    </row>
    <row r="28" spans="1:30" x14ac:dyDescent="0.25">
      <c r="A28" s="19">
        <v>41844</v>
      </c>
      <c r="B28" s="5" t="s">
        <v>745</v>
      </c>
      <c r="C28" s="5">
        <v>3</v>
      </c>
      <c r="E28" s="5">
        <v>21</v>
      </c>
      <c r="F28" s="6" t="str">
        <f t="array" ref="F28">IF(ROWS(F$8:F28)&gt;$G$5,"",INDEX(B$5:B$936,SMALL(IF(ISNUMBER(MATCH($B$5:$B$936,$I$6:$I$21,0)),ROW($B$5:$B$936)-ROW($B$5)+1),ROWS(F$8:F28))))</f>
        <v>Jeremy  Shea</v>
      </c>
      <c r="G28" s="6">
        <f t="array" ref="G28">IF(ROWS(G$8:G28)&gt;$G$5,"",INDEX(C$5:C$936,SMALL(IF(ISNUMBER(MATCH($B$5:$B$936,$I$6:$I$21,0)),ROW($B$5:$B$936)-ROW($B$5)+1),ROWS(G$8:G28))))</f>
        <v>26</v>
      </c>
      <c r="K28" s="5">
        <v>21</v>
      </c>
      <c r="L28" s="6" t="str">
        <f>IF(ROWS(F$8:F28)&gt;$G$5,"",INDEX(B$5:B$936,_xlfn.AGGREGATE(15,6,(ROW($B$5:$B$936)-ROW($B$5)+1)/ISNUMBER(MATCH($B$5:$B$936,$I$6:$I$21,0)),ROWS(F$8:F28))))</f>
        <v>Jeremy  Shea</v>
      </c>
      <c r="M28" s="6">
        <f>IF(ROWS(G$8:G28)&gt;$G$5,"",INDEX(C$5:C$936,_xlfn.AGGREGATE(15,6,(ROW($B$5:$B$936)-ROW($B$5)+1)/ISNUMBER(MATCH($B$5:$B$936,$I$6:$I$21,0)),ROWS(G$8:G28))))</f>
        <v>26</v>
      </c>
      <c r="AD28" s="5" t="s">
        <v>668</v>
      </c>
    </row>
    <row r="29" spans="1:30" x14ac:dyDescent="0.25">
      <c r="A29" s="19">
        <v>41840</v>
      </c>
      <c r="B29" s="5" t="s">
        <v>658</v>
      </c>
      <c r="C29" s="5">
        <v>69</v>
      </c>
      <c r="E29" s="5">
        <v>22</v>
      </c>
      <c r="F29" s="6" t="str">
        <f t="array" ref="F29">IF(ROWS(F$8:F29)&gt;$G$5,"",INDEX(B$5:B$936,SMALL(IF(ISNUMBER(MATCH($B$5:$B$936,$I$6:$I$21,0)),ROW($B$5:$B$936)-ROW($B$5)+1),ROWS(F$8:F29))))</f>
        <v>Marcelle  Raley</v>
      </c>
      <c r="G29" s="6">
        <f t="array" ref="G29">IF(ROWS(G$8:G29)&gt;$G$5,"",INDEX(C$5:C$936,SMALL(IF(ISNUMBER(MATCH($B$5:$B$936,$I$6:$I$21,0)),ROW($B$5:$B$936)-ROW($B$5)+1),ROWS(G$8:G29))))</f>
        <v>29</v>
      </c>
      <c r="K29" s="5">
        <v>22</v>
      </c>
      <c r="L29" s="6" t="str">
        <f>IF(ROWS(F$8:F29)&gt;$G$5,"",INDEX(B$5:B$936,_xlfn.AGGREGATE(15,6,(ROW($B$5:$B$936)-ROW($B$5)+1)/ISNUMBER(MATCH($B$5:$B$936,$I$6:$I$21,0)),ROWS(F$8:F29))))</f>
        <v>Marcelle  Raley</v>
      </c>
      <c r="M29" s="6">
        <f>IF(ROWS(G$8:G29)&gt;$G$5,"",INDEX(C$5:C$936,_xlfn.AGGREGATE(15,6,(ROW($B$5:$B$936)-ROW($B$5)+1)/ISNUMBER(MATCH($B$5:$B$936,$I$6:$I$21,0)),ROWS(G$8:G29))))</f>
        <v>29</v>
      </c>
      <c r="AD29" s="5" t="s">
        <v>669</v>
      </c>
    </row>
    <row r="30" spans="1:30" x14ac:dyDescent="0.25">
      <c r="A30" s="19">
        <v>41987</v>
      </c>
      <c r="B30" s="5" t="s">
        <v>701</v>
      </c>
      <c r="C30" s="5">
        <v>12</v>
      </c>
      <c r="E30" s="5">
        <v>23</v>
      </c>
      <c r="F30" s="6" t="str">
        <f t="array" ref="F30">IF(ROWS(F$8:F30)&gt;$G$5,"",INDEX(B$5:B$936,SMALL(IF(ISNUMBER(MATCH($B$5:$B$936,$I$6:$I$21,0)),ROW($B$5:$B$936)-ROW($B$5)+1),ROWS(F$8:F30))))</f>
        <v>Gail  Reaves</v>
      </c>
      <c r="G30" s="6">
        <f t="array" ref="G30">IF(ROWS(G$8:G30)&gt;$G$5,"",INDEX(C$5:C$936,SMALL(IF(ISNUMBER(MATCH($B$5:$B$936,$I$6:$I$21,0)),ROW($B$5:$B$936)-ROW($B$5)+1),ROWS(G$8:G30))))</f>
        <v>64</v>
      </c>
      <c r="K30" s="5">
        <v>23</v>
      </c>
      <c r="L30" s="6" t="str">
        <f>IF(ROWS(F$8:F30)&gt;$G$5,"",INDEX(B$5:B$936,_xlfn.AGGREGATE(15,6,(ROW($B$5:$B$936)-ROW($B$5)+1)/ISNUMBER(MATCH($B$5:$B$936,$I$6:$I$21,0)),ROWS(F$8:F30))))</f>
        <v>Gail  Reaves</v>
      </c>
      <c r="M30" s="6">
        <f>IF(ROWS(G$8:G30)&gt;$G$5,"",INDEX(C$5:C$936,_xlfn.AGGREGATE(15,6,(ROW($B$5:$B$936)-ROW($B$5)+1)/ISNUMBER(MATCH($B$5:$B$936,$I$6:$I$21,0)),ROWS(G$8:G30))))</f>
        <v>64</v>
      </c>
      <c r="AD30" s="5" t="s">
        <v>670</v>
      </c>
    </row>
    <row r="31" spans="1:30" x14ac:dyDescent="0.25">
      <c r="A31" s="19">
        <v>41902</v>
      </c>
      <c r="B31" s="5" t="s">
        <v>723</v>
      </c>
      <c r="C31" s="5">
        <v>58</v>
      </c>
      <c r="E31" s="5">
        <v>24</v>
      </c>
      <c r="F31" s="6" t="str">
        <f t="array" ref="F31">IF(ROWS(F$8:F31)&gt;$G$5,"",INDEX(B$5:B$936,SMALL(IF(ISNUMBER(MATCH($B$5:$B$936,$I$6:$I$21,0)),ROW($B$5:$B$936)-ROW($B$5)+1),ROWS(F$8:F31))))</f>
        <v>Franchesca  Novak</v>
      </c>
      <c r="G31" s="6">
        <f t="array" ref="G31">IF(ROWS(G$8:G31)&gt;$G$5,"",INDEX(C$5:C$936,SMALL(IF(ISNUMBER(MATCH($B$5:$B$936,$I$6:$I$21,0)),ROW($B$5:$B$936)-ROW($B$5)+1),ROWS(G$8:G31))))</f>
        <v>32</v>
      </c>
      <c r="K31" s="5">
        <v>24</v>
      </c>
      <c r="L31" s="6" t="str">
        <f>IF(ROWS(F$8:F31)&gt;$G$5,"",INDEX(B$5:B$936,_xlfn.AGGREGATE(15,6,(ROW($B$5:$B$936)-ROW($B$5)+1)/ISNUMBER(MATCH($B$5:$B$936,$I$6:$I$21,0)),ROWS(F$8:F31))))</f>
        <v>Franchesca  Novak</v>
      </c>
      <c r="M31" s="6">
        <f>IF(ROWS(G$8:G31)&gt;$G$5,"",INDEX(C$5:C$936,_xlfn.AGGREGATE(15,6,(ROW($B$5:$B$936)-ROW($B$5)+1)/ISNUMBER(MATCH($B$5:$B$936,$I$6:$I$21,0)),ROWS(G$8:G31))))</f>
        <v>32</v>
      </c>
      <c r="AD31" s="5" t="s">
        <v>671</v>
      </c>
    </row>
    <row r="32" spans="1:30" x14ac:dyDescent="0.25">
      <c r="A32" s="19">
        <v>41922</v>
      </c>
      <c r="B32" s="5" t="s">
        <v>724</v>
      </c>
      <c r="C32" s="5">
        <v>11</v>
      </c>
      <c r="E32" s="5">
        <v>25</v>
      </c>
      <c r="F32" s="6" t="str">
        <f t="array" ref="F32">IF(ROWS(F$8:F32)&gt;$G$5,"",INDEX(B$5:B$936,SMALL(IF(ISNUMBER(MATCH($B$5:$B$936,$I$6:$I$21,0)),ROW($B$5:$B$936)-ROW($B$5)+1),ROWS(F$8:F32))))</f>
        <v>Lupe  Donovan</v>
      </c>
      <c r="G32" s="6">
        <f t="array" ref="G32">IF(ROWS(G$8:G32)&gt;$G$5,"",INDEX(C$5:C$936,SMALL(IF(ISNUMBER(MATCH($B$5:$B$936,$I$6:$I$21,0)),ROW($B$5:$B$936)-ROW($B$5)+1),ROWS(G$8:G32))))</f>
        <v>60</v>
      </c>
      <c r="K32" s="5">
        <v>25</v>
      </c>
      <c r="L32" s="6" t="str">
        <f>IF(ROWS(F$8:F32)&gt;$G$5,"",INDEX(B$5:B$936,_xlfn.AGGREGATE(15,6,(ROW($B$5:$B$936)-ROW($B$5)+1)/ISNUMBER(MATCH($B$5:$B$936,$I$6:$I$21,0)),ROWS(F$8:F32))))</f>
        <v>Lupe  Donovan</v>
      </c>
      <c r="M32" s="6">
        <f>IF(ROWS(G$8:G32)&gt;$G$5,"",INDEX(C$5:C$936,_xlfn.AGGREGATE(15,6,(ROW($B$5:$B$936)-ROW($B$5)+1)/ISNUMBER(MATCH($B$5:$B$936,$I$6:$I$21,0)),ROWS(G$8:G32))))</f>
        <v>60</v>
      </c>
      <c r="AD32" s="5" t="s">
        <v>672</v>
      </c>
    </row>
    <row r="33" spans="1:30" x14ac:dyDescent="0.25">
      <c r="A33" s="19">
        <v>41848</v>
      </c>
      <c r="B33" s="5" t="s">
        <v>702</v>
      </c>
      <c r="C33" s="5">
        <v>47</v>
      </c>
      <c r="E33" s="5">
        <v>26</v>
      </c>
      <c r="F33" s="6" t="str">
        <f t="array" ref="F33">IF(ROWS(F$8:F33)&gt;$G$5,"",INDEX(B$5:B$936,SMALL(IF(ISNUMBER(MATCH($B$5:$B$936,$I$6:$I$21,0)),ROW($B$5:$B$936)-ROW($B$5)+1),ROWS(F$8:F33))))</f>
        <v>Eulalia  Clement</v>
      </c>
      <c r="G33" s="6">
        <f t="array" ref="G33">IF(ROWS(G$8:G33)&gt;$G$5,"",INDEX(C$5:C$936,SMALL(IF(ISNUMBER(MATCH($B$5:$B$936,$I$6:$I$21,0)),ROW($B$5:$B$936)-ROW($B$5)+1),ROWS(G$8:G33))))</f>
        <v>9</v>
      </c>
      <c r="K33" s="5">
        <v>26</v>
      </c>
      <c r="L33" s="6" t="str">
        <f>IF(ROWS(F$8:F33)&gt;$G$5,"",INDEX(B$5:B$936,_xlfn.AGGREGATE(15,6,(ROW($B$5:$B$936)-ROW($B$5)+1)/ISNUMBER(MATCH($B$5:$B$936,$I$6:$I$21,0)),ROWS(F$8:F33))))</f>
        <v>Eulalia  Clement</v>
      </c>
      <c r="M33" s="6">
        <f>IF(ROWS(G$8:G33)&gt;$G$5,"",INDEX(C$5:C$936,_xlfn.AGGREGATE(15,6,(ROW($B$5:$B$936)-ROW($B$5)+1)/ISNUMBER(MATCH($B$5:$B$936,$I$6:$I$21,0)),ROWS(G$8:G33))))</f>
        <v>9</v>
      </c>
      <c r="AD33" s="5" t="s">
        <v>673</v>
      </c>
    </row>
    <row r="34" spans="1:30" x14ac:dyDescent="0.25">
      <c r="A34" s="19">
        <v>41955</v>
      </c>
      <c r="B34" s="5" t="s">
        <v>707</v>
      </c>
      <c r="C34" s="5">
        <v>63</v>
      </c>
      <c r="E34" s="5">
        <v>27</v>
      </c>
      <c r="F34" s="6" t="str">
        <f t="array" ref="F34">IF(ROWS(F$8:F34)&gt;$G$5,"",INDEX(B$5:B$936,SMALL(IF(ISNUMBER(MATCH($B$5:$B$936,$I$6:$I$21,0)),ROW($B$5:$B$936)-ROW($B$5)+1),ROWS(F$8:F34))))</f>
        <v>Marcelle  Raley</v>
      </c>
      <c r="G34" s="6">
        <f t="array" ref="G34">IF(ROWS(G$8:G34)&gt;$G$5,"",INDEX(C$5:C$936,SMALL(IF(ISNUMBER(MATCH($B$5:$B$936,$I$6:$I$21,0)),ROW($B$5:$B$936)-ROW($B$5)+1),ROWS(G$8:G34))))</f>
        <v>32</v>
      </c>
      <c r="K34" s="5">
        <v>27</v>
      </c>
      <c r="L34" s="6" t="str">
        <f>IF(ROWS(F$8:F34)&gt;$G$5,"",INDEX(B$5:B$936,_xlfn.AGGREGATE(15,6,(ROW($B$5:$B$936)-ROW($B$5)+1)/ISNUMBER(MATCH($B$5:$B$936,$I$6:$I$21,0)),ROWS(F$8:F34))))</f>
        <v>Marcelle  Raley</v>
      </c>
      <c r="M34" s="6">
        <f>IF(ROWS(G$8:G34)&gt;$G$5,"",INDEX(C$5:C$936,_xlfn.AGGREGATE(15,6,(ROW($B$5:$B$936)-ROW($B$5)+1)/ISNUMBER(MATCH($B$5:$B$936,$I$6:$I$21,0)),ROWS(G$8:G34))))</f>
        <v>32</v>
      </c>
      <c r="AD34" s="5" t="s">
        <v>674</v>
      </c>
    </row>
    <row r="35" spans="1:30" x14ac:dyDescent="0.25">
      <c r="A35" s="19">
        <v>41878</v>
      </c>
      <c r="B35" s="5" t="s">
        <v>743</v>
      </c>
      <c r="C35" s="5">
        <v>45</v>
      </c>
      <c r="E35" s="5">
        <v>28</v>
      </c>
      <c r="F35" s="6" t="str">
        <f t="array" ref="F35">IF(ROWS(F$8:F35)&gt;$G$5,"",INDEX(B$5:B$936,SMALL(IF(ISNUMBER(MATCH($B$5:$B$936,$I$6:$I$21,0)),ROW($B$5:$B$936)-ROW($B$5)+1),ROWS(F$8:F35))))</f>
        <v>Alyse  Hopson</v>
      </c>
      <c r="G35" s="6">
        <f t="array" ref="G35">IF(ROWS(G$8:G35)&gt;$G$5,"",INDEX(C$5:C$936,SMALL(IF(ISNUMBER(MATCH($B$5:$B$936,$I$6:$I$21,0)),ROW($B$5:$B$936)-ROW($B$5)+1),ROWS(G$8:G35))))</f>
        <v>9</v>
      </c>
      <c r="K35" s="5">
        <v>28</v>
      </c>
      <c r="L35" s="6" t="str">
        <f>IF(ROWS(F$8:F35)&gt;$G$5,"",INDEX(B$5:B$936,_xlfn.AGGREGATE(15,6,(ROW($B$5:$B$936)-ROW($B$5)+1)/ISNUMBER(MATCH($B$5:$B$936,$I$6:$I$21,0)),ROWS(F$8:F35))))</f>
        <v>Alyse  Hopson</v>
      </c>
      <c r="M35" s="6">
        <f>IF(ROWS(G$8:G35)&gt;$G$5,"",INDEX(C$5:C$936,_xlfn.AGGREGATE(15,6,(ROW($B$5:$B$936)-ROW($B$5)+1)/ISNUMBER(MATCH($B$5:$B$936,$I$6:$I$21,0)),ROWS(G$8:G35))))</f>
        <v>9</v>
      </c>
      <c r="AD35" s="5" t="s">
        <v>675</v>
      </c>
    </row>
    <row r="36" spans="1:30" x14ac:dyDescent="0.25">
      <c r="A36" s="19">
        <v>41914</v>
      </c>
      <c r="B36" s="5" t="s">
        <v>749</v>
      </c>
      <c r="C36" s="5">
        <v>13</v>
      </c>
      <c r="E36" s="5">
        <v>29</v>
      </c>
      <c r="F36" s="6" t="str">
        <f t="array" ref="F36">IF(ROWS(F$8:F36)&gt;$G$5,"",INDEX(B$5:B$936,SMALL(IF(ISNUMBER(MATCH($B$5:$B$936,$I$6:$I$21,0)),ROW($B$5:$B$936)-ROW($B$5)+1),ROWS(F$8:F36))))</f>
        <v>Lupe  Donovan</v>
      </c>
      <c r="G36" s="6">
        <f t="array" ref="G36">IF(ROWS(G$8:G36)&gt;$G$5,"",INDEX(C$5:C$936,SMALL(IF(ISNUMBER(MATCH($B$5:$B$936,$I$6:$I$21,0)),ROW($B$5:$B$936)-ROW($B$5)+1),ROWS(G$8:G36))))</f>
        <v>8</v>
      </c>
      <c r="K36" s="5">
        <v>29</v>
      </c>
      <c r="L36" s="6" t="str">
        <f>IF(ROWS(F$8:F36)&gt;$G$5,"",INDEX(B$5:B$936,_xlfn.AGGREGATE(15,6,(ROW($B$5:$B$936)-ROW($B$5)+1)/ISNUMBER(MATCH($B$5:$B$936,$I$6:$I$21,0)),ROWS(F$8:F36))))</f>
        <v>Lupe  Donovan</v>
      </c>
      <c r="M36" s="6">
        <f>IF(ROWS(G$8:G36)&gt;$G$5,"",INDEX(C$5:C$936,_xlfn.AGGREGATE(15,6,(ROW($B$5:$B$936)-ROW($B$5)+1)/ISNUMBER(MATCH($B$5:$B$936,$I$6:$I$21,0)),ROWS(G$8:G36))))</f>
        <v>8</v>
      </c>
      <c r="AD36" s="5" t="s">
        <v>676</v>
      </c>
    </row>
    <row r="37" spans="1:30" x14ac:dyDescent="0.25">
      <c r="A37" s="19">
        <v>41820</v>
      </c>
      <c r="B37" s="5" t="s">
        <v>693</v>
      </c>
      <c r="C37" s="5">
        <v>68</v>
      </c>
      <c r="E37" s="5">
        <v>30</v>
      </c>
      <c r="F37" s="6" t="str">
        <f t="array" ref="F37">IF(ROWS(F$8:F37)&gt;$G$5,"",INDEX(B$5:B$936,SMALL(IF(ISNUMBER(MATCH($B$5:$B$936,$I$6:$I$21,0)),ROW($B$5:$B$936)-ROW($B$5)+1),ROWS(F$8:F37))))</f>
        <v>Idalia  Osullivan</v>
      </c>
      <c r="G37" s="6">
        <f t="array" ref="G37">IF(ROWS(G$8:G37)&gt;$G$5,"",INDEX(C$5:C$936,SMALL(IF(ISNUMBER(MATCH($B$5:$B$936,$I$6:$I$21,0)),ROW($B$5:$B$936)-ROW($B$5)+1),ROWS(G$8:G37))))</f>
        <v>3</v>
      </c>
      <c r="K37" s="5">
        <v>30</v>
      </c>
      <c r="L37" s="6" t="str">
        <f>IF(ROWS(F$8:F37)&gt;$G$5,"",INDEX(B$5:B$936,_xlfn.AGGREGATE(15,6,(ROW($B$5:$B$936)-ROW($B$5)+1)/ISNUMBER(MATCH($B$5:$B$936,$I$6:$I$21,0)),ROWS(F$8:F37))))</f>
        <v>Idalia  Osullivan</v>
      </c>
      <c r="M37" s="6">
        <f>IF(ROWS(G$8:G37)&gt;$G$5,"",INDEX(C$5:C$936,_xlfn.AGGREGATE(15,6,(ROW($B$5:$B$936)-ROW($B$5)+1)/ISNUMBER(MATCH($B$5:$B$936,$I$6:$I$21,0)),ROWS(G$8:G37))))</f>
        <v>3</v>
      </c>
      <c r="AD37" s="5" t="s">
        <v>677</v>
      </c>
    </row>
    <row r="38" spans="1:30" x14ac:dyDescent="0.25">
      <c r="A38" s="19">
        <v>41817</v>
      </c>
      <c r="B38" s="5" t="s">
        <v>720</v>
      </c>
      <c r="C38" s="5">
        <v>70</v>
      </c>
      <c r="E38" s="5">
        <v>31</v>
      </c>
      <c r="F38" s="6" t="str">
        <f t="array" ref="F38">IF(ROWS(F$8:F38)&gt;$G$5,"",INDEX(B$5:B$936,SMALL(IF(ISNUMBER(MATCH($B$5:$B$936,$I$6:$I$21,0)),ROW($B$5:$B$936)-ROW($B$5)+1),ROWS(F$8:F38))))</f>
        <v>Eulalia  Clement</v>
      </c>
      <c r="G38" s="6">
        <f t="array" ref="G38">IF(ROWS(G$8:G38)&gt;$G$5,"",INDEX(C$5:C$936,SMALL(IF(ISNUMBER(MATCH($B$5:$B$936,$I$6:$I$21,0)),ROW($B$5:$B$936)-ROW($B$5)+1),ROWS(G$8:G38))))</f>
        <v>27</v>
      </c>
      <c r="K38" s="5">
        <v>31</v>
      </c>
      <c r="L38" s="6" t="str">
        <f>IF(ROWS(F$8:F38)&gt;$G$5,"",INDEX(B$5:B$936,_xlfn.AGGREGATE(15,6,(ROW($B$5:$B$936)-ROW($B$5)+1)/ISNUMBER(MATCH($B$5:$B$936,$I$6:$I$21,0)),ROWS(F$8:F38))))</f>
        <v>Eulalia  Clement</v>
      </c>
      <c r="M38" s="6">
        <f>IF(ROWS(G$8:G38)&gt;$G$5,"",INDEX(C$5:C$936,_xlfn.AGGREGATE(15,6,(ROW($B$5:$B$936)-ROW($B$5)+1)/ISNUMBER(MATCH($B$5:$B$936,$I$6:$I$21,0)),ROWS(G$8:G38))))</f>
        <v>27</v>
      </c>
      <c r="AD38" s="5" t="s">
        <v>678</v>
      </c>
    </row>
    <row r="39" spans="1:30" x14ac:dyDescent="0.25">
      <c r="A39" s="19">
        <v>41914</v>
      </c>
      <c r="B39" s="5" t="s">
        <v>669</v>
      </c>
      <c r="C39" s="5">
        <v>67</v>
      </c>
      <c r="E39" s="5">
        <v>32</v>
      </c>
      <c r="F39" s="6" t="str">
        <f t="array" ref="F39">IF(ROWS(F$8:F39)&gt;$G$5,"",INDEX(B$5:B$936,SMALL(IF(ISNUMBER(MATCH($B$5:$B$936,$I$6:$I$21,0)),ROW($B$5:$B$936)-ROW($B$5)+1),ROWS(F$8:F39))))</f>
        <v>Stormy  Haight</v>
      </c>
      <c r="G39" s="6">
        <f t="array" ref="G39">IF(ROWS(G$8:G39)&gt;$G$5,"",INDEX(C$5:C$936,SMALL(IF(ISNUMBER(MATCH($B$5:$B$936,$I$6:$I$21,0)),ROW($B$5:$B$936)-ROW($B$5)+1),ROWS(G$8:G39))))</f>
        <v>66</v>
      </c>
      <c r="K39" s="5">
        <v>32</v>
      </c>
      <c r="L39" s="6" t="str">
        <f>IF(ROWS(F$8:F39)&gt;$G$5,"",INDEX(B$5:B$936,_xlfn.AGGREGATE(15,6,(ROW($B$5:$B$936)-ROW($B$5)+1)/ISNUMBER(MATCH($B$5:$B$936,$I$6:$I$21,0)),ROWS(F$8:F39))))</f>
        <v>Stormy  Haight</v>
      </c>
      <c r="M39" s="6">
        <f>IF(ROWS(G$8:G39)&gt;$G$5,"",INDEX(C$5:C$936,_xlfn.AGGREGATE(15,6,(ROW($B$5:$B$936)-ROW($B$5)+1)/ISNUMBER(MATCH($B$5:$B$936,$I$6:$I$21,0)),ROWS(G$8:G39))))</f>
        <v>66</v>
      </c>
      <c r="AD39" s="5" t="s">
        <v>679</v>
      </c>
    </row>
    <row r="40" spans="1:30" x14ac:dyDescent="0.25">
      <c r="A40" s="19">
        <v>41988</v>
      </c>
      <c r="B40" s="5" t="s">
        <v>741</v>
      </c>
      <c r="C40" s="5">
        <v>61</v>
      </c>
      <c r="E40" s="5">
        <v>33</v>
      </c>
      <c r="F40" s="6" t="str">
        <f t="array" ref="F40">IF(ROWS(F$8:F40)&gt;$G$5,"",INDEX(B$5:B$936,SMALL(IF(ISNUMBER(MATCH($B$5:$B$936,$I$6:$I$21,0)),ROW($B$5:$B$936)-ROW($B$5)+1),ROWS(F$8:F40))))</f>
        <v>Lupe  Donovan</v>
      </c>
      <c r="G40" s="6">
        <f t="array" ref="G40">IF(ROWS(G$8:G40)&gt;$G$5,"",INDEX(C$5:C$936,SMALL(IF(ISNUMBER(MATCH($B$5:$B$936,$I$6:$I$21,0)),ROW($B$5:$B$936)-ROW($B$5)+1),ROWS(G$8:G40))))</f>
        <v>49</v>
      </c>
      <c r="K40" s="5">
        <v>33</v>
      </c>
      <c r="L40" s="6" t="str">
        <f>IF(ROWS(F$8:F40)&gt;$G$5,"",INDEX(B$5:B$936,_xlfn.AGGREGATE(15,6,(ROW($B$5:$B$936)-ROW($B$5)+1)/ISNUMBER(MATCH($B$5:$B$936,$I$6:$I$21,0)),ROWS(F$8:F40))))</f>
        <v>Lupe  Donovan</v>
      </c>
      <c r="M40" s="6">
        <f>IF(ROWS(G$8:G40)&gt;$G$5,"",INDEX(C$5:C$936,_xlfn.AGGREGATE(15,6,(ROW($B$5:$B$936)-ROW($B$5)+1)/ISNUMBER(MATCH($B$5:$B$936,$I$6:$I$21,0)),ROWS(G$8:G40))))</f>
        <v>49</v>
      </c>
      <c r="AD40" s="5" t="s">
        <v>680</v>
      </c>
    </row>
    <row r="41" spans="1:30" x14ac:dyDescent="0.25">
      <c r="A41" s="19">
        <v>41882</v>
      </c>
      <c r="B41" s="5" t="s">
        <v>652</v>
      </c>
      <c r="C41" s="5">
        <v>57</v>
      </c>
      <c r="E41" s="5">
        <v>34</v>
      </c>
      <c r="F41" s="6" t="str">
        <f t="array" ref="F41">IF(ROWS(F$8:F41)&gt;$G$5,"",INDEX(B$5:B$936,SMALL(IF(ISNUMBER(MATCH($B$5:$B$936,$I$6:$I$21,0)),ROW($B$5:$B$936)-ROW($B$5)+1),ROWS(F$8:F41))))</f>
        <v>Stormy  Haight</v>
      </c>
      <c r="G41" s="6">
        <f t="array" ref="G41">IF(ROWS(G$8:G41)&gt;$G$5,"",INDEX(C$5:C$936,SMALL(IF(ISNUMBER(MATCH($B$5:$B$936,$I$6:$I$21,0)),ROW($B$5:$B$936)-ROW($B$5)+1),ROWS(G$8:G41))))</f>
        <v>3</v>
      </c>
      <c r="K41" s="5">
        <v>34</v>
      </c>
      <c r="L41" s="6" t="str">
        <f>IF(ROWS(F$8:F41)&gt;$G$5,"",INDEX(B$5:B$936,_xlfn.AGGREGATE(15,6,(ROW($B$5:$B$936)-ROW($B$5)+1)/ISNUMBER(MATCH($B$5:$B$936,$I$6:$I$21,0)),ROWS(F$8:F41))))</f>
        <v>Stormy  Haight</v>
      </c>
      <c r="M41" s="6">
        <f>IF(ROWS(G$8:G41)&gt;$G$5,"",INDEX(C$5:C$936,_xlfn.AGGREGATE(15,6,(ROW($B$5:$B$936)-ROW($B$5)+1)/ISNUMBER(MATCH($B$5:$B$936,$I$6:$I$21,0)),ROWS(G$8:G41))))</f>
        <v>3</v>
      </c>
      <c r="AD41" s="5" t="s">
        <v>681</v>
      </c>
    </row>
    <row r="42" spans="1:30" x14ac:dyDescent="0.25">
      <c r="A42" s="19">
        <v>41862</v>
      </c>
      <c r="B42" s="5" t="s">
        <v>665</v>
      </c>
      <c r="C42" s="5">
        <v>38</v>
      </c>
      <c r="E42" s="5">
        <v>35</v>
      </c>
      <c r="F42" s="6" t="str">
        <f t="array" ref="F42">IF(ROWS(F$8:F42)&gt;$G$5,"",INDEX(B$5:B$936,SMALL(IF(ISNUMBER(MATCH($B$5:$B$936,$I$6:$I$21,0)),ROW($B$5:$B$936)-ROW($B$5)+1),ROWS(F$8:F42))))</f>
        <v>Idalia  Osullivan</v>
      </c>
      <c r="G42" s="6">
        <f t="array" ref="G42">IF(ROWS(G$8:G42)&gt;$G$5,"",INDEX(C$5:C$936,SMALL(IF(ISNUMBER(MATCH($B$5:$B$936,$I$6:$I$21,0)),ROW($B$5:$B$936)-ROW($B$5)+1),ROWS(G$8:G42))))</f>
        <v>41</v>
      </c>
      <c r="K42" s="5">
        <v>35</v>
      </c>
      <c r="L42" s="6" t="str">
        <f>IF(ROWS(F$8:F42)&gt;$G$5,"",INDEX(B$5:B$936,_xlfn.AGGREGATE(15,6,(ROW($B$5:$B$936)-ROW($B$5)+1)/ISNUMBER(MATCH($B$5:$B$936,$I$6:$I$21,0)),ROWS(F$8:F42))))</f>
        <v>Idalia  Osullivan</v>
      </c>
      <c r="M42" s="6">
        <f>IF(ROWS(G$8:G42)&gt;$G$5,"",INDEX(C$5:C$936,_xlfn.AGGREGATE(15,6,(ROW($B$5:$B$936)-ROW($B$5)+1)/ISNUMBER(MATCH($B$5:$B$936,$I$6:$I$21,0)),ROWS(G$8:G42))))</f>
        <v>41</v>
      </c>
      <c r="AD42" s="5" t="s">
        <v>682</v>
      </c>
    </row>
    <row r="43" spans="1:30" x14ac:dyDescent="0.25">
      <c r="A43" s="19">
        <v>41966</v>
      </c>
      <c r="B43" s="5" t="s">
        <v>731</v>
      </c>
      <c r="C43" s="5">
        <v>37</v>
      </c>
      <c r="E43" s="5">
        <v>36</v>
      </c>
      <c r="F43" s="6" t="str">
        <f t="array" ref="F43">IF(ROWS(F$8:F43)&gt;$G$5,"",INDEX(B$5:B$936,SMALL(IF(ISNUMBER(MATCH($B$5:$B$936,$I$6:$I$21,0)),ROW($B$5:$B$936)-ROW($B$5)+1),ROWS(F$8:F43))))</f>
        <v>Gail  Reaves</v>
      </c>
      <c r="G43" s="6">
        <f t="array" ref="G43">IF(ROWS(G$8:G43)&gt;$G$5,"",INDEX(C$5:C$936,SMALL(IF(ISNUMBER(MATCH($B$5:$B$936,$I$6:$I$21,0)),ROW($B$5:$B$936)-ROW($B$5)+1),ROWS(G$8:G43))))</f>
        <v>16</v>
      </c>
      <c r="K43" s="5">
        <v>36</v>
      </c>
      <c r="L43" s="6" t="str">
        <f>IF(ROWS(F$8:F43)&gt;$G$5,"",INDEX(B$5:B$936,_xlfn.AGGREGATE(15,6,(ROW($B$5:$B$936)-ROW($B$5)+1)/ISNUMBER(MATCH($B$5:$B$936,$I$6:$I$21,0)),ROWS(F$8:F43))))</f>
        <v>Gail  Reaves</v>
      </c>
      <c r="M43" s="6">
        <f>IF(ROWS(G$8:G43)&gt;$G$5,"",INDEX(C$5:C$936,_xlfn.AGGREGATE(15,6,(ROW($B$5:$B$936)-ROW($B$5)+1)/ISNUMBER(MATCH($B$5:$B$936,$I$6:$I$21,0)),ROWS(G$8:G43))))</f>
        <v>16</v>
      </c>
      <c r="AD43" s="5" t="s">
        <v>683</v>
      </c>
    </row>
    <row r="44" spans="1:30" x14ac:dyDescent="0.25">
      <c r="A44" s="19">
        <v>41905</v>
      </c>
      <c r="B44" s="5" t="s">
        <v>736</v>
      </c>
      <c r="C44" s="5">
        <v>0</v>
      </c>
      <c r="E44" s="5">
        <v>37</v>
      </c>
      <c r="F44" s="6" t="str">
        <f t="array" ref="F44">IF(ROWS(F$8:F44)&gt;$G$5,"",INDEX(B$5:B$936,SMALL(IF(ISNUMBER(MATCH($B$5:$B$936,$I$6:$I$21,0)),ROW($B$5:$B$936)-ROW($B$5)+1),ROWS(F$8:F44))))</f>
        <v>Gail  Reaves</v>
      </c>
      <c r="G44" s="6">
        <f t="array" ref="G44">IF(ROWS(G$8:G44)&gt;$G$5,"",INDEX(C$5:C$936,SMALL(IF(ISNUMBER(MATCH($B$5:$B$936,$I$6:$I$21,0)),ROW($B$5:$B$936)-ROW($B$5)+1),ROWS(G$8:G44))))</f>
        <v>6</v>
      </c>
      <c r="K44" s="5">
        <v>37</v>
      </c>
      <c r="L44" s="6" t="str">
        <f>IF(ROWS(F$8:F44)&gt;$G$5,"",INDEX(B$5:B$936,_xlfn.AGGREGATE(15,6,(ROW($B$5:$B$936)-ROW($B$5)+1)/ISNUMBER(MATCH($B$5:$B$936,$I$6:$I$21,0)),ROWS(F$8:F44))))</f>
        <v>Gail  Reaves</v>
      </c>
      <c r="M44" s="6">
        <f>IF(ROWS(G$8:G44)&gt;$G$5,"",INDEX(C$5:C$936,_xlfn.AGGREGATE(15,6,(ROW($B$5:$B$936)-ROW($B$5)+1)/ISNUMBER(MATCH($B$5:$B$936,$I$6:$I$21,0)),ROWS(G$8:G44))))</f>
        <v>6</v>
      </c>
      <c r="AD44" s="5" t="s">
        <v>684</v>
      </c>
    </row>
    <row r="45" spans="1:30" x14ac:dyDescent="0.25">
      <c r="A45" s="19">
        <v>41897</v>
      </c>
      <c r="B45" s="5" t="s">
        <v>737</v>
      </c>
      <c r="C45" s="5">
        <v>56</v>
      </c>
      <c r="E45" s="5">
        <v>38</v>
      </c>
      <c r="F45" s="6" t="str">
        <f t="array" ref="F45">IF(ROWS(F$8:F45)&gt;$G$5,"",INDEX(B$5:B$936,SMALL(IF(ISNUMBER(MATCH($B$5:$B$936,$I$6:$I$21,0)),ROW($B$5:$B$936)-ROW($B$5)+1),ROWS(F$8:F45))))</f>
        <v>Alyse  Hopson</v>
      </c>
      <c r="G45" s="6">
        <f t="array" ref="G45">IF(ROWS(G$8:G45)&gt;$G$5,"",INDEX(C$5:C$936,SMALL(IF(ISNUMBER(MATCH($B$5:$B$936,$I$6:$I$21,0)),ROW($B$5:$B$936)-ROW($B$5)+1),ROWS(G$8:G45))))</f>
        <v>68</v>
      </c>
      <c r="K45" s="5">
        <v>38</v>
      </c>
      <c r="L45" s="6" t="str">
        <f>IF(ROWS(F$8:F45)&gt;$G$5,"",INDEX(B$5:B$936,_xlfn.AGGREGATE(15,6,(ROW($B$5:$B$936)-ROW($B$5)+1)/ISNUMBER(MATCH($B$5:$B$936,$I$6:$I$21,0)),ROWS(F$8:F45))))</f>
        <v>Alyse  Hopson</v>
      </c>
      <c r="M45" s="6">
        <f>IF(ROWS(G$8:G45)&gt;$G$5,"",INDEX(C$5:C$936,_xlfn.AGGREGATE(15,6,(ROW($B$5:$B$936)-ROW($B$5)+1)/ISNUMBER(MATCH($B$5:$B$936,$I$6:$I$21,0)),ROWS(G$8:G45))))</f>
        <v>68</v>
      </c>
      <c r="AD45" s="5" t="s">
        <v>685</v>
      </c>
    </row>
    <row r="46" spans="1:30" x14ac:dyDescent="0.25">
      <c r="A46" s="19">
        <v>41837</v>
      </c>
      <c r="B46" s="5" t="s">
        <v>671</v>
      </c>
      <c r="C46" s="5">
        <v>59</v>
      </c>
      <c r="E46" s="5">
        <v>39</v>
      </c>
      <c r="F46" s="6" t="str">
        <f t="array" ref="F46">IF(ROWS(F$8:F46)&gt;$G$5,"",INDEX(B$5:B$936,SMALL(IF(ISNUMBER(MATCH($B$5:$B$936,$I$6:$I$21,0)),ROW($B$5:$B$936)-ROW($B$5)+1),ROWS(F$8:F46))))</f>
        <v>Gail  Reaves</v>
      </c>
      <c r="G46" s="6">
        <f t="array" ref="G46">IF(ROWS(G$8:G46)&gt;$G$5,"",INDEX(C$5:C$936,SMALL(IF(ISNUMBER(MATCH($B$5:$B$936,$I$6:$I$21,0)),ROW($B$5:$B$936)-ROW($B$5)+1),ROWS(G$8:G46))))</f>
        <v>13</v>
      </c>
      <c r="K46" s="5">
        <v>39</v>
      </c>
      <c r="L46" s="6" t="str">
        <f>IF(ROWS(F$8:F46)&gt;$G$5,"",INDEX(B$5:B$936,_xlfn.AGGREGATE(15,6,(ROW($B$5:$B$936)-ROW($B$5)+1)/ISNUMBER(MATCH($B$5:$B$936,$I$6:$I$21,0)),ROWS(F$8:F46))))</f>
        <v>Gail  Reaves</v>
      </c>
      <c r="M46" s="6">
        <f>IF(ROWS(G$8:G46)&gt;$G$5,"",INDEX(C$5:C$936,_xlfn.AGGREGATE(15,6,(ROW($B$5:$B$936)-ROW($B$5)+1)/ISNUMBER(MATCH($B$5:$B$936,$I$6:$I$21,0)),ROWS(G$8:G46))))</f>
        <v>13</v>
      </c>
      <c r="AD46" s="5" t="s">
        <v>686</v>
      </c>
    </row>
    <row r="47" spans="1:30" x14ac:dyDescent="0.25">
      <c r="A47" s="19">
        <v>41869</v>
      </c>
      <c r="B47" s="5" t="s">
        <v>740</v>
      </c>
      <c r="C47" s="5">
        <v>48</v>
      </c>
      <c r="E47" s="5">
        <v>40</v>
      </c>
      <c r="F47" s="6" t="str">
        <f t="array" ref="F47">IF(ROWS(F$8:F47)&gt;$G$5,"",INDEX(B$5:B$936,SMALL(IF(ISNUMBER(MATCH($B$5:$B$936,$I$6:$I$21,0)),ROW($B$5:$B$936)-ROW($B$5)+1),ROWS(F$8:F47))))</f>
        <v>Gail  Reaves</v>
      </c>
      <c r="G47" s="6">
        <f t="array" ref="G47">IF(ROWS(G$8:G47)&gt;$G$5,"",INDEX(C$5:C$936,SMALL(IF(ISNUMBER(MATCH($B$5:$B$936,$I$6:$I$21,0)),ROW($B$5:$B$936)-ROW($B$5)+1),ROWS(G$8:G47))))</f>
        <v>43</v>
      </c>
      <c r="K47" s="5">
        <v>40</v>
      </c>
      <c r="L47" s="6" t="str">
        <f>IF(ROWS(F$8:F47)&gt;$G$5,"",INDEX(B$5:B$936,_xlfn.AGGREGATE(15,6,(ROW($B$5:$B$936)-ROW($B$5)+1)/ISNUMBER(MATCH($B$5:$B$936,$I$6:$I$21,0)),ROWS(F$8:F47))))</f>
        <v>Gail  Reaves</v>
      </c>
      <c r="M47" s="6">
        <f>IF(ROWS(G$8:G47)&gt;$G$5,"",INDEX(C$5:C$936,_xlfn.AGGREGATE(15,6,(ROW($B$5:$B$936)-ROW($B$5)+1)/ISNUMBER(MATCH($B$5:$B$936,$I$6:$I$21,0)),ROWS(G$8:G47))))</f>
        <v>43</v>
      </c>
      <c r="AD47" s="5" t="s">
        <v>687</v>
      </c>
    </row>
    <row r="48" spans="1:30" x14ac:dyDescent="0.25">
      <c r="A48" s="19">
        <v>41949</v>
      </c>
      <c r="B48" s="5" t="s">
        <v>727</v>
      </c>
      <c r="C48" s="5">
        <v>4</v>
      </c>
      <c r="E48" s="5">
        <v>41</v>
      </c>
      <c r="F48" s="6" t="str">
        <f t="array" ref="F48">IF(ROWS(F$8:F48)&gt;$G$5,"",INDEX(B$5:B$936,SMALL(IF(ISNUMBER(MATCH($B$5:$B$936,$I$6:$I$21,0)),ROW($B$5:$B$936)-ROW($B$5)+1),ROWS(F$8:F48))))</f>
        <v>Jules  Horowitz</v>
      </c>
      <c r="G48" s="6">
        <f t="array" ref="G48">IF(ROWS(G$8:G48)&gt;$G$5,"",INDEX(C$5:C$936,SMALL(IF(ISNUMBER(MATCH($B$5:$B$936,$I$6:$I$21,0)),ROW($B$5:$B$936)-ROW($B$5)+1),ROWS(G$8:G48))))</f>
        <v>23</v>
      </c>
      <c r="K48" s="5">
        <v>41</v>
      </c>
      <c r="L48" s="6" t="str">
        <f>IF(ROWS(F$8:F48)&gt;$G$5,"",INDEX(B$5:B$936,_xlfn.AGGREGATE(15,6,(ROW($B$5:$B$936)-ROW($B$5)+1)/ISNUMBER(MATCH($B$5:$B$936,$I$6:$I$21,0)),ROWS(F$8:F48))))</f>
        <v>Jules  Horowitz</v>
      </c>
      <c r="M48" s="6">
        <f>IF(ROWS(G$8:G48)&gt;$G$5,"",INDEX(C$5:C$936,_xlfn.AGGREGATE(15,6,(ROW($B$5:$B$936)-ROW($B$5)+1)/ISNUMBER(MATCH($B$5:$B$936,$I$6:$I$21,0)),ROWS(G$8:G48))))</f>
        <v>23</v>
      </c>
      <c r="AD48" s="5" t="s">
        <v>688</v>
      </c>
    </row>
    <row r="49" spans="1:30" x14ac:dyDescent="0.25">
      <c r="A49" s="19">
        <v>41964</v>
      </c>
      <c r="B49" s="5" t="s">
        <v>704</v>
      </c>
      <c r="C49" s="5">
        <v>50</v>
      </c>
      <c r="E49" s="5">
        <v>42</v>
      </c>
      <c r="F49" s="6" t="str">
        <f t="array" ref="F49">IF(ROWS(F$8:F49)&gt;$G$5,"",INDEX(B$5:B$936,SMALL(IF(ISNUMBER(MATCH($B$5:$B$936,$I$6:$I$21,0)),ROW($B$5:$B$936)-ROW($B$5)+1),ROWS(F$8:F49))))</f>
        <v>Allena  Swenson</v>
      </c>
      <c r="G49" s="6">
        <f t="array" ref="G49">IF(ROWS(G$8:G49)&gt;$G$5,"",INDEX(C$5:C$936,SMALL(IF(ISNUMBER(MATCH($B$5:$B$936,$I$6:$I$21,0)),ROW($B$5:$B$936)-ROW($B$5)+1),ROWS(G$8:G49))))</f>
        <v>66</v>
      </c>
      <c r="K49" s="5">
        <v>42</v>
      </c>
      <c r="L49" s="6" t="str">
        <f>IF(ROWS(F$8:F49)&gt;$G$5,"",INDEX(B$5:B$936,_xlfn.AGGREGATE(15,6,(ROW($B$5:$B$936)-ROW($B$5)+1)/ISNUMBER(MATCH($B$5:$B$936,$I$6:$I$21,0)),ROWS(F$8:F49))))</f>
        <v>Allena  Swenson</v>
      </c>
      <c r="M49" s="6">
        <f>IF(ROWS(G$8:G49)&gt;$G$5,"",INDEX(C$5:C$936,_xlfn.AGGREGATE(15,6,(ROW($B$5:$B$936)-ROW($B$5)+1)/ISNUMBER(MATCH($B$5:$B$936,$I$6:$I$21,0)),ROWS(G$8:G49))))</f>
        <v>66</v>
      </c>
      <c r="AD49" s="5" t="s">
        <v>689</v>
      </c>
    </row>
    <row r="50" spans="1:30" x14ac:dyDescent="0.25">
      <c r="A50" s="19">
        <v>41826</v>
      </c>
      <c r="B50" s="5" t="s">
        <v>708</v>
      </c>
      <c r="C50" s="5">
        <v>14</v>
      </c>
      <c r="E50" s="5">
        <v>43</v>
      </c>
      <c r="F50" s="6" t="str">
        <f t="array" ref="F50">IF(ROWS(F$8:F50)&gt;$G$5,"",INDEX(B$5:B$936,SMALL(IF(ISNUMBER(MATCH($B$5:$B$936,$I$6:$I$21,0)),ROW($B$5:$B$936)-ROW($B$5)+1),ROWS(F$8:F50))))</f>
        <v>Shandra  Rife</v>
      </c>
      <c r="G50" s="6">
        <f t="array" ref="G50">IF(ROWS(G$8:G50)&gt;$G$5,"",INDEX(C$5:C$936,SMALL(IF(ISNUMBER(MATCH($B$5:$B$936,$I$6:$I$21,0)),ROW($B$5:$B$936)-ROW($B$5)+1),ROWS(G$8:G50))))</f>
        <v>40</v>
      </c>
      <c r="K50" s="5">
        <v>43</v>
      </c>
      <c r="L50" s="6" t="str">
        <f>IF(ROWS(F$8:F50)&gt;$G$5,"",INDEX(B$5:B$936,_xlfn.AGGREGATE(15,6,(ROW($B$5:$B$936)-ROW($B$5)+1)/ISNUMBER(MATCH($B$5:$B$936,$I$6:$I$21,0)),ROWS(F$8:F50))))</f>
        <v>Shandra  Rife</v>
      </c>
      <c r="M50" s="6">
        <f>IF(ROWS(G$8:G50)&gt;$G$5,"",INDEX(C$5:C$936,_xlfn.AGGREGATE(15,6,(ROW($B$5:$B$936)-ROW($B$5)+1)/ISNUMBER(MATCH($B$5:$B$936,$I$6:$I$21,0)),ROWS(G$8:G50))))</f>
        <v>40</v>
      </c>
      <c r="AD50" s="5" t="s">
        <v>690</v>
      </c>
    </row>
    <row r="51" spans="1:30" x14ac:dyDescent="0.25">
      <c r="A51" s="19">
        <v>41913</v>
      </c>
      <c r="B51" s="5" t="s">
        <v>651</v>
      </c>
      <c r="C51" s="5">
        <v>42</v>
      </c>
      <c r="E51" s="5">
        <v>44</v>
      </c>
      <c r="F51" s="6" t="str">
        <f t="array" ref="F51">IF(ROWS(F$8:F51)&gt;$G$5,"",INDEX(B$5:B$936,SMALL(IF(ISNUMBER(MATCH($B$5:$B$936,$I$6:$I$21,0)),ROW($B$5:$B$936)-ROW($B$5)+1),ROWS(F$8:F51))))</f>
        <v>Jeremy  Shea</v>
      </c>
      <c r="G51" s="6">
        <f t="array" ref="G51">IF(ROWS(G$8:G51)&gt;$G$5,"",INDEX(C$5:C$936,SMALL(IF(ISNUMBER(MATCH($B$5:$B$936,$I$6:$I$21,0)),ROW($B$5:$B$936)-ROW($B$5)+1),ROWS(G$8:G51))))</f>
        <v>60</v>
      </c>
      <c r="K51" s="5">
        <v>44</v>
      </c>
      <c r="L51" s="6" t="str">
        <f>IF(ROWS(F$8:F51)&gt;$G$5,"",INDEX(B$5:B$936,_xlfn.AGGREGATE(15,6,(ROW($B$5:$B$936)-ROW($B$5)+1)/ISNUMBER(MATCH($B$5:$B$936,$I$6:$I$21,0)),ROWS(F$8:F51))))</f>
        <v>Jeremy  Shea</v>
      </c>
      <c r="M51" s="6">
        <f>IF(ROWS(G$8:G51)&gt;$G$5,"",INDEX(C$5:C$936,_xlfn.AGGREGATE(15,6,(ROW($B$5:$B$936)-ROW($B$5)+1)/ISNUMBER(MATCH($B$5:$B$936,$I$6:$I$21,0)),ROWS(G$8:G51))))</f>
        <v>60</v>
      </c>
      <c r="AD51" s="5" t="s">
        <v>691</v>
      </c>
    </row>
    <row r="52" spans="1:30" x14ac:dyDescent="0.25">
      <c r="A52" s="19">
        <v>41916</v>
      </c>
      <c r="B52" s="5" t="s">
        <v>701</v>
      </c>
      <c r="C52" s="5">
        <v>75</v>
      </c>
      <c r="E52" s="5">
        <v>45</v>
      </c>
      <c r="F52" s="6" t="str">
        <f t="array" ref="F52">IF(ROWS(F$8:F52)&gt;$G$5,"",INDEX(B$5:B$936,SMALL(IF(ISNUMBER(MATCH($B$5:$B$936,$I$6:$I$21,0)),ROW($B$5:$B$936)-ROW($B$5)+1),ROWS(F$8:F52))))</f>
        <v>Allena  Swenson</v>
      </c>
      <c r="G52" s="6">
        <f t="array" ref="G52">IF(ROWS(G$8:G52)&gt;$G$5,"",INDEX(C$5:C$936,SMALL(IF(ISNUMBER(MATCH($B$5:$B$936,$I$6:$I$21,0)),ROW($B$5:$B$936)-ROW($B$5)+1),ROWS(G$8:G52))))</f>
        <v>68</v>
      </c>
      <c r="K52" s="5">
        <v>45</v>
      </c>
      <c r="L52" s="6" t="str">
        <f>IF(ROWS(F$8:F52)&gt;$G$5,"",INDEX(B$5:B$936,_xlfn.AGGREGATE(15,6,(ROW($B$5:$B$936)-ROW($B$5)+1)/ISNUMBER(MATCH($B$5:$B$936,$I$6:$I$21,0)),ROWS(F$8:F52))))</f>
        <v>Allena  Swenson</v>
      </c>
      <c r="M52" s="6">
        <f>IF(ROWS(G$8:G52)&gt;$G$5,"",INDEX(C$5:C$936,_xlfn.AGGREGATE(15,6,(ROW($B$5:$B$936)-ROW($B$5)+1)/ISNUMBER(MATCH($B$5:$B$936,$I$6:$I$21,0)),ROWS(G$8:G52))))</f>
        <v>68</v>
      </c>
      <c r="AD52" s="5" t="s">
        <v>692</v>
      </c>
    </row>
    <row r="53" spans="1:30" x14ac:dyDescent="0.25">
      <c r="A53" s="19">
        <v>41809</v>
      </c>
      <c r="B53" s="5" t="s">
        <v>681</v>
      </c>
      <c r="C53" s="5">
        <v>47</v>
      </c>
      <c r="E53" s="5">
        <v>46</v>
      </c>
      <c r="F53" s="6" t="str">
        <f t="array" ref="F53">IF(ROWS(F$8:F53)&gt;$G$5,"",INDEX(B$5:B$936,SMALL(IF(ISNUMBER(MATCH($B$5:$B$936,$I$6:$I$21,0)),ROW($B$5:$B$936)-ROW($B$5)+1),ROWS(F$8:F53))))</f>
        <v>Shandra  Rife</v>
      </c>
      <c r="G53" s="6">
        <f t="array" ref="G53">IF(ROWS(G$8:G53)&gt;$G$5,"",INDEX(C$5:C$936,SMALL(IF(ISNUMBER(MATCH($B$5:$B$936,$I$6:$I$21,0)),ROW($B$5:$B$936)-ROW($B$5)+1),ROWS(G$8:G53))))</f>
        <v>15</v>
      </c>
      <c r="K53" s="5">
        <v>46</v>
      </c>
      <c r="L53" s="6" t="str">
        <f>IF(ROWS(F$8:F53)&gt;$G$5,"",INDEX(B$5:B$936,_xlfn.AGGREGATE(15,6,(ROW($B$5:$B$936)-ROW($B$5)+1)/ISNUMBER(MATCH($B$5:$B$936,$I$6:$I$21,0)),ROWS(F$8:F53))))</f>
        <v>Shandra  Rife</v>
      </c>
      <c r="M53" s="6">
        <f>IF(ROWS(G$8:G53)&gt;$G$5,"",INDEX(C$5:C$936,_xlfn.AGGREGATE(15,6,(ROW($B$5:$B$936)-ROW($B$5)+1)/ISNUMBER(MATCH($B$5:$B$936,$I$6:$I$21,0)),ROWS(G$8:G53))))</f>
        <v>15</v>
      </c>
      <c r="AD53" s="5" t="s">
        <v>693</v>
      </c>
    </row>
    <row r="54" spans="1:30" x14ac:dyDescent="0.25">
      <c r="A54" s="19">
        <v>41834</v>
      </c>
      <c r="B54" s="5" t="s">
        <v>680</v>
      </c>
      <c r="C54" s="5">
        <v>27</v>
      </c>
      <c r="E54" s="5">
        <v>47</v>
      </c>
      <c r="F54" s="6" t="str">
        <f t="array" ref="F54">IF(ROWS(F$8:F54)&gt;$G$5,"",INDEX(B$5:B$936,SMALL(IF(ISNUMBER(MATCH($B$5:$B$936,$I$6:$I$21,0)),ROW($B$5:$B$936)-ROW($B$5)+1),ROWS(F$8:F54))))</f>
        <v>Eulalia  Clement</v>
      </c>
      <c r="G54" s="6">
        <f t="array" ref="G54">IF(ROWS(G$8:G54)&gt;$G$5,"",INDEX(C$5:C$936,SMALL(IF(ISNUMBER(MATCH($B$5:$B$936,$I$6:$I$21,0)),ROW($B$5:$B$936)-ROW($B$5)+1),ROWS(G$8:G54))))</f>
        <v>10</v>
      </c>
      <c r="K54" s="5">
        <v>47</v>
      </c>
      <c r="L54" s="6" t="str">
        <f>IF(ROWS(F$8:F54)&gt;$G$5,"",INDEX(B$5:B$936,_xlfn.AGGREGATE(15,6,(ROW($B$5:$B$936)-ROW($B$5)+1)/ISNUMBER(MATCH($B$5:$B$936,$I$6:$I$21,0)),ROWS(F$8:F54))))</f>
        <v>Eulalia  Clement</v>
      </c>
      <c r="M54" s="6">
        <f>IF(ROWS(G$8:G54)&gt;$G$5,"",INDEX(C$5:C$936,_xlfn.AGGREGATE(15,6,(ROW($B$5:$B$936)-ROW($B$5)+1)/ISNUMBER(MATCH($B$5:$B$936,$I$6:$I$21,0)),ROWS(G$8:G54))))</f>
        <v>10</v>
      </c>
      <c r="AD54" s="5" t="s">
        <v>694</v>
      </c>
    </row>
    <row r="55" spans="1:30" x14ac:dyDescent="0.25">
      <c r="A55" s="19">
        <v>41884</v>
      </c>
      <c r="B55" s="5" t="s">
        <v>687</v>
      </c>
      <c r="C55" s="5">
        <v>19</v>
      </c>
      <c r="E55" s="5">
        <v>48</v>
      </c>
      <c r="F55" s="6" t="str">
        <f t="array" ref="F55">IF(ROWS(F$8:F55)&gt;$G$5,"",INDEX(B$5:B$936,SMALL(IF(ISNUMBER(MATCH($B$5:$B$936,$I$6:$I$21,0)),ROW($B$5:$B$936)-ROW($B$5)+1),ROWS(F$8:F55))))</f>
        <v>Idalia  Osullivan</v>
      </c>
      <c r="G55" s="6">
        <f t="array" ref="G55">IF(ROWS(G$8:G55)&gt;$G$5,"",INDEX(C$5:C$936,SMALL(IF(ISNUMBER(MATCH($B$5:$B$936,$I$6:$I$21,0)),ROW($B$5:$B$936)-ROW($B$5)+1),ROWS(G$8:G55))))</f>
        <v>3</v>
      </c>
      <c r="K55" s="5">
        <v>48</v>
      </c>
      <c r="L55" s="6" t="str">
        <f>IF(ROWS(F$8:F55)&gt;$G$5,"",INDEX(B$5:B$936,_xlfn.AGGREGATE(15,6,(ROW($B$5:$B$936)-ROW($B$5)+1)/ISNUMBER(MATCH($B$5:$B$936,$I$6:$I$21,0)),ROWS(F$8:F55))))</f>
        <v>Idalia  Osullivan</v>
      </c>
      <c r="M55" s="6">
        <f>IF(ROWS(G$8:G55)&gt;$G$5,"",INDEX(C$5:C$936,_xlfn.AGGREGATE(15,6,(ROW($B$5:$B$936)-ROW($B$5)+1)/ISNUMBER(MATCH($B$5:$B$936,$I$6:$I$21,0)),ROWS(G$8:G55))))</f>
        <v>3</v>
      </c>
      <c r="AD55" s="5" t="s">
        <v>701</v>
      </c>
    </row>
    <row r="56" spans="1:30" x14ac:dyDescent="0.25">
      <c r="A56" s="19">
        <v>41838</v>
      </c>
      <c r="B56" s="5" t="s">
        <v>715</v>
      </c>
      <c r="C56" s="5">
        <v>26</v>
      </c>
      <c r="E56" s="5">
        <v>49</v>
      </c>
      <c r="F56" s="6" t="str">
        <f t="array" ref="F56">IF(ROWS(F$8:F56)&gt;$G$5,"",INDEX(B$5:B$936,SMALL(IF(ISNUMBER(MATCH($B$5:$B$936,$I$6:$I$21,0)),ROW($B$5:$B$936)-ROW($B$5)+1),ROWS(F$8:F56))))</f>
        <v>Idalia  Osullivan</v>
      </c>
      <c r="G56" s="6">
        <f t="array" ref="G56">IF(ROWS(G$8:G56)&gt;$G$5,"",INDEX(C$5:C$936,SMALL(IF(ISNUMBER(MATCH($B$5:$B$936,$I$6:$I$21,0)),ROW($B$5:$B$936)-ROW($B$5)+1),ROWS(G$8:G56))))</f>
        <v>45</v>
      </c>
      <c r="K56" s="5">
        <v>49</v>
      </c>
      <c r="L56" s="6" t="str">
        <f>IF(ROWS(F$8:F56)&gt;$G$5,"",INDEX(B$5:B$936,_xlfn.AGGREGATE(15,6,(ROW($B$5:$B$936)-ROW($B$5)+1)/ISNUMBER(MATCH($B$5:$B$936,$I$6:$I$21,0)),ROWS(F$8:F56))))</f>
        <v>Idalia  Osullivan</v>
      </c>
      <c r="M56" s="6">
        <f>IF(ROWS(G$8:G56)&gt;$G$5,"",INDEX(C$5:C$936,_xlfn.AGGREGATE(15,6,(ROW($B$5:$B$936)-ROW($B$5)+1)/ISNUMBER(MATCH($B$5:$B$936,$I$6:$I$21,0)),ROWS(G$8:G56))))</f>
        <v>45</v>
      </c>
      <c r="AD56" s="5" t="s">
        <v>702</v>
      </c>
    </row>
    <row r="57" spans="1:30" x14ac:dyDescent="0.25">
      <c r="A57" s="19">
        <v>41811</v>
      </c>
      <c r="B57" s="5" t="s">
        <v>729</v>
      </c>
      <c r="C57" s="5">
        <v>49</v>
      </c>
      <c r="E57" s="5">
        <v>50</v>
      </c>
      <c r="F57" s="6" t="str">
        <f t="array" ref="F57">IF(ROWS(F$8:F57)&gt;$G$5,"",INDEX(B$5:B$936,SMALL(IF(ISNUMBER(MATCH($B$5:$B$936,$I$6:$I$21,0)),ROW($B$5:$B$936)-ROW($B$5)+1),ROWS(F$8:F57))))</f>
        <v>Allena  Swenson</v>
      </c>
      <c r="G57" s="6">
        <f t="array" ref="G57">IF(ROWS(G$8:G57)&gt;$G$5,"",INDEX(C$5:C$936,SMALL(IF(ISNUMBER(MATCH($B$5:$B$936,$I$6:$I$21,0)),ROW($B$5:$B$936)-ROW($B$5)+1),ROWS(G$8:G57))))</f>
        <v>37</v>
      </c>
      <c r="K57" s="5">
        <v>50</v>
      </c>
      <c r="L57" s="6" t="str">
        <f>IF(ROWS(F$8:F57)&gt;$G$5,"",INDEX(B$5:B$936,_xlfn.AGGREGATE(15,6,(ROW($B$5:$B$936)-ROW($B$5)+1)/ISNUMBER(MATCH($B$5:$B$936,$I$6:$I$21,0)),ROWS(F$8:F57))))</f>
        <v>Allena  Swenson</v>
      </c>
      <c r="M57" s="6">
        <f>IF(ROWS(G$8:G57)&gt;$G$5,"",INDEX(C$5:C$936,_xlfn.AGGREGATE(15,6,(ROW($B$5:$B$936)-ROW($B$5)+1)/ISNUMBER(MATCH($B$5:$B$936,$I$6:$I$21,0)),ROWS(G$8:G57))))</f>
        <v>37</v>
      </c>
      <c r="AD57" s="5" t="s">
        <v>703</v>
      </c>
    </row>
    <row r="58" spans="1:30" x14ac:dyDescent="0.25">
      <c r="A58" s="19">
        <v>41922</v>
      </c>
      <c r="B58" s="5" t="s">
        <v>741</v>
      </c>
      <c r="C58" s="5">
        <v>45</v>
      </c>
      <c r="E58" s="5">
        <v>51</v>
      </c>
      <c r="F58" s="6" t="str">
        <f t="array" ref="F58">IF(ROWS(F$8:F58)&gt;$G$5,"",INDEX(B$5:B$936,SMALL(IF(ISNUMBER(MATCH($B$5:$B$936,$I$6:$I$21,0)),ROW($B$5:$B$936)-ROW($B$5)+1),ROWS(F$8:F58))))</f>
        <v>Pansy  Sam</v>
      </c>
      <c r="G58" s="6">
        <f t="array" ref="G58">IF(ROWS(G$8:G58)&gt;$G$5,"",INDEX(C$5:C$936,SMALL(IF(ISNUMBER(MATCH($B$5:$B$936,$I$6:$I$21,0)),ROW($B$5:$B$936)-ROW($B$5)+1),ROWS(G$8:G58))))</f>
        <v>2</v>
      </c>
      <c r="K58" s="5">
        <v>51</v>
      </c>
      <c r="L58" s="6" t="str">
        <f>IF(ROWS(F$8:F58)&gt;$G$5,"",INDEX(B$5:B$936,_xlfn.AGGREGATE(15,6,(ROW($B$5:$B$936)-ROW($B$5)+1)/ISNUMBER(MATCH($B$5:$B$936,$I$6:$I$21,0)),ROWS(F$8:F58))))</f>
        <v>Pansy  Sam</v>
      </c>
      <c r="M58" s="6">
        <f>IF(ROWS(G$8:G58)&gt;$G$5,"",INDEX(C$5:C$936,_xlfn.AGGREGATE(15,6,(ROW($B$5:$B$936)-ROW($B$5)+1)/ISNUMBER(MATCH($B$5:$B$936,$I$6:$I$21,0)),ROWS(G$8:G58))))</f>
        <v>2</v>
      </c>
      <c r="AD58" s="5" t="s">
        <v>704</v>
      </c>
    </row>
    <row r="59" spans="1:30" x14ac:dyDescent="0.25">
      <c r="A59" s="19">
        <v>41984</v>
      </c>
      <c r="B59" s="5" t="s">
        <v>739</v>
      </c>
      <c r="C59" s="5">
        <v>9</v>
      </c>
      <c r="E59" s="5">
        <v>52</v>
      </c>
      <c r="F59" s="6" t="str">
        <f t="array" ref="F59">IF(ROWS(F$8:F59)&gt;$G$5,"",INDEX(B$5:B$936,SMALL(IF(ISNUMBER(MATCH($B$5:$B$936,$I$6:$I$21,0)),ROW($B$5:$B$936)-ROW($B$5)+1),ROWS(F$8:F59))))</f>
        <v>Rhett  Seymore</v>
      </c>
      <c r="G59" s="6">
        <f t="array" ref="G59">IF(ROWS(G$8:G59)&gt;$G$5,"",INDEX(C$5:C$936,SMALL(IF(ISNUMBER(MATCH($B$5:$B$936,$I$6:$I$21,0)),ROW($B$5:$B$936)-ROW($B$5)+1),ROWS(G$8:G59))))</f>
        <v>30</v>
      </c>
      <c r="K59" s="5">
        <v>52</v>
      </c>
      <c r="L59" s="6" t="str">
        <f>IF(ROWS(F$8:F59)&gt;$G$5,"",INDEX(B$5:B$936,_xlfn.AGGREGATE(15,6,(ROW($B$5:$B$936)-ROW($B$5)+1)/ISNUMBER(MATCH($B$5:$B$936,$I$6:$I$21,0)),ROWS(F$8:F59))))</f>
        <v>Rhett  Seymore</v>
      </c>
      <c r="M59" s="6">
        <f>IF(ROWS(G$8:G59)&gt;$G$5,"",INDEX(C$5:C$936,_xlfn.AGGREGATE(15,6,(ROW($B$5:$B$936)-ROW($B$5)+1)/ISNUMBER(MATCH($B$5:$B$936,$I$6:$I$21,0)),ROWS(G$8:G59))))</f>
        <v>30</v>
      </c>
      <c r="AD59" s="5" t="s">
        <v>705</v>
      </c>
    </row>
    <row r="60" spans="1:30" x14ac:dyDescent="0.25">
      <c r="A60" s="19">
        <v>41843</v>
      </c>
      <c r="B60" s="5" t="s">
        <v>715</v>
      </c>
      <c r="C60" s="5">
        <v>39</v>
      </c>
      <c r="E60" s="5">
        <v>53</v>
      </c>
      <c r="F60" s="6" t="str">
        <f t="array" ref="F60">IF(ROWS(F$8:F60)&gt;$G$5,"",INDEX(B$5:B$936,SMALL(IF(ISNUMBER(MATCH($B$5:$B$936,$I$6:$I$21,0)),ROW($B$5:$B$936)-ROW($B$5)+1),ROWS(F$8:F60))))</f>
        <v>Marcelle  Raley</v>
      </c>
      <c r="G60" s="6">
        <f t="array" ref="G60">IF(ROWS(G$8:G60)&gt;$G$5,"",INDEX(C$5:C$936,SMALL(IF(ISNUMBER(MATCH($B$5:$B$936,$I$6:$I$21,0)),ROW($B$5:$B$936)-ROW($B$5)+1),ROWS(G$8:G60))))</f>
        <v>21</v>
      </c>
      <c r="K60" s="5">
        <v>53</v>
      </c>
      <c r="L60" s="6" t="str">
        <f>IF(ROWS(F$8:F60)&gt;$G$5,"",INDEX(B$5:B$936,_xlfn.AGGREGATE(15,6,(ROW($B$5:$B$936)-ROW($B$5)+1)/ISNUMBER(MATCH($B$5:$B$936,$I$6:$I$21,0)),ROWS(F$8:F60))))</f>
        <v>Marcelle  Raley</v>
      </c>
      <c r="M60" s="6">
        <f>IF(ROWS(G$8:G60)&gt;$G$5,"",INDEX(C$5:C$936,_xlfn.AGGREGATE(15,6,(ROW($B$5:$B$936)-ROW($B$5)+1)/ISNUMBER(MATCH($B$5:$B$936,$I$6:$I$21,0)),ROWS(G$8:G60))))</f>
        <v>21</v>
      </c>
      <c r="AD60" s="5" t="s">
        <v>706</v>
      </c>
    </row>
    <row r="61" spans="1:30" x14ac:dyDescent="0.25">
      <c r="A61" s="19">
        <v>41923</v>
      </c>
      <c r="B61" s="5" t="s">
        <v>701</v>
      </c>
      <c r="C61" s="5">
        <v>12</v>
      </c>
      <c r="E61" s="5">
        <v>54</v>
      </c>
      <c r="F61" s="6" t="str">
        <f t="array" ref="F61">IF(ROWS(F$8:F61)&gt;$G$5,"",INDEX(B$5:B$936,SMALL(IF(ISNUMBER(MATCH($B$5:$B$936,$I$6:$I$21,0)),ROW($B$5:$B$936)-ROW($B$5)+1),ROWS(F$8:F61))))</f>
        <v>Marcelle  Raley</v>
      </c>
      <c r="G61" s="6">
        <f t="array" ref="G61">IF(ROWS(G$8:G61)&gt;$G$5,"",INDEX(C$5:C$936,SMALL(IF(ISNUMBER(MATCH($B$5:$B$936,$I$6:$I$21,0)),ROW($B$5:$B$936)-ROW($B$5)+1),ROWS(G$8:G61))))</f>
        <v>17</v>
      </c>
      <c r="K61" s="5">
        <v>54</v>
      </c>
      <c r="L61" s="6" t="str">
        <f>IF(ROWS(F$8:F61)&gt;$G$5,"",INDEX(B$5:B$936,_xlfn.AGGREGATE(15,6,(ROW($B$5:$B$936)-ROW($B$5)+1)/ISNUMBER(MATCH($B$5:$B$936,$I$6:$I$21,0)),ROWS(F$8:F61))))</f>
        <v>Marcelle  Raley</v>
      </c>
      <c r="M61" s="6">
        <f>IF(ROWS(G$8:G61)&gt;$G$5,"",INDEX(C$5:C$936,_xlfn.AGGREGATE(15,6,(ROW($B$5:$B$936)-ROW($B$5)+1)/ISNUMBER(MATCH($B$5:$B$936,$I$6:$I$21,0)),ROWS(G$8:G61))))</f>
        <v>17</v>
      </c>
      <c r="AD61" s="5" t="s">
        <v>707</v>
      </c>
    </row>
    <row r="62" spans="1:30" x14ac:dyDescent="0.25">
      <c r="A62" s="19">
        <v>41994</v>
      </c>
      <c r="B62" s="5" t="s">
        <v>718</v>
      </c>
      <c r="C62" s="5">
        <v>14</v>
      </c>
      <c r="E62" s="5">
        <v>55</v>
      </c>
      <c r="F62" s="6" t="str">
        <f t="array" ref="F62">IF(ROWS(F$8:F62)&gt;$G$5,"",INDEX(B$5:B$936,SMALL(IF(ISNUMBER(MATCH($B$5:$B$936,$I$6:$I$21,0)),ROW($B$5:$B$936)-ROW($B$5)+1),ROWS(F$8:F62))))</f>
        <v>Rhett  Seymore</v>
      </c>
      <c r="G62" s="6">
        <f t="array" ref="G62">IF(ROWS(G$8:G62)&gt;$G$5,"",INDEX(C$5:C$936,SMALL(IF(ISNUMBER(MATCH($B$5:$B$936,$I$6:$I$21,0)),ROW($B$5:$B$936)-ROW($B$5)+1),ROWS(G$8:G62))))</f>
        <v>50</v>
      </c>
      <c r="K62" s="5">
        <v>55</v>
      </c>
      <c r="L62" s="6" t="str">
        <f>IF(ROWS(F$8:F62)&gt;$G$5,"",INDEX(B$5:B$936,_xlfn.AGGREGATE(15,6,(ROW($B$5:$B$936)-ROW($B$5)+1)/ISNUMBER(MATCH($B$5:$B$936,$I$6:$I$21,0)),ROWS(F$8:F62))))</f>
        <v>Rhett  Seymore</v>
      </c>
      <c r="M62" s="6">
        <f>IF(ROWS(G$8:G62)&gt;$G$5,"",INDEX(C$5:C$936,_xlfn.AGGREGATE(15,6,(ROW($B$5:$B$936)-ROW($B$5)+1)/ISNUMBER(MATCH($B$5:$B$936,$I$6:$I$21,0)),ROWS(G$8:G62))))</f>
        <v>50</v>
      </c>
      <c r="AD62" s="5" t="s">
        <v>708</v>
      </c>
    </row>
    <row r="63" spans="1:30" x14ac:dyDescent="0.25">
      <c r="A63" s="19">
        <v>41967</v>
      </c>
      <c r="B63" s="5" t="s">
        <v>678</v>
      </c>
      <c r="C63" s="5">
        <v>47</v>
      </c>
      <c r="E63" s="5">
        <v>56</v>
      </c>
      <c r="F63" s="6" t="str">
        <f t="array" ref="F63">IF(ROWS(F$8:F63)&gt;$G$5,"",INDEX(B$5:B$936,SMALL(IF(ISNUMBER(MATCH($B$5:$B$936,$I$6:$I$21,0)),ROW($B$5:$B$936)-ROW($B$5)+1),ROWS(F$8:F63))))</f>
        <v>Gail  Reaves</v>
      </c>
      <c r="G63" s="6">
        <f t="array" ref="G63">IF(ROWS(G$8:G63)&gt;$G$5,"",INDEX(C$5:C$936,SMALL(IF(ISNUMBER(MATCH($B$5:$B$936,$I$6:$I$21,0)),ROW($B$5:$B$936)-ROW($B$5)+1),ROWS(G$8:G63))))</f>
        <v>29</v>
      </c>
      <c r="K63" s="5">
        <v>56</v>
      </c>
      <c r="L63" s="6" t="str">
        <f>IF(ROWS(F$8:F63)&gt;$G$5,"",INDEX(B$5:B$936,_xlfn.AGGREGATE(15,6,(ROW($B$5:$B$936)-ROW($B$5)+1)/ISNUMBER(MATCH($B$5:$B$936,$I$6:$I$21,0)),ROWS(F$8:F63))))</f>
        <v>Gail  Reaves</v>
      </c>
      <c r="M63" s="6">
        <f>IF(ROWS(G$8:G63)&gt;$G$5,"",INDEX(C$5:C$936,_xlfn.AGGREGATE(15,6,(ROW($B$5:$B$936)-ROW($B$5)+1)/ISNUMBER(MATCH($B$5:$B$936,$I$6:$I$21,0)),ROWS(G$8:G63))))</f>
        <v>29</v>
      </c>
      <c r="AD63" s="5" t="s">
        <v>709</v>
      </c>
    </row>
    <row r="64" spans="1:30" x14ac:dyDescent="0.25">
      <c r="A64" s="19">
        <v>41927</v>
      </c>
      <c r="B64" s="5" t="s">
        <v>705</v>
      </c>
      <c r="C64" s="5">
        <v>25</v>
      </c>
      <c r="E64" s="5">
        <v>57</v>
      </c>
      <c r="F64" s="6" t="str">
        <f t="array" ref="F64">IF(ROWS(F$8:F64)&gt;$G$5,"",INDEX(B$5:B$936,SMALL(IF(ISNUMBER(MATCH($B$5:$B$936,$I$6:$I$21,0)),ROW($B$5:$B$936)-ROW($B$5)+1),ROWS(F$8:F64))))</f>
        <v>Jules  Horowitz</v>
      </c>
      <c r="G64" s="6">
        <f t="array" ref="G64">IF(ROWS(G$8:G64)&gt;$G$5,"",INDEX(C$5:C$936,SMALL(IF(ISNUMBER(MATCH($B$5:$B$936,$I$6:$I$21,0)),ROW($B$5:$B$936)-ROW($B$5)+1),ROWS(G$8:G64))))</f>
        <v>56</v>
      </c>
      <c r="K64" s="5">
        <v>57</v>
      </c>
      <c r="L64" s="6" t="str">
        <f>IF(ROWS(F$8:F64)&gt;$G$5,"",INDEX(B$5:B$936,_xlfn.AGGREGATE(15,6,(ROW($B$5:$B$936)-ROW($B$5)+1)/ISNUMBER(MATCH($B$5:$B$936,$I$6:$I$21,0)),ROWS(F$8:F64))))</f>
        <v>Jules  Horowitz</v>
      </c>
      <c r="M64" s="6">
        <f>IF(ROWS(G$8:G64)&gt;$G$5,"",INDEX(C$5:C$936,_xlfn.AGGREGATE(15,6,(ROW($B$5:$B$936)-ROW($B$5)+1)/ISNUMBER(MATCH($B$5:$B$936,$I$6:$I$21,0)),ROWS(G$8:G64))))</f>
        <v>56</v>
      </c>
      <c r="AD64" s="5" t="s">
        <v>710</v>
      </c>
    </row>
    <row r="65" spans="1:30" x14ac:dyDescent="0.25">
      <c r="A65" s="19">
        <v>41872</v>
      </c>
      <c r="B65" s="5" t="s">
        <v>645</v>
      </c>
      <c r="C65" s="5">
        <v>9</v>
      </c>
      <c r="E65" s="5">
        <v>58</v>
      </c>
      <c r="F65" s="6" t="str">
        <f t="array" ref="F65">IF(ROWS(F$8:F65)&gt;$G$5,"",INDEX(B$5:B$936,SMALL(IF(ISNUMBER(MATCH($B$5:$B$936,$I$6:$I$21,0)),ROW($B$5:$B$936)-ROW($B$5)+1),ROWS(F$8:F65))))</f>
        <v>Marlana  Huang</v>
      </c>
      <c r="G65" s="6">
        <f t="array" ref="G65">IF(ROWS(G$8:G65)&gt;$G$5,"",INDEX(C$5:C$936,SMALL(IF(ISNUMBER(MATCH($B$5:$B$936,$I$6:$I$21,0)),ROW($B$5:$B$936)-ROW($B$5)+1),ROWS(G$8:G65))))</f>
        <v>1</v>
      </c>
      <c r="K65" s="5">
        <v>58</v>
      </c>
      <c r="L65" s="6" t="str">
        <f>IF(ROWS(F$8:F65)&gt;$G$5,"",INDEX(B$5:B$936,_xlfn.AGGREGATE(15,6,(ROW($B$5:$B$936)-ROW($B$5)+1)/ISNUMBER(MATCH($B$5:$B$936,$I$6:$I$21,0)),ROWS(F$8:F65))))</f>
        <v>Marlana  Huang</v>
      </c>
      <c r="M65" s="6">
        <f>IF(ROWS(G$8:G65)&gt;$G$5,"",INDEX(C$5:C$936,_xlfn.AGGREGATE(15,6,(ROW($B$5:$B$936)-ROW($B$5)+1)/ISNUMBER(MATCH($B$5:$B$936,$I$6:$I$21,0)),ROWS(G$8:G65))))</f>
        <v>1</v>
      </c>
      <c r="AD65" s="5" t="s">
        <v>711</v>
      </c>
    </row>
    <row r="66" spans="1:30" x14ac:dyDescent="0.25">
      <c r="A66" s="19">
        <v>41938</v>
      </c>
      <c r="B66" s="5" t="s">
        <v>737</v>
      </c>
      <c r="C66" s="5">
        <v>1</v>
      </c>
      <c r="E66" s="5">
        <v>59</v>
      </c>
      <c r="F66" s="6" t="str">
        <f t="array" ref="F66">IF(ROWS(F$8:F66)&gt;$G$5,"",INDEX(B$5:B$936,SMALL(IF(ISNUMBER(MATCH($B$5:$B$936,$I$6:$I$21,0)),ROW($B$5:$B$936)-ROW($B$5)+1),ROWS(F$8:F66))))</f>
        <v>Franchesca  Novak</v>
      </c>
      <c r="G66" s="6">
        <f t="array" ref="G66">IF(ROWS(G$8:G66)&gt;$G$5,"",INDEX(C$5:C$936,SMALL(IF(ISNUMBER(MATCH($B$5:$B$936,$I$6:$I$21,0)),ROW($B$5:$B$936)-ROW($B$5)+1),ROWS(G$8:G66))))</f>
        <v>20</v>
      </c>
      <c r="K66" s="5">
        <v>59</v>
      </c>
      <c r="L66" s="6" t="str">
        <f>IF(ROWS(F$8:F66)&gt;$G$5,"",INDEX(B$5:B$936,_xlfn.AGGREGATE(15,6,(ROW($B$5:$B$936)-ROW($B$5)+1)/ISNUMBER(MATCH($B$5:$B$936,$I$6:$I$21,0)),ROWS(F$8:F66))))</f>
        <v>Franchesca  Novak</v>
      </c>
      <c r="M66" s="6">
        <f>IF(ROWS(G$8:G66)&gt;$G$5,"",INDEX(C$5:C$936,_xlfn.AGGREGATE(15,6,(ROW($B$5:$B$936)-ROW($B$5)+1)/ISNUMBER(MATCH($B$5:$B$936,$I$6:$I$21,0)),ROWS(G$8:G66))))</f>
        <v>20</v>
      </c>
      <c r="AD66" s="5" t="s">
        <v>712</v>
      </c>
    </row>
    <row r="67" spans="1:30" x14ac:dyDescent="0.25">
      <c r="A67" s="19">
        <v>41833</v>
      </c>
      <c r="B67" s="5" t="s">
        <v>725</v>
      </c>
      <c r="C67" s="5">
        <v>9</v>
      </c>
      <c r="E67" s="5">
        <v>60</v>
      </c>
      <c r="F67" s="6" t="str">
        <f t="array" ref="F67">IF(ROWS(F$8:F67)&gt;$G$5,"",INDEX(B$5:B$936,SMALL(IF(ISNUMBER(MATCH($B$5:$B$936,$I$6:$I$21,0)),ROW($B$5:$B$936)-ROW($B$5)+1),ROWS(F$8:F67))))</f>
        <v>Franchesca  Novak</v>
      </c>
      <c r="G67" s="6">
        <f t="array" ref="G67">IF(ROWS(G$8:G67)&gt;$G$5,"",INDEX(C$5:C$936,SMALL(IF(ISNUMBER(MATCH($B$5:$B$936,$I$6:$I$21,0)),ROW($B$5:$B$936)-ROW($B$5)+1),ROWS(G$8:G67))))</f>
        <v>60</v>
      </c>
      <c r="K67" s="5">
        <v>60</v>
      </c>
      <c r="L67" s="6" t="str">
        <f>IF(ROWS(F$8:F67)&gt;$G$5,"",INDEX(B$5:B$936,_xlfn.AGGREGATE(15,6,(ROW($B$5:$B$936)-ROW($B$5)+1)/ISNUMBER(MATCH($B$5:$B$936,$I$6:$I$21,0)),ROWS(F$8:F67))))</f>
        <v>Franchesca  Novak</v>
      </c>
      <c r="M67" s="6">
        <f>IF(ROWS(G$8:G67)&gt;$G$5,"",INDEX(C$5:C$936,_xlfn.AGGREGATE(15,6,(ROW($B$5:$B$936)-ROW($B$5)+1)/ISNUMBER(MATCH($B$5:$B$936,$I$6:$I$21,0)),ROWS(G$8:G67))))</f>
        <v>60</v>
      </c>
      <c r="AD67" s="5" t="s">
        <v>713</v>
      </c>
    </row>
    <row r="68" spans="1:30" x14ac:dyDescent="0.25">
      <c r="A68" s="19">
        <v>41886</v>
      </c>
      <c r="B68" s="5" t="s">
        <v>747</v>
      </c>
      <c r="C68" s="5">
        <v>56</v>
      </c>
      <c r="E68" s="5">
        <v>61</v>
      </c>
      <c r="F68" s="6" t="str">
        <f t="array" ref="F68">IF(ROWS(F$8:F68)&gt;$G$5,"",INDEX(B$5:B$936,SMALL(IF(ISNUMBER(MATCH($B$5:$B$936,$I$6:$I$21,0)),ROW($B$5:$B$936)-ROW($B$5)+1),ROWS(F$8:F68))))</f>
        <v>Pansy  Sam</v>
      </c>
      <c r="G68" s="6">
        <f t="array" ref="G68">IF(ROWS(G$8:G68)&gt;$G$5,"",INDEX(C$5:C$936,SMALL(IF(ISNUMBER(MATCH($B$5:$B$936,$I$6:$I$21,0)),ROW($B$5:$B$936)-ROW($B$5)+1),ROWS(G$8:G68))))</f>
        <v>65</v>
      </c>
      <c r="K68" s="5">
        <v>61</v>
      </c>
      <c r="L68" s="6" t="str">
        <f>IF(ROWS(F$8:F68)&gt;$G$5,"",INDEX(B$5:B$936,_xlfn.AGGREGATE(15,6,(ROW($B$5:$B$936)-ROW($B$5)+1)/ISNUMBER(MATCH($B$5:$B$936,$I$6:$I$21,0)),ROWS(F$8:F68))))</f>
        <v>Pansy  Sam</v>
      </c>
      <c r="M68" s="6">
        <f>IF(ROWS(G$8:G68)&gt;$G$5,"",INDEX(C$5:C$936,_xlfn.AGGREGATE(15,6,(ROW($B$5:$B$936)-ROW($B$5)+1)/ISNUMBER(MATCH($B$5:$B$936,$I$6:$I$21,0)),ROWS(G$8:G68))))</f>
        <v>65</v>
      </c>
      <c r="AD68" s="5" t="s">
        <v>714</v>
      </c>
    </row>
    <row r="69" spans="1:30" x14ac:dyDescent="0.25">
      <c r="A69" s="19">
        <v>41981</v>
      </c>
      <c r="B69" s="5" t="s">
        <v>732</v>
      </c>
      <c r="C69" s="5">
        <v>29</v>
      </c>
      <c r="E69" s="5">
        <v>62</v>
      </c>
      <c r="F69" s="6" t="str">
        <f t="array" ref="F69">IF(ROWS(F$8:F69)&gt;$G$5,"",INDEX(B$5:B$936,SMALL(IF(ISNUMBER(MATCH($B$5:$B$936,$I$6:$I$21,0)),ROW($B$5:$B$936)-ROW($B$5)+1),ROWS(F$8:F69))))</f>
        <v>Lupe  Donovan</v>
      </c>
      <c r="G69" s="6">
        <f t="array" ref="G69">IF(ROWS(G$8:G69)&gt;$G$5,"",INDEX(C$5:C$936,SMALL(IF(ISNUMBER(MATCH($B$5:$B$936,$I$6:$I$21,0)),ROW($B$5:$B$936)-ROW($B$5)+1),ROWS(G$8:G69))))</f>
        <v>42</v>
      </c>
      <c r="K69" s="5">
        <v>62</v>
      </c>
      <c r="L69" s="6" t="str">
        <f>IF(ROWS(F$8:F69)&gt;$G$5,"",INDEX(B$5:B$936,_xlfn.AGGREGATE(15,6,(ROW($B$5:$B$936)-ROW($B$5)+1)/ISNUMBER(MATCH($B$5:$B$936,$I$6:$I$21,0)),ROWS(F$8:F69))))</f>
        <v>Lupe  Donovan</v>
      </c>
      <c r="M69" s="6">
        <f>IF(ROWS(G$8:G69)&gt;$G$5,"",INDEX(C$5:C$936,_xlfn.AGGREGATE(15,6,(ROW($B$5:$B$936)-ROW($B$5)+1)/ISNUMBER(MATCH($B$5:$B$936,$I$6:$I$21,0)),ROWS(G$8:G69))))</f>
        <v>42</v>
      </c>
      <c r="AD69" s="5" t="s">
        <v>715</v>
      </c>
    </row>
    <row r="70" spans="1:30" x14ac:dyDescent="0.25">
      <c r="A70" s="19">
        <v>41802</v>
      </c>
      <c r="B70" s="5" t="s">
        <v>701</v>
      </c>
      <c r="C70" s="5">
        <v>43</v>
      </c>
      <c r="E70" s="5">
        <v>63</v>
      </c>
      <c r="F70" s="6" t="str">
        <f t="array" ref="F70">IF(ROWS(F$8:F70)&gt;$G$5,"",INDEX(B$5:B$936,SMALL(IF(ISNUMBER(MATCH($B$5:$B$936,$I$6:$I$21,0)),ROW($B$5:$B$936)-ROW($B$5)+1),ROWS(F$8:F70))))</f>
        <v>Eulalia  Clement</v>
      </c>
      <c r="G70" s="6">
        <f t="array" ref="G70">IF(ROWS(G$8:G70)&gt;$G$5,"",INDEX(C$5:C$936,SMALL(IF(ISNUMBER(MATCH($B$5:$B$936,$I$6:$I$21,0)),ROW($B$5:$B$936)-ROW($B$5)+1),ROWS(G$8:G70))))</f>
        <v>65</v>
      </c>
      <c r="K70" s="5">
        <v>63</v>
      </c>
      <c r="L70" s="6" t="str">
        <f>IF(ROWS(F$8:F70)&gt;$G$5,"",INDEX(B$5:B$936,_xlfn.AGGREGATE(15,6,(ROW($B$5:$B$936)-ROW($B$5)+1)/ISNUMBER(MATCH($B$5:$B$936,$I$6:$I$21,0)),ROWS(F$8:F70))))</f>
        <v>Eulalia  Clement</v>
      </c>
      <c r="M70" s="6">
        <f>IF(ROWS(G$8:G70)&gt;$G$5,"",INDEX(C$5:C$936,_xlfn.AGGREGATE(15,6,(ROW($B$5:$B$936)-ROW($B$5)+1)/ISNUMBER(MATCH($B$5:$B$936,$I$6:$I$21,0)),ROWS(G$8:G70))))</f>
        <v>65</v>
      </c>
      <c r="AD70" s="5" t="s">
        <v>716</v>
      </c>
    </row>
    <row r="71" spans="1:30" x14ac:dyDescent="0.25">
      <c r="A71" s="19">
        <v>41976</v>
      </c>
      <c r="B71" s="5" t="s">
        <v>735</v>
      </c>
      <c r="C71" s="5">
        <v>20</v>
      </c>
      <c r="E71" s="5">
        <v>64</v>
      </c>
      <c r="F71" s="6" t="str">
        <f t="array" ref="F71">IF(ROWS(F$8:F71)&gt;$G$5,"",INDEX(B$5:B$936,SMALL(IF(ISNUMBER(MATCH($B$5:$B$936,$I$6:$I$21,0)),ROW($B$5:$B$936)-ROW($B$5)+1),ROWS(F$8:F71))))</f>
        <v>Marlana  Huang</v>
      </c>
      <c r="G71" s="6">
        <f t="array" ref="G71">IF(ROWS(G$8:G71)&gt;$G$5,"",INDEX(C$5:C$936,SMALL(IF(ISNUMBER(MATCH($B$5:$B$936,$I$6:$I$21,0)),ROW($B$5:$B$936)-ROW($B$5)+1),ROWS(G$8:G71))))</f>
        <v>2</v>
      </c>
      <c r="K71" s="5">
        <v>64</v>
      </c>
      <c r="L71" s="6" t="str">
        <f>IF(ROWS(F$8:F71)&gt;$G$5,"",INDEX(B$5:B$936,_xlfn.AGGREGATE(15,6,(ROW($B$5:$B$936)-ROW($B$5)+1)/ISNUMBER(MATCH($B$5:$B$936,$I$6:$I$21,0)),ROWS(F$8:F71))))</f>
        <v>Marlana  Huang</v>
      </c>
      <c r="M71" s="6">
        <f>IF(ROWS(G$8:G71)&gt;$G$5,"",INDEX(C$5:C$936,_xlfn.AGGREGATE(15,6,(ROW($B$5:$B$936)-ROW($B$5)+1)/ISNUMBER(MATCH($B$5:$B$936,$I$6:$I$21,0)),ROWS(G$8:G71))))</f>
        <v>2</v>
      </c>
      <c r="AD71" s="5" t="s">
        <v>717</v>
      </c>
    </row>
    <row r="72" spans="1:30" x14ac:dyDescent="0.25">
      <c r="A72" s="19">
        <v>41935</v>
      </c>
      <c r="B72" s="5" t="s">
        <v>673</v>
      </c>
      <c r="C72" s="5">
        <v>2</v>
      </c>
      <c r="E72" s="5">
        <v>65</v>
      </c>
      <c r="F72" s="6" t="str">
        <f t="array" ref="F72">IF(ROWS(F$8:F72)&gt;$G$5,"",INDEX(B$5:B$936,SMALL(IF(ISNUMBER(MATCH($B$5:$B$936,$I$6:$I$21,0)),ROW($B$5:$B$936)-ROW($B$5)+1),ROWS(F$8:F72))))</f>
        <v>Rhett  Seymore</v>
      </c>
      <c r="G72" s="6">
        <f t="array" ref="G72">IF(ROWS(G$8:G72)&gt;$G$5,"",INDEX(C$5:C$936,SMALL(IF(ISNUMBER(MATCH($B$5:$B$936,$I$6:$I$21,0)),ROW($B$5:$B$936)-ROW($B$5)+1),ROWS(G$8:G72))))</f>
        <v>42</v>
      </c>
      <c r="K72" s="5">
        <v>65</v>
      </c>
      <c r="L72" s="6" t="str">
        <f>IF(ROWS(F$8:F72)&gt;$G$5,"",INDEX(B$5:B$936,_xlfn.AGGREGATE(15,6,(ROW($B$5:$B$936)-ROW($B$5)+1)/ISNUMBER(MATCH($B$5:$B$936,$I$6:$I$21,0)),ROWS(F$8:F72))))</f>
        <v>Rhett  Seymore</v>
      </c>
      <c r="M72" s="6">
        <f>IF(ROWS(G$8:G72)&gt;$G$5,"",INDEX(C$5:C$936,_xlfn.AGGREGATE(15,6,(ROW($B$5:$B$936)-ROW($B$5)+1)/ISNUMBER(MATCH($B$5:$B$936,$I$6:$I$21,0)),ROWS(G$8:G72))))</f>
        <v>42</v>
      </c>
      <c r="AD72" s="5" t="s">
        <v>718</v>
      </c>
    </row>
    <row r="73" spans="1:30" x14ac:dyDescent="0.25">
      <c r="A73" s="19">
        <v>41814</v>
      </c>
      <c r="B73" s="5" t="s">
        <v>674</v>
      </c>
      <c r="C73" s="5">
        <v>13</v>
      </c>
      <c r="E73" s="5">
        <v>66</v>
      </c>
      <c r="F73" s="6" t="str">
        <f t="array" ref="F73">IF(ROWS(F$8:F73)&gt;$G$5,"",INDEX(B$5:B$936,SMALL(IF(ISNUMBER(MATCH($B$5:$B$936,$I$6:$I$21,0)),ROW($B$5:$B$936)-ROW($B$5)+1),ROWS(F$8:F73))))</f>
        <v>Idalia  Osullivan</v>
      </c>
      <c r="G73" s="6">
        <f t="array" ref="G73">IF(ROWS(G$8:G73)&gt;$G$5,"",INDEX(C$5:C$936,SMALL(IF(ISNUMBER(MATCH($B$5:$B$936,$I$6:$I$21,0)),ROW($B$5:$B$936)-ROW($B$5)+1),ROWS(G$8:G73))))</f>
        <v>27</v>
      </c>
      <c r="K73" s="5">
        <v>66</v>
      </c>
      <c r="L73" s="6" t="str">
        <f>IF(ROWS(F$8:F73)&gt;$G$5,"",INDEX(B$5:B$936,_xlfn.AGGREGATE(15,6,(ROW($B$5:$B$936)-ROW($B$5)+1)/ISNUMBER(MATCH($B$5:$B$936,$I$6:$I$21,0)),ROWS(F$8:F73))))</f>
        <v>Idalia  Osullivan</v>
      </c>
      <c r="M73" s="6">
        <f>IF(ROWS(G$8:G73)&gt;$G$5,"",INDEX(C$5:C$936,_xlfn.AGGREGATE(15,6,(ROW($B$5:$B$936)-ROW($B$5)+1)/ISNUMBER(MATCH($B$5:$B$936,$I$6:$I$21,0)),ROWS(G$8:G73))))</f>
        <v>27</v>
      </c>
      <c r="AD73" s="5" t="s">
        <v>719</v>
      </c>
    </row>
    <row r="74" spans="1:30" x14ac:dyDescent="0.25">
      <c r="A74" s="19">
        <v>41966</v>
      </c>
      <c r="B74" s="5" t="s">
        <v>744</v>
      </c>
      <c r="C74" s="5">
        <v>18</v>
      </c>
      <c r="E74" s="5">
        <v>67</v>
      </c>
      <c r="F74" s="6" t="str">
        <f t="array" ref="F74">IF(ROWS(F$8:F74)&gt;$G$5,"",INDEX(B$5:B$936,SMALL(IF(ISNUMBER(MATCH($B$5:$B$936,$I$6:$I$21,0)),ROW($B$5:$B$936)-ROW($B$5)+1),ROWS(F$8:F74))))</f>
        <v>Alyse  Hopson</v>
      </c>
      <c r="G74" s="6">
        <f t="array" ref="G74">IF(ROWS(G$8:G74)&gt;$G$5,"",INDEX(C$5:C$936,SMALL(IF(ISNUMBER(MATCH($B$5:$B$936,$I$6:$I$21,0)),ROW($B$5:$B$936)-ROW($B$5)+1),ROWS(G$8:G74))))</f>
        <v>7</v>
      </c>
      <c r="K74" s="5">
        <v>67</v>
      </c>
      <c r="L74" s="6" t="str">
        <f>IF(ROWS(F$8:F74)&gt;$G$5,"",INDEX(B$5:B$936,_xlfn.AGGREGATE(15,6,(ROW($B$5:$B$936)-ROW($B$5)+1)/ISNUMBER(MATCH($B$5:$B$936,$I$6:$I$21,0)),ROWS(F$8:F74))))</f>
        <v>Alyse  Hopson</v>
      </c>
      <c r="M74" s="6">
        <f>IF(ROWS(G$8:G74)&gt;$G$5,"",INDEX(C$5:C$936,_xlfn.AGGREGATE(15,6,(ROW($B$5:$B$936)-ROW($B$5)+1)/ISNUMBER(MATCH($B$5:$B$936,$I$6:$I$21,0)),ROWS(G$8:G74))))</f>
        <v>7</v>
      </c>
      <c r="AD74" s="5" t="s">
        <v>720</v>
      </c>
    </row>
    <row r="75" spans="1:30" x14ac:dyDescent="0.25">
      <c r="A75" s="19">
        <v>41900</v>
      </c>
      <c r="B75" s="5" t="s">
        <v>718</v>
      </c>
      <c r="C75" s="5">
        <v>0</v>
      </c>
      <c r="E75" s="5">
        <v>68</v>
      </c>
      <c r="F75" s="6" t="str">
        <f t="array" ref="F75">IF(ROWS(F$8:F75)&gt;$G$5,"",INDEX(B$5:B$936,SMALL(IF(ISNUMBER(MATCH($B$5:$B$936,$I$6:$I$21,0)),ROW($B$5:$B$936)-ROW($B$5)+1),ROWS(F$8:F75))))</f>
        <v>Alyse  Hopson</v>
      </c>
      <c r="G75" s="6">
        <f t="array" ref="G75">IF(ROWS(G$8:G75)&gt;$G$5,"",INDEX(C$5:C$936,SMALL(IF(ISNUMBER(MATCH($B$5:$B$936,$I$6:$I$21,0)),ROW($B$5:$B$936)-ROW($B$5)+1),ROWS(G$8:G75))))</f>
        <v>10</v>
      </c>
      <c r="K75" s="5">
        <v>68</v>
      </c>
      <c r="L75" s="6" t="str">
        <f>IF(ROWS(F$8:F75)&gt;$G$5,"",INDEX(B$5:B$936,_xlfn.AGGREGATE(15,6,(ROW($B$5:$B$936)-ROW($B$5)+1)/ISNUMBER(MATCH($B$5:$B$936,$I$6:$I$21,0)),ROWS(F$8:F75))))</f>
        <v>Alyse  Hopson</v>
      </c>
      <c r="M75" s="6">
        <f>IF(ROWS(G$8:G75)&gt;$G$5,"",INDEX(C$5:C$936,_xlfn.AGGREGATE(15,6,(ROW($B$5:$B$936)-ROW($B$5)+1)/ISNUMBER(MATCH($B$5:$B$936,$I$6:$I$21,0)),ROWS(G$8:G75))))</f>
        <v>10</v>
      </c>
      <c r="AD75" s="5" t="s">
        <v>721</v>
      </c>
    </row>
    <row r="76" spans="1:30" x14ac:dyDescent="0.25">
      <c r="A76" s="19">
        <v>41890</v>
      </c>
      <c r="B76" s="5" t="s">
        <v>684</v>
      </c>
      <c r="C76" s="5">
        <v>4</v>
      </c>
      <c r="E76" s="5">
        <v>69</v>
      </c>
      <c r="F76" s="6" t="str">
        <f t="array" ref="F76">IF(ROWS(F$8:F76)&gt;$G$5,"",INDEX(B$5:B$936,SMALL(IF(ISNUMBER(MATCH($B$5:$B$936,$I$6:$I$21,0)),ROW($B$5:$B$936)-ROW($B$5)+1),ROWS(F$8:F76))))</f>
        <v>Pansy  Sam</v>
      </c>
      <c r="G76" s="6">
        <f t="array" ref="G76">IF(ROWS(G$8:G76)&gt;$G$5,"",INDEX(C$5:C$936,SMALL(IF(ISNUMBER(MATCH($B$5:$B$936,$I$6:$I$21,0)),ROW($B$5:$B$936)-ROW($B$5)+1),ROWS(G$8:G76))))</f>
        <v>66</v>
      </c>
      <c r="K76" s="5">
        <v>69</v>
      </c>
      <c r="L76" s="6" t="str">
        <f>IF(ROWS(F$8:F76)&gt;$G$5,"",INDEX(B$5:B$936,_xlfn.AGGREGATE(15,6,(ROW($B$5:$B$936)-ROW($B$5)+1)/ISNUMBER(MATCH($B$5:$B$936,$I$6:$I$21,0)),ROWS(F$8:F76))))</f>
        <v>Pansy  Sam</v>
      </c>
      <c r="M76" s="6">
        <f>IF(ROWS(G$8:G76)&gt;$G$5,"",INDEX(C$5:C$936,_xlfn.AGGREGATE(15,6,(ROW($B$5:$B$936)-ROW($B$5)+1)/ISNUMBER(MATCH($B$5:$B$936,$I$6:$I$21,0)),ROWS(G$8:G76))))</f>
        <v>66</v>
      </c>
      <c r="AD76" s="5" t="s">
        <v>722</v>
      </c>
    </row>
    <row r="77" spans="1:30" x14ac:dyDescent="0.25">
      <c r="A77" s="19">
        <v>41944</v>
      </c>
      <c r="B77" s="5" t="s">
        <v>746</v>
      </c>
      <c r="C77" s="5">
        <v>72</v>
      </c>
      <c r="E77" s="5">
        <v>70</v>
      </c>
      <c r="F77" s="6" t="str">
        <f t="array" ref="F77">IF(ROWS(F$8:F77)&gt;$G$5,"",INDEX(B$5:B$936,SMALL(IF(ISNUMBER(MATCH($B$5:$B$936,$I$6:$I$21,0)),ROW($B$5:$B$936)-ROW($B$5)+1),ROWS(F$8:F77))))</f>
        <v>Franchesca  Novak</v>
      </c>
      <c r="G77" s="6">
        <f t="array" ref="G77">IF(ROWS(G$8:G77)&gt;$G$5,"",INDEX(C$5:C$936,SMALL(IF(ISNUMBER(MATCH($B$5:$B$936,$I$6:$I$21,0)),ROW($B$5:$B$936)-ROW($B$5)+1),ROWS(G$8:G77))))</f>
        <v>13</v>
      </c>
      <c r="K77" s="5">
        <v>70</v>
      </c>
      <c r="L77" s="6" t="str">
        <f>IF(ROWS(F$8:F77)&gt;$G$5,"",INDEX(B$5:B$936,_xlfn.AGGREGATE(15,6,(ROW($B$5:$B$936)-ROW($B$5)+1)/ISNUMBER(MATCH($B$5:$B$936,$I$6:$I$21,0)),ROWS(F$8:F77))))</f>
        <v>Franchesca  Novak</v>
      </c>
      <c r="M77" s="6">
        <f>IF(ROWS(G$8:G77)&gt;$G$5,"",INDEX(C$5:C$936,_xlfn.AGGREGATE(15,6,(ROW($B$5:$B$936)-ROW($B$5)+1)/ISNUMBER(MATCH($B$5:$B$936,$I$6:$I$21,0)),ROWS(G$8:G77))))</f>
        <v>13</v>
      </c>
      <c r="AD77" s="5" t="s">
        <v>723</v>
      </c>
    </row>
    <row r="78" spans="1:30" x14ac:dyDescent="0.25">
      <c r="A78" s="19">
        <v>41896</v>
      </c>
      <c r="B78" s="5" t="s">
        <v>716</v>
      </c>
      <c r="C78" s="5">
        <v>28</v>
      </c>
      <c r="E78" s="5">
        <v>71</v>
      </c>
      <c r="F78" s="6" t="str">
        <f t="array" ref="F78">IF(ROWS(F$8:F78)&gt;$G$5,"",INDEX(B$5:B$936,SMALL(IF(ISNUMBER(MATCH($B$5:$B$936,$I$6:$I$21,0)),ROW($B$5:$B$936)-ROW($B$5)+1),ROWS(F$8:F78))))</f>
        <v>Stormy  Haight</v>
      </c>
      <c r="G78" s="6">
        <f t="array" ref="G78">IF(ROWS(G$8:G78)&gt;$G$5,"",INDEX(C$5:C$936,SMALL(IF(ISNUMBER(MATCH($B$5:$B$936,$I$6:$I$21,0)),ROW($B$5:$B$936)-ROW($B$5)+1),ROWS(G$8:G78))))</f>
        <v>52</v>
      </c>
      <c r="K78" s="5">
        <v>71</v>
      </c>
      <c r="L78" s="6" t="str">
        <f>IF(ROWS(F$8:F78)&gt;$G$5,"",INDEX(B$5:B$936,_xlfn.AGGREGATE(15,6,(ROW($B$5:$B$936)-ROW($B$5)+1)/ISNUMBER(MATCH($B$5:$B$936,$I$6:$I$21,0)),ROWS(F$8:F78))))</f>
        <v>Stormy  Haight</v>
      </c>
      <c r="M78" s="6">
        <f>IF(ROWS(G$8:G78)&gt;$G$5,"",INDEX(C$5:C$936,_xlfn.AGGREGATE(15,6,(ROW($B$5:$B$936)-ROW($B$5)+1)/ISNUMBER(MATCH($B$5:$B$936,$I$6:$I$21,0)),ROWS(G$8:G78))))</f>
        <v>52</v>
      </c>
      <c r="AD78" s="5" t="s">
        <v>724</v>
      </c>
    </row>
    <row r="79" spans="1:30" x14ac:dyDescent="0.25">
      <c r="A79" s="19">
        <v>41904</v>
      </c>
      <c r="B79" s="5" t="s">
        <v>659</v>
      </c>
      <c r="C79" s="5">
        <v>19</v>
      </c>
      <c r="E79" s="5">
        <v>72</v>
      </c>
      <c r="F79" s="6" t="str">
        <f t="array" ref="F79">IF(ROWS(F$8:F79)&gt;$G$5,"",INDEX(B$5:B$936,SMALL(IF(ISNUMBER(MATCH($B$5:$B$936,$I$6:$I$21,0)),ROW($B$5:$B$936)-ROW($B$5)+1),ROWS(F$8:F79))))</f>
        <v>Ivelisse  Goins</v>
      </c>
      <c r="G79" s="6">
        <f t="array" ref="G79">IF(ROWS(G$8:G79)&gt;$G$5,"",INDEX(C$5:C$936,SMALL(IF(ISNUMBER(MATCH($B$5:$B$936,$I$6:$I$21,0)),ROW($B$5:$B$936)-ROW($B$5)+1),ROWS(G$8:G79))))</f>
        <v>43</v>
      </c>
      <c r="K79" s="5">
        <v>72</v>
      </c>
      <c r="L79" s="6" t="str">
        <f>IF(ROWS(F$8:F79)&gt;$G$5,"",INDEX(B$5:B$936,_xlfn.AGGREGATE(15,6,(ROW($B$5:$B$936)-ROW($B$5)+1)/ISNUMBER(MATCH($B$5:$B$936,$I$6:$I$21,0)),ROWS(F$8:F79))))</f>
        <v>Ivelisse  Goins</v>
      </c>
      <c r="M79" s="6">
        <f>IF(ROWS(G$8:G79)&gt;$G$5,"",INDEX(C$5:C$936,_xlfn.AGGREGATE(15,6,(ROW($B$5:$B$936)-ROW($B$5)+1)/ISNUMBER(MATCH($B$5:$B$936,$I$6:$I$21,0)),ROWS(G$8:G79))))</f>
        <v>43</v>
      </c>
      <c r="AD79" s="5" t="s">
        <v>725</v>
      </c>
    </row>
    <row r="80" spans="1:30" x14ac:dyDescent="0.25">
      <c r="A80" s="19">
        <v>41885</v>
      </c>
      <c r="B80" s="5" t="s">
        <v>732</v>
      </c>
      <c r="C80" s="5">
        <v>4</v>
      </c>
      <c r="E80" s="5">
        <v>73</v>
      </c>
      <c r="F80" s="6" t="str">
        <f t="array" ref="F80">IF(ROWS(F$8:F80)&gt;$G$5,"",INDEX(B$5:B$936,SMALL(IF(ISNUMBER(MATCH($B$5:$B$936,$I$6:$I$21,0)),ROW($B$5:$B$936)-ROW($B$5)+1),ROWS(F$8:F80))))</f>
        <v>Alyse  Hopson</v>
      </c>
      <c r="G80" s="6">
        <f t="array" ref="G80">IF(ROWS(G$8:G80)&gt;$G$5,"",INDEX(C$5:C$936,SMALL(IF(ISNUMBER(MATCH($B$5:$B$936,$I$6:$I$21,0)),ROW($B$5:$B$936)-ROW($B$5)+1),ROWS(G$8:G80))))</f>
        <v>54</v>
      </c>
      <c r="K80" s="5">
        <v>73</v>
      </c>
      <c r="L80" s="6" t="str">
        <f>IF(ROWS(F$8:F80)&gt;$G$5,"",INDEX(B$5:B$936,_xlfn.AGGREGATE(15,6,(ROW($B$5:$B$936)-ROW($B$5)+1)/ISNUMBER(MATCH($B$5:$B$936,$I$6:$I$21,0)),ROWS(F$8:F80))))</f>
        <v>Alyse  Hopson</v>
      </c>
      <c r="M80" s="6">
        <f>IF(ROWS(G$8:G80)&gt;$G$5,"",INDEX(C$5:C$936,_xlfn.AGGREGATE(15,6,(ROW($B$5:$B$936)-ROW($B$5)+1)/ISNUMBER(MATCH($B$5:$B$936,$I$6:$I$21,0)),ROWS(G$8:G80))))</f>
        <v>54</v>
      </c>
      <c r="AD80" s="5" t="s">
        <v>726</v>
      </c>
    </row>
    <row r="81" spans="1:30" x14ac:dyDescent="0.25">
      <c r="A81" s="19">
        <v>41897</v>
      </c>
      <c r="B81" s="5" t="s">
        <v>683</v>
      </c>
      <c r="C81" s="5">
        <v>39</v>
      </c>
      <c r="E81" s="5">
        <v>74</v>
      </c>
      <c r="F81" s="6" t="str">
        <f t="array" ref="F81">IF(ROWS(F$8:F81)&gt;$G$5,"",INDEX(B$5:B$936,SMALL(IF(ISNUMBER(MATCH($B$5:$B$936,$I$6:$I$21,0)),ROW($B$5:$B$936)-ROW($B$5)+1),ROWS(F$8:F81))))</f>
        <v>Lupe  Donovan</v>
      </c>
      <c r="G81" s="6">
        <f t="array" ref="G81">IF(ROWS(G$8:G81)&gt;$G$5,"",INDEX(C$5:C$936,SMALL(IF(ISNUMBER(MATCH($B$5:$B$936,$I$6:$I$21,0)),ROW($B$5:$B$936)-ROW($B$5)+1),ROWS(G$8:G81))))</f>
        <v>25</v>
      </c>
      <c r="K81" s="5">
        <v>74</v>
      </c>
      <c r="L81" s="6" t="str">
        <f>IF(ROWS(F$8:F81)&gt;$G$5,"",INDEX(B$5:B$936,_xlfn.AGGREGATE(15,6,(ROW($B$5:$B$936)-ROW($B$5)+1)/ISNUMBER(MATCH($B$5:$B$936,$I$6:$I$21,0)),ROWS(F$8:F81))))</f>
        <v>Lupe  Donovan</v>
      </c>
      <c r="M81" s="6">
        <f>IF(ROWS(G$8:G81)&gt;$G$5,"",INDEX(C$5:C$936,_xlfn.AGGREGATE(15,6,(ROW($B$5:$B$936)-ROW($B$5)+1)/ISNUMBER(MATCH($B$5:$B$936,$I$6:$I$21,0)),ROWS(G$8:G81))))</f>
        <v>25</v>
      </c>
      <c r="AD81" s="5" t="s">
        <v>727</v>
      </c>
    </row>
    <row r="82" spans="1:30" x14ac:dyDescent="0.25">
      <c r="A82" s="19">
        <v>42000</v>
      </c>
      <c r="B82" s="5" t="s">
        <v>745</v>
      </c>
      <c r="C82" s="5">
        <v>4</v>
      </c>
      <c r="E82" s="5">
        <v>75</v>
      </c>
      <c r="F82" s="6" t="str">
        <f t="array" ref="F82">IF(ROWS(F$8:F82)&gt;$G$5,"",INDEX(B$5:B$936,SMALL(IF(ISNUMBER(MATCH($B$5:$B$936,$I$6:$I$21,0)),ROW($B$5:$B$936)-ROW($B$5)+1),ROWS(F$8:F82))))</f>
        <v>Ivelisse  Goins</v>
      </c>
      <c r="G82" s="6">
        <f t="array" ref="G82">IF(ROWS(G$8:G82)&gt;$G$5,"",INDEX(C$5:C$936,SMALL(IF(ISNUMBER(MATCH($B$5:$B$936,$I$6:$I$21,0)),ROW($B$5:$B$936)-ROW($B$5)+1),ROWS(G$8:G82))))</f>
        <v>58</v>
      </c>
      <c r="K82" s="5">
        <v>75</v>
      </c>
      <c r="L82" s="6" t="str">
        <f>IF(ROWS(F$8:F82)&gt;$G$5,"",INDEX(B$5:B$936,_xlfn.AGGREGATE(15,6,(ROW($B$5:$B$936)-ROW($B$5)+1)/ISNUMBER(MATCH($B$5:$B$936,$I$6:$I$21,0)),ROWS(F$8:F82))))</f>
        <v>Ivelisse  Goins</v>
      </c>
      <c r="M82" s="6">
        <f>IF(ROWS(G$8:G82)&gt;$G$5,"",INDEX(C$5:C$936,_xlfn.AGGREGATE(15,6,(ROW($B$5:$B$936)-ROW($B$5)+1)/ISNUMBER(MATCH($B$5:$B$936,$I$6:$I$21,0)),ROWS(G$8:G82))))</f>
        <v>58</v>
      </c>
      <c r="AD82" s="5" t="s">
        <v>728</v>
      </c>
    </row>
    <row r="83" spans="1:30" x14ac:dyDescent="0.25">
      <c r="A83" s="19">
        <v>41978</v>
      </c>
      <c r="B83" s="5" t="s">
        <v>701</v>
      </c>
      <c r="C83" s="5">
        <v>28</v>
      </c>
      <c r="E83" s="5">
        <v>76</v>
      </c>
      <c r="F83" s="6" t="str">
        <f t="array" ref="F83">IF(ROWS(F$8:F83)&gt;$G$5,"",INDEX(B$5:B$936,SMALL(IF(ISNUMBER(MATCH($B$5:$B$936,$I$6:$I$21,0)),ROW($B$5:$B$936)-ROW($B$5)+1),ROWS(F$8:F83))))</f>
        <v>Jules  Horowitz</v>
      </c>
      <c r="G83" s="6">
        <f t="array" ref="G83">IF(ROWS(G$8:G83)&gt;$G$5,"",INDEX(C$5:C$936,SMALL(IF(ISNUMBER(MATCH($B$5:$B$936,$I$6:$I$21,0)),ROW($B$5:$B$936)-ROW($B$5)+1),ROWS(G$8:G83))))</f>
        <v>60</v>
      </c>
      <c r="K83" s="5">
        <v>76</v>
      </c>
      <c r="L83" s="6" t="str">
        <f>IF(ROWS(F$8:F83)&gt;$G$5,"",INDEX(B$5:B$936,_xlfn.AGGREGATE(15,6,(ROW($B$5:$B$936)-ROW($B$5)+1)/ISNUMBER(MATCH($B$5:$B$936,$I$6:$I$21,0)),ROWS(F$8:F83))))</f>
        <v>Jules  Horowitz</v>
      </c>
      <c r="M83" s="6">
        <f>IF(ROWS(G$8:G83)&gt;$G$5,"",INDEX(C$5:C$936,_xlfn.AGGREGATE(15,6,(ROW($B$5:$B$936)-ROW($B$5)+1)/ISNUMBER(MATCH($B$5:$B$936,$I$6:$I$21,0)),ROWS(G$8:G83))))</f>
        <v>60</v>
      </c>
      <c r="AD83" s="5" t="s">
        <v>729</v>
      </c>
    </row>
    <row r="84" spans="1:30" x14ac:dyDescent="0.25">
      <c r="A84" s="19">
        <v>41946</v>
      </c>
      <c r="B84" s="5" t="s">
        <v>712</v>
      </c>
      <c r="C84" s="5">
        <v>62</v>
      </c>
      <c r="E84" s="5">
        <v>77</v>
      </c>
      <c r="F84" s="6" t="str">
        <f t="array" ref="F84">IF(ROWS(F$8:F84)&gt;$G$5,"",INDEX(B$5:B$936,SMALL(IF(ISNUMBER(MATCH($B$5:$B$936,$I$6:$I$21,0)),ROW($B$5:$B$936)-ROW($B$5)+1),ROWS(F$8:F84))))</f>
        <v>Shandra  Rife</v>
      </c>
      <c r="G84" s="6">
        <f t="array" ref="G84">IF(ROWS(G$8:G84)&gt;$G$5,"",INDEX(C$5:C$936,SMALL(IF(ISNUMBER(MATCH($B$5:$B$936,$I$6:$I$21,0)),ROW($B$5:$B$936)-ROW($B$5)+1),ROWS(G$8:G84))))</f>
        <v>1</v>
      </c>
      <c r="K84" s="5">
        <v>77</v>
      </c>
      <c r="L84" s="6" t="str">
        <f>IF(ROWS(F$8:F84)&gt;$G$5,"",INDEX(B$5:B$936,_xlfn.AGGREGATE(15,6,(ROW($B$5:$B$936)-ROW($B$5)+1)/ISNUMBER(MATCH($B$5:$B$936,$I$6:$I$21,0)),ROWS(F$8:F84))))</f>
        <v>Shandra  Rife</v>
      </c>
      <c r="M84" s="6">
        <f>IF(ROWS(G$8:G84)&gt;$G$5,"",INDEX(C$5:C$936,_xlfn.AGGREGATE(15,6,(ROW($B$5:$B$936)-ROW($B$5)+1)/ISNUMBER(MATCH($B$5:$B$936,$I$6:$I$21,0)),ROWS(G$8:G84))))</f>
        <v>1</v>
      </c>
      <c r="AD84" s="5" t="s">
        <v>730</v>
      </c>
    </row>
    <row r="85" spans="1:30" x14ac:dyDescent="0.25">
      <c r="A85" s="19">
        <v>41889</v>
      </c>
      <c r="B85" s="5" t="s">
        <v>741</v>
      </c>
      <c r="C85" s="5">
        <v>43</v>
      </c>
      <c r="E85" s="5">
        <v>78</v>
      </c>
      <c r="F85" s="6" t="str">
        <f t="array" ref="F85">IF(ROWS(F$8:F85)&gt;$G$5,"",INDEX(B$5:B$936,SMALL(IF(ISNUMBER(MATCH($B$5:$B$936,$I$6:$I$21,0)),ROW($B$5:$B$936)-ROW($B$5)+1),ROWS(F$8:F85))))</f>
        <v>Rhett  Seymore</v>
      </c>
      <c r="G85" s="6">
        <f t="array" ref="G85">IF(ROWS(G$8:G85)&gt;$G$5,"",INDEX(C$5:C$936,SMALL(IF(ISNUMBER(MATCH($B$5:$B$936,$I$6:$I$21,0)),ROW($B$5:$B$936)-ROW($B$5)+1),ROWS(G$8:G85))))</f>
        <v>33</v>
      </c>
      <c r="K85" s="5">
        <v>78</v>
      </c>
      <c r="L85" s="6" t="str">
        <f>IF(ROWS(F$8:F85)&gt;$G$5,"",INDEX(B$5:B$936,_xlfn.AGGREGATE(15,6,(ROW($B$5:$B$936)-ROW($B$5)+1)/ISNUMBER(MATCH($B$5:$B$936,$I$6:$I$21,0)),ROWS(F$8:F85))))</f>
        <v>Rhett  Seymore</v>
      </c>
      <c r="M85" s="6">
        <f>IF(ROWS(G$8:G85)&gt;$G$5,"",INDEX(C$5:C$936,_xlfn.AGGREGATE(15,6,(ROW($B$5:$B$936)-ROW($B$5)+1)/ISNUMBER(MATCH($B$5:$B$936,$I$6:$I$21,0)),ROWS(G$8:G85))))</f>
        <v>33</v>
      </c>
      <c r="AD85" s="5" t="s">
        <v>731</v>
      </c>
    </row>
    <row r="86" spans="1:30" x14ac:dyDescent="0.25">
      <c r="A86" s="19">
        <v>41941</v>
      </c>
      <c r="B86" s="5" t="s">
        <v>656</v>
      </c>
      <c r="C86" s="5">
        <v>42</v>
      </c>
      <c r="E86" s="5">
        <v>79</v>
      </c>
      <c r="F86" s="6" t="str">
        <f t="array" ref="F86">IF(ROWS(F$8:F86)&gt;$G$5,"",INDEX(B$5:B$936,SMALL(IF(ISNUMBER(MATCH($B$5:$B$936,$I$6:$I$21,0)),ROW($B$5:$B$936)-ROW($B$5)+1),ROWS(F$8:F86))))</f>
        <v>Stormy  Haight</v>
      </c>
      <c r="G86" s="6">
        <f t="array" ref="G86">IF(ROWS(G$8:G86)&gt;$G$5,"",INDEX(C$5:C$936,SMALL(IF(ISNUMBER(MATCH($B$5:$B$936,$I$6:$I$21,0)),ROW($B$5:$B$936)-ROW($B$5)+1),ROWS(G$8:G86))))</f>
        <v>64</v>
      </c>
      <c r="K86" s="5">
        <v>79</v>
      </c>
      <c r="L86" s="6" t="str">
        <f>IF(ROWS(F$8:F86)&gt;$G$5,"",INDEX(B$5:B$936,_xlfn.AGGREGATE(15,6,(ROW($B$5:$B$936)-ROW($B$5)+1)/ISNUMBER(MATCH($B$5:$B$936,$I$6:$I$21,0)),ROWS(F$8:F86))))</f>
        <v>Stormy  Haight</v>
      </c>
      <c r="M86" s="6">
        <f>IF(ROWS(G$8:G86)&gt;$G$5,"",INDEX(C$5:C$936,_xlfn.AGGREGATE(15,6,(ROW($B$5:$B$936)-ROW($B$5)+1)/ISNUMBER(MATCH($B$5:$B$936,$I$6:$I$21,0)),ROWS(G$8:G86))))</f>
        <v>64</v>
      </c>
      <c r="AD86" s="5" t="s">
        <v>732</v>
      </c>
    </row>
    <row r="87" spans="1:30" x14ac:dyDescent="0.25">
      <c r="A87" s="19">
        <v>41939</v>
      </c>
      <c r="B87" s="5" t="s">
        <v>739</v>
      </c>
      <c r="C87" s="5">
        <v>45</v>
      </c>
      <c r="E87" s="5">
        <v>80</v>
      </c>
      <c r="F87" s="6" t="str">
        <f t="array" ref="F87">IF(ROWS(F$8:F87)&gt;$G$5,"",INDEX(B$5:B$936,SMALL(IF(ISNUMBER(MATCH($B$5:$B$936,$I$6:$I$21,0)),ROW($B$5:$B$936)-ROW($B$5)+1),ROWS(F$8:F87))))</f>
        <v>Idalia  Osullivan</v>
      </c>
      <c r="G87" s="6">
        <f t="array" ref="G87">IF(ROWS(G$8:G87)&gt;$G$5,"",INDEX(C$5:C$936,SMALL(IF(ISNUMBER(MATCH($B$5:$B$936,$I$6:$I$21,0)),ROW($B$5:$B$936)-ROW($B$5)+1),ROWS(G$8:G87))))</f>
        <v>32</v>
      </c>
      <c r="K87" s="5">
        <v>80</v>
      </c>
      <c r="L87" s="6" t="str">
        <f>IF(ROWS(F$8:F87)&gt;$G$5,"",INDEX(B$5:B$936,_xlfn.AGGREGATE(15,6,(ROW($B$5:$B$936)-ROW($B$5)+1)/ISNUMBER(MATCH($B$5:$B$936,$I$6:$I$21,0)),ROWS(F$8:F87))))</f>
        <v>Idalia  Osullivan</v>
      </c>
      <c r="M87" s="6">
        <f>IF(ROWS(G$8:G87)&gt;$G$5,"",INDEX(C$5:C$936,_xlfn.AGGREGATE(15,6,(ROW($B$5:$B$936)-ROW($B$5)+1)/ISNUMBER(MATCH($B$5:$B$936,$I$6:$I$21,0)),ROWS(G$8:G87))))</f>
        <v>32</v>
      </c>
      <c r="AD87" s="5" t="s">
        <v>733</v>
      </c>
    </row>
    <row r="88" spans="1:30" x14ac:dyDescent="0.25">
      <c r="A88" s="19">
        <v>41943</v>
      </c>
      <c r="B88" s="5" t="s">
        <v>742</v>
      </c>
      <c r="C88" s="5">
        <v>45</v>
      </c>
      <c r="E88" s="5">
        <v>81</v>
      </c>
      <c r="F88" s="6" t="str">
        <f t="array" ref="F88">IF(ROWS(F$8:F88)&gt;$G$5,"",INDEX(B$5:B$936,SMALL(IF(ISNUMBER(MATCH($B$5:$B$936,$I$6:$I$21,0)),ROW($B$5:$B$936)-ROW($B$5)+1),ROWS(F$8:F88))))</f>
        <v>Idalia  Osullivan</v>
      </c>
      <c r="G88" s="6">
        <f t="array" ref="G88">IF(ROWS(G$8:G88)&gt;$G$5,"",INDEX(C$5:C$936,SMALL(IF(ISNUMBER(MATCH($B$5:$B$936,$I$6:$I$21,0)),ROW($B$5:$B$936)-ROW($B$5)+1),ROWS(G$8:G88))))</f>
        <v>30</v>
      </c>
      <c r="K88" s="5">
        <v>81</v>
      </c>
      <c r="L88" s="6" t="str">
        <f>IF(ROWS(F$8:F88)&gt;$G$5,"",INDEX(B$5:B$936,_xlfn.AGGREGATE(15,6,(ROW($B$5:$B$936)-ROW($B$5)+1)/ISNUMBER(MATCH($B$5:$B$936,$I$6:$I$21,0)),ROWS(F$8:F88))))</f>
        <v>Idalia  Osullivan</v>
      </c>
      <c r="M88" s="6">
        <f>IF(ROWS(G$8:G88)&gt;$G$5,"",INDEX(C$5:C$936,_xlfn.AGGREGATE(15,6,(ROW($B$5:$B$936)-ROW($B$5)+1)/ISNUMBER(MATCH($B$5:$B$936,$I$6:$I$21,0)),ROWS(G$8:G88))))</f>
        <v>30</v>
      </c>
      <c r="AD88" s="5" t="s">
        <v>734</v>
      </c>
    </row>
    <row r="89" spans="1:30" x14ac:dyDescent="0.25">
      <c r="A89" s="19">
        <v>41994</v>
      </c>
      <c r="B89" s="5" t="s">
        <v>689</v>
      </c>
      <c r="C89" s="5">
        <v>20</v>
      </c>
      <c r="E89" s="5">
        <v>82</v>
      </c>
      <c r="F89" s="6" t="str">
        <f t="array" ref="F89">IF(ROWS(F$8:F89)&gt;$G$5,"",INDEX(B$5:B$936,SMALL(IF(ISNUMBER(MATCH($B$5:$B$936,$I$6:$I$21,0)),ROW($B$5:$B$936)-ROW($B$5)+1),ROWS(F$8:F89))))</f>
        <v>Franchesca  Novak</v>
      </c>
      <c r="G89" s="6">
        <f t="array" ref="G89">IF(ROWS(G$8:G89)&gt;$G$5,"",INDEX(C$5:C$936,SMALL(IF(ISNUMBER(MATCH($B$5:$B$936,$I$6:$I$21,0)),ROW($B$5:$B$936)-ROW($B$5)+1),ROWS(G$8:G89))))</f>
        <v>34</v>
      </c>
      <c r="K89" s="5">
        <v>82</v>
      </c>
      <c r="L89" s="6" t="str">
        <f>IF(ROWS(F$8:F89)&gt;$G$5,"",INDEX(B$5:B$936,_xlfn.AGGREGATE(15,6,(ROW($B$5:$B$936)-ROW($B$5)+1)/ISNUMBER(MATCH($B$5:$B$936,$I$6:$I$21,0)),ROWS(F$8:F89))))</f>
        <v>Franchesca  Novak</v>
      </c>
      <c r="M89" s="6">
        <f>IF(ROWS(G$8:G89)&gt;$G$5,"",INDEX(C$5:C$936,_xlfn.AGGREGATE(15,6,(ROW($B$5:$B$936)-ROW($B$5)+1)/ISNUMBER(MATCH($B$5:$B$936,$I$6:$I$21,0)),ROWS(G$8:G89))))</f>
        <v>34</v>
      </c>
      <c r="AD89" s="5" t="s">
        <v>735</v>
      </c>
    </row>
    <row r="90" spans="1:30" x14ac:dyDescent="0.25">
      <c r="A90" s="19">
        <v>41914</v>
      </c>
      <c r="B90" s="5" t="s">
        <v>689</v>
      </c>
      <c r="C90" s="5">
        <v>35</v>
      </c>
      <c r="E90" s="5">
        <v>83</v>
      </c>
      <c r="F90" s="6" t="str">
        <f t="array" ref="F90">IF(ROWS(F$8:F90)&gt;$G$5,"",INDEX(B$5:B$936,SMALL(IF(ISNUMBER(MATCH($B$5:$B$936,$I$6:$I$21,0)),ROW($B$5:$B$936)-ROW($B$5)+1),ROWS(F$8:F90))))</f>
        <v>Jeremy  Shea</v>
      </c>
      <c r="G90" s="6">
        <f t="array" ref="G90">IF(ROWS(G$8:G90)&gt;$G$5,"",INDEX(C$5:C$936,SMALL(IF(ISNUMBER(MATCH($B$5:$B$936,$I$6:$I$21,0)),ROW($B$5:$B$936)-ROW($B$5)+1),ROWS(G$8:G90))))</f>
        <v>57</v>
      </c>
      <c r="K90" s="5">
        <v>83</v>
      </c>
      <c r="L90" s="6" t="str">
        <f>IF(ROWS(F$8:F90)&gt;$G$5,"",INDEX(B$5:B$936,_xlfn.AGGREGATE(15,6,(ROW($B$5:$B$936)-ROW($B$5)+1)/ISNUMBER(MATCH($B$5:$B$936,$I$6:$I$21,0)),ROWS(F$8:F90))))</f>
        <v>Jeremy  Shea</v>
      </c>
      <c r="M90" s="6">
        <f>IF(ROWS(G$8:G90)&gt;$G$5,"",INDEX(C$5:C$936,_xlfn.AGGREGATE(15,6,(ROW($B$5:$B$936)-ROW($B$5)+1)/ISNUMBER(MATCH($B$5:$B$936,$I$6:$I$21,0)),ROWS(G$8:G90))))</f>
        <v>57</v>
      </c>
      <c r="AD90" s="5" t="s">
        <v>736</v>
      </c>
    </row>
    <row r="91" spans="1:30" x14ac:dyDescent="0.25">
      <c r="A91" s="19">
        <v>41990</v>
      </c>
      <c r="B91" s="5" t="s">
        <v>739</v>
      </c>
      <c r="C91" s="5">
        <v>9</v>
      </c>
      <c r="E91" s="5">
        <v>84</v>
      </c>
      <c r="F91" s="6" t="str">
        <f t="array" ref="F91">IF(ROWS(F$8:F91)&gt;$G$5,"",INDEX(B$5:B$936,SMALL(IF(ISNUMBER(MATCH($B$5:$B$936,$I$6:$I$21,0)),ROW($B$5:$B$936)-ROW($B$5)+1),ROWS(F$8:F91))))</f>
        <v>Shandra  Rife</v>
      </c>
      <c r="G91" s="6">
        <f t="array" ref="G91">IF(ROWS(G$8:G91)&gt;$G$5,"",INDEX(C$5:C$936,SMALL(IF(ISNUMBER(MATCH($B$5:$B$936,$I$6:$I$21,0)),ROW($B$5:$B$936)-ROW($B$5)+1),ROWS(G$8:G91))))</f>
        <v>55</v>
      </c>
      <c r="K91" s="5">
        <v>84</v>
      </c>
      <c r="L91" s="6" t="str">
        <f>IF(ROWS(F$8:F91)&gt;$G$5,"",INDEX(B$5:B$936,_xlfn.AGGREGATE(15,6,(ROW($B$5:$B$936)-ROW($B$5)+1)/ISNUMBER(MATCH($B$5:$B$936,$I$6:$I$21,0)),ROWS(F$8:F91))))</f>
        <v>Shandra  Rife</v>
      </c>
      <c r="M91" s="6">
        <f>IF(ROWS(G$8:G91)&gt;$G$5,"",INDEX(C$5:C$936,_xlfn.AGGREGATE(15,6,(ROW($B$5:$B$936)-ROW($B$5)+1)/ISNUMBER(MATCH($B$5:$B$936,$I$6:$I$21,0)),ROWS(G$8:G91))))</f>
        <v>55</v>
      </c>
      <c r="AD91" s="5" t="s">
        <v>737</v>
      </c>
    </row>
    <row r="92" spans="1:30" x14ac:dyDescent="0.25">
      <c r="A92" s="19">
        <v>41970</v>
      </c>
      <c r="B92" s="5" t="s">
        <v>649</v>
      </c>
      <c r="C92" s="5">
        <v>12</v>
      </c>
      <c r="E92" s="5">
        <v>85</v>
      </c>
      <c r="F92" s="6" t="str">
        <f t="array" ref="F92">IF(ROWS(F$8:F92)&gt;$G$5,"",INDEX(B$5:B$936,SMALL(IF(ISNUMBER(MATCH($B$5:$B$936,$I$6:$I$21,0)),ROW($B$5:$B$936)-ROW($B$5)+1),ROWS(F$8:F92))))</f>
        <v>Shandra  Rife</v>
      </c>
      <c r="G92" s="6">
        <f t="array" ref="G92">IF(ROWS(G$8:G92)&gt;$G$5,"",INDEX(C$5:C$936,SMALL(IF(ISNUMBER(MATCH($B$5:$B$936,$I$6:$I$21,0)),ROW($B$5:$B$936)-ROW($B$5)+1),ROWS(G$8:G92))))</f>
        <v>31</v>
      </c>
      <c r="K92" s="5">
        <v>85</v>
      </c>
      <c r="L92" s="6" t="str">
        <f>IF(ROWS(F$8:F92)&gt;$G$5,"",INDEX(B$5:B$936,_xlfn.AGGREGATE(15,6,(ROW($B$5:$B$936)-ROW($B$5)+1)/ISNUMBER(MATCH($B$5:$B$936,$I$6:$I$21,0)),ROWS(F$8:F92))))</f>
        <v>Shandra  Rife</v>
      </c>
      <c r="M92" s="6">
        <f>IF(ROWS(G$8:G92)&gt;$G$5,"",INDEX(C$5:C$936,_xlfn.AGGREGATE(15,6,(ROW($B$5:$B$936)-ROW($B$5)+1)/ISNUMBER(MATCH($B$5:$B$936,$I$6:$I$21,0)),ROWS(G$8:G92))))</f>
        <v>31</v>
      </c>
      <c r="AD92" s="5" t="s">
        <v>738</v>
      </c>
    </row>
    <row r="93" spans="1:30" x14ac:dyDescent="0.25">
      <c r="A93" s="19">
        <v>41933</v>
      </c>
      <c r="B93" s="5" t="s">
        <v>658</v>
      </c>
      <c r="C93" s="5">
        <v>35</v>
      </c>
      <c r="E93" s="5">
        <v>86</v>
      </c>
      <c r="F93" s="6" t="str">
        <f t="array" ref="F93">IF(ROWS(F$8:F93)&gt;$G$5,"",INDEX(B$5:B$936,SMALL(IF(ISNUMBER(MATCH($B$5:$B$936,$I$6:$I$21,0)),ROW($B$5:$B$936)-ROW($B$5)+1),ROWS(F$8:F93))))</f>
        <v>Allena  Swenson</v>
      </c>
      <c r="G93" s="6">
        <f t="array" ref="G93">IF(ROWS(G$8:G93)&gt;$G$5,"",INDEX(C$5:C$936,SMALL(IF(ISNUMBER(MATCH($B$5:$B$936,$I$6:$I$21,0)),ROW($B$5:$B$936)-ROW($B$5)+1),ROWS(G$8:G93))))</f>
        <v>67</v>
      </c>
      <c r="K93" s="5">
        <v>86</v>
      </c>
      <c r="L93" s="6" t="str">
        <f>IF(ROWS(F$8:F93)&gt;$G$5,"",INDEX(B$5:B$936,_xlfn.AGGREGATE(15,6,(ROW($B$5:$B$936)-ROW($B$5)+1)/ISNUMBER(MATCH($B$5:$B$936,$I$6:$I$21,0)),ROWS(F$8:F93))))</f>
        <v>Allena  Swenson</v>
      </c>
      <c r="M93" s="6">
        <f>IF(ROWS(G$8:G93)&gt;$G$5,"",INDEX(C$5:C$936,_xlfn.AGGREGATE(15,6,(ROW($B$5:$B$936)-ROW($B$5)+1)/ISNUMBER(MATCH($B$5:$B$936,$I$6:$I$21,0)),ROWS(G$8:G93))))</f>
        <v>67</v>
      </c>
      <c r="AD93" s="5" t="s">
        <v>739</v>
      </c>
    </row>
    <row r="94" spans="1:30" x14ac:dyDescent="0.25">
      <c r="A94" s="19">
        <v>41892</v>
      </c>
      <c r="B94" s="5" t="s">
        <v>720</v>
      </c>
      <c r="C94" s="5">
        <v>61</v>
      </c>
      <c r="E94" s="5">
        <v>87</v>
      </c>
      <c r="F94" s="6" t="str">
        <f t="array" ref="F94">IF(ROWS(F$8:F94)&gt;$G$5,"",INDEX(B$5:B$936,SMALL(IF(ISNUMBER(MATCH($B$5:$B$936,$I$6:$I$21,0)),ROW($B$5:$B$936)-ROW($B$5)+1),ROWS(F$8:F94))))</f>
        <v>Shandra  Rife</v>
      </c>
      <c r="G94" s="6">
        <f t="array" ref="G94">IF(ROWS(G$8:G94)&gt;$G$5,"",INDEX(C$5:C$936,SMALL(IF(ISNUMBER(MATCH($B$5:$B$936,$I$6:$I$21,0)),ROW($B$5:$B$936)-ROW($B$5)+1),ROWS(G$8:G94))))</f>
        <v>43</v>
      </c>
      <c r="K94" s="5">
        <v>87</v>
      </c>
      <c r="L94" s="6" t="str">
        <f>IF(ROWS(F$8:F94)&gt;$G$5,"",INDEX(B$5:B$936,_xlfn.AGGREGATE(15,6,(ROW($B$5:$B$936)-ROW($B$5)+1)/ISNUMBER(MATCH($B$5:$B$936,$I$6:$I$21,0)),ROWS(F$8:F94))))</f>
        <v>Shandra  Rife</v>
      </c>
      <c r="M94" s="6">
        <f>IF(ROWS(G$8:G94)&gt;$G$5,"",INDEX(C$5:C$936,_xlfn.AGGREGATE(15,6,(ROW($B$5:$B$936)-ROW($B$5)+1)/ISNUMBER(MATCH($B$5:$B$936,$I$6:$I$21,0)),ROWS(G$8:G94))))</f>
        <v>43</v>
      </c>
      <c r="AD94" s="5" t="s">
        <v>740</v>
      </c>
    </row>
    <row r="95" spans="1:30" x14ac:dyDescent="0.25">
      <c r="A95" s="19">
        <v>41969</v>
      </c>
      <c r="B95" s="5" t="s">
        <v>654</v>
      </c>
      <c r="C95" s="5">
        <v>13</v>
      </c>
      <c r="E95" s="5">
        <v>88</v>
      </c>
      <c r="F95" s="6" t="str">
        <f t="array" ref="F95">IF(ROWS(F$8:F95)&gt;$G$5,"",INDEX(B$5:B$936,SMALL(IF(ISNUMBER(MATCH($B$5:$B$936,$I$6:$I$21,0)),ROW($B$5:$B$936)-ROW($B$5)+1),ROWS(F$8:F95))))</f>
        <v>Jeremy  Shea</v>
      </c>
      <c r="G95" s="6">
        <f t="array" ref="G95">IF(ROWS(G$8:G95)&gt;$G$5,"",INDEX(C$5:C$936,SMALL(IF(ISNUMBER(MATCH($B$5:$B$936,$I$6:$I$21,0)),ROW($B$5:$B$936)-ROW($B$5)+1),ROWS(G$8:G95))))</f>
        <v>25</v>
      </c>
      <c r="K95" s="5">
        <v>88</v>
      </c>
      <c r="L95" s="6" t="str">
        <f>IF(ROWS(F$8:F95)&gt;$G$5,"",INDEX(B$5:B$936,_xlfn.AGGREGATE(15,6,(ROW($B$5:$B$936)-ROW($B$5)+1)/ISNUMBER(MATCH($B$5:$B$936,$I$6:$I$21,0)),ROWS(F$8:F95))))</f>
        <v>Jeremy  Shea</v>
      </c>
      <c r="M95" s="6">
        <f>IF(ROWS(G$8:G95)&gt;$G$5,"",INDEX(C$5:C$936,_xlfn.AGGREGATE(15,6,(ROW($B$5:$B$936)-ROW($B$5)+1)/ISNUMBER(MATCH($B$5:$B$936,$I$6:$I$21,0)),ROWS(G$8:G95))))</f>
        <v>25</v>
      </c>
      <c r="AD95" s="5" t="s">
        <v>741</v>
      </c>
    </row>
    <row r="96" spans="1:30" x14ac:dyDescent="0.25">
      <c r="A96" s="19">
        <v>41835</v>
      </c>
      <c r="B96" s="5" t="s">
        <v>677</v>
      </c>
      <c r="C96" s="5">
        <v>29</v>
      </c>
      <c r="E96" s="5">
        <v>89</v>
      </c>
      <c r="F96" s="6" t="str">
        <f t="array" ref="F96">IF(ROWS(F$8:F96)&gt;$G$5,"",INDEX(B$5:B$936,SMALL(IF(ISNUMBER(MATCH($B$5:$B$936,$I$6:$I$21,0)),ROW($B$5:$B$936)-ROW($B$5)+1),ROWS(F$8:F96))))</f>
        <v>Gail  Reaves</v>
      </c>
      <c r="G96" s="6">
        <f t="array" ref="G96">IF(ROWS(G$8:G96)&gt;$G$5,"",INDEX(C$5:C$936,SMALL(IF(ISNUMBER(MATCH($B$5:$B$936,$I$6:$I$21,0)),ROW($B$5:$B$936)-ROW($B$5)+1),ROWS(G$8:G96))))</f>
        <v>62</v>
      </c>
      <c r="K96" s="5">
        <v>89</v>
      </c>
      <c r="L96" s="6" t="str">
        <f>IF(ROWS(F$8:F96)&gt;$G$5,"",INDEX(B$5:B$936,_xlfn.AGGREGATE(15,6,(ROW($B$5:$B$936)-ROW($B$5)+1)/ISNUMBER(MATCH($B$5:$B$936,$I$6:$I$21,0)),ROWS(F$8:F96))))</f>
        <v>Gail  Reaves</v>
      </c>
      <c r="M96" s="6">
        <f>IF(ROWS(G$8:G96)&gt;$G$5,"",INDEX(C$5:C$936,_xlfn.AGGREGATE(15,6,(ROW($B$5:$B$936)-ROW($B$5)+1)/ISNUMBER(MATCH($B$5:$B$936,$I$6:$I$21,0)),ROWS(G$8:G96))))</f>
        <v>62</v>
      </c>
      <c r="AD96" s="5" t="s">
        <v>742</v>
      </c>
    </row>
    <row r="97" spans="1:30" x14ac:dyDescent="0.25">
      <c r="A97" s="19">
        <v>41802</v>
      </c>
      <c r="B97" s="5" t="s">
        <v>739</v>
      </c>
      <c r="C97" s="5">
        <v>17</v>
      </c>
      <c r="E97" s="5">
        <v>90</v>
      </c>
      <c r="F97" s="6" t="str">
        <f t="array" ref="F97">IF(ROWS(F$8:F97)&gt;$G$5,"",INDEX(B$5:B$936,SMALL(IF(ISNUMBER(MATCH($B$5:$B$936,$I$6:$I$21,0)),ROW($B$5:$B$936)-ROW($B$5)+1),ROWS(F$8:F97))))</f>
        <v>Jules  Horowitz</v>
      </c>
      <c r="G97" s="6">
        <f t="array" ref="G97">IF(ROWS(G$8:G97)&gt;$G$5,"",INDEX(C$5:C$936,SMALL(IF(ISNUMBER(MATCH($B$5:$B$936,$I$6:$I$21,0)),ROW($B$5:$B$936)-ROW($B$5)+1),ROWS(G$8:G97))))</f>
        <v>10</v>
      </c>
      <c r="K97" s="5">
        <v>90</v>
      </c>
      <c r="L97" s="6" t="str">
        <f>IF(ROWS(F$8:F97)&gt;$G$5,"",INDEX(B$5:B$936,_xlfn.AGGREGATE(15,6,(ROW($B$5:$B$936)-ROW($B$5)+1)/ISNUMBER(MATCH($B$5:$B$936,$I$6:$I$21,0)),ROWS(F$8:F97))))</f>
        <v>Jules  Horowitz</v>
      </c>
      <c r="M97" s="6">
        <f>IF(ROWS(G$8:G97)&gt;$G$5,"",INDEX(C$5:C$936,_xlfn.AGGREGATE(15,6,(ROW($B$5:$B$936)-ROW($B$5)+1)/ISNUMBER(MATCH($B$5:$B$936,$I$6:$I$21,0)),ROWS(G$8:G97))))</f>
        <v>10</v>
      </c>
      <c r="AD97" s="5" t="s">
        <v>743</v>
      </c>
    </row>
    <row r="98" spans="1:30" x14ac:dyDescent="0.25">
      <c r="A98" s="19">
        <v>41881</v>
      </c>
      <c r="B98" s="5" t="s">
        <v>709</v>
      </c>
      <c r="C98" s="5">
        <v>22</v>
      </c>
      <c r="E98" s="5">
        <v>91</v>
      </c>
      <c r="F98" s="6" t="str">
        <f t="array" ref="F98">IF(ROWS(F$8:F98)&gt;$G$5,"",INDEX(B$5:B$936,SMALL(IF(ISNUMBER(MATCH($B$5:$B$936,$I$6:$I$21,0)),ROW($B$5:$B$936)-ROW($B$5)+1),ROWS(F$8:F98))))</f>
        <v>Rhett  Seymore</v>
      </c>
      <c r="G98" s="6">
        <f t="array" ref="G98">IF(ROWS(G$8:G98)&gt;$G$5,"",INDEX(C$5:C$936,SMALL(IF(ISNUMBER(MATCH($B$5:$B$936,$I$6:$I$21,0)),ROW($B$5:$B$936)-ROW($B$5)+1),ROWS(G$8:G98))))</f>
        <v>0</v>
      </c>
      <c r="K98" s="5">
        <v>91</v>
      </c>
      <c r="L98" s="6" t="str">
        <f>IF(ROWS(F$8:F98)&gt;$G$5,"",INDEX(B$5:B$936,_xlfn.AGGREGATE(15,6,(ROW($B$5:$B$936)-ROW($B$5)+1)/ISNUMBER(MATCH($B$5:$B$936,$I$6:$I$21,0)),ROWS(F$8:F98))))</f>
        <v>Rhett  Seymore</v>
      </c>
      <c r="M98" s="6">
        <f>IF(ROWS(G$8:G98)&gt;$G$5,"",INDEX(C$5:C$936,_xlfn.AGGREGATE(15,6,(ROW($B$5:$B$936)-ROW($B$5)+1)/ISNUMBER(MATCH($B$5:$B$936,$I$6:$I$21,0)),ROWS(G$8:G98))))</f>
        <v>0</v>
      </c>
      <c r="AD98" s="5" t="s">
        <v>744</v>
      </c>
    </row>
    <row r="99" spans="1:30" x14ac:dyDescent="0.25">
      <c r="A99" s="19">
        <v>41881</v>
      </c>
      <c r="B99" s="5" t="s">
        <v>656</v>
      </c>
      <c r="C99" s="5">
        <v>63</v>
      </c>
      <c r="E99" s="5">
        <v>92</v>
      </c>
      <c r="F99" s="6" t="str">
        <f t="array" ref="F99">IF(ROWS(F$8:F99)&gt;$G$5,"",INDEX(B$5:B$936,SMALL(IF(ISNUMBER(MATCH($B$5:$B$936,$I$6:$I$21,0)),ROW($B$5:$B$936)-ROW($B$5)+1),ROWS(F$8:F99))))</f>
        <v>Gail  Reaves</v>
      </c>
      <c r="G99" s="6">
        <f t="array" ref="G99">IF(ROWS(G$8:G99)&gt;$G$5,"",INDEX(C$5:C$936,SMALL(IF(ISNUMBER(MATCH($B$5:$B$936,$I$6:$I$21,0)),ROW($B$5:$B$936)-ROW($B$5)+1),ROWS(G$8:G99))))</f>
        <v>42</v>
      </c>
      <c r="K99" s="5">
        <v>92</v>
      </c>
      <c r="L99" s="6" t="str">
        <f>IF(ROWS(F$8:F99)&gt;$G$5,"",INDEX(B$5:B$936,_xlfn.AGGREGATE(15,6,(ROW($B$5:$B$936)-ROW($B$5)+1)/ISNUMBER(MATCH($B$5:$B$936,$I$6:$I$21,0)),ROWS(F$8:F99))))</f>
        <v>Gail  Reaves</v>
      </c>
      <c r="M99" s="6">
        <f>IF(ROWS(G$8:G99)&gt;$G$5,"",INDEX(C$5:C$936,_xlfn.AGGREGATE(15,6,(ROW($B$5:$B$936)-ROW($B$5)+1)/ISNUMBER(MATCH($B$5:$B$936,$I$6:$I$21,0)),ROWS(G$8:G99))))</f>
        <v>42</v>
      </c>
      <c r="AD99" s="5" t="s">
        <v>745</v>
      </c>
    </row>
    <row r="100" spans="1:30" x14ac:dyDescent="0.25">
      <c r="A100" s="19">
        <v>41932</v>
      </c>
      <c r="B100" s="5" t="s">
        <v>647</v>
      </c>
      <c r="C100" s="5">
        <v>24</v>
      </c>
      <c r="E100" s="5">
        <v>93</v>
      </c>
      <c r="F100" s="6" t="str">
        <f t="array" ref="F100">IF(ROWS(F$8:F100)&gt;$G$5,"",INDEX(B$5:B$936,SMALL(IF(ISNUMBER(MATCH($B$5:$B$936,$I$6:$I$21,0)),ROW($B$5:$B$936)-ROW($B$5)+1),ROWS(F$8:F100))))</f>
        <v>Stormy  Haight</v>
      </c>
      <c r="G100" s="6">
        <f t="array" ref="G100">IF(ROWS(G$8:G100)&gt;$G$5,"",INDEX(C$5:C$936,SMALL(IF(ISNUMBER(MATCH($B$5:$B$936,$I$6:$I$21,0)),ROW($B$5:$B$936)-ROW($B$5)+1),ROWS(G$8:G100))))</f>
        <v>47</v>
      </c>
      <c r="K100" s="5">
        <v>93</v>
      </c>
      <c r="L100" s="6" t="str">
        <f>IF(ROWS(F$8:F100)&gt;$G$5,"",INDEX(B$5:B$936,_xlfn.AGGREGATE(15,6,(ROW($B$5:$B$936)-ROW($B$5)+1)/ISNUMBER(MATCH($B$5:$B$936,$I$6:$I$21,0)),ROWS(F$8:F100))))</f>
        <v>Stormy  Haight</v>
      </c>
      <c r="M100" s="6">
        <f>IF(ROWS(G$8:G100)&gt;$G$5,"",INDEX(C$5:C$936,_xlfn.AGGREGATE(15,6,(ROW($B$5:$B$936)-ROW($B$5)+1)/ISNUMBER(MATCH($B$5:$B$936,$I$6:$I$21,0)),ROWS(G$8:G100))))</f>
        <v>47</v>
      </c>
      <c r="AD100" s="5" t="s">
        <v>746</v>
      </c>
    </row>
    <row r="101" spans="1:30" x14ac:dyDescent="0.25">
      <c r="A101" s="19">
        <v>41834</v>
      </c>
      <c r="B101" s="5" t="s">
        <v>733</v>
      </c>
      <c r="C101" s="5">
        <v>39</v>
      </c>
      <c r="E101" s="5">
        <v>94</v>
      </c>
      <c r="F101" s="6" t="str">
        <f t="array" ref="F101">IF(ROWS(F$8:F101)&gt;$G$5,"",INDEX(B$5:B$936,SMALL(IF(ISNUMBER(MATCH($B$5:$B$936,$I$6:$I$21,0)),ROW($B$5:$B$936)-ROW($B$5)+1),ROWS(F$8:F101))))</f>
        <v>Rhett  Seymore</v>
      </c>
      <c r="G101" s="6">
        <f t="array" ref="G101">IF(ROWS(G$8:G101)&gt;$G$5,"",INDEX(C$5:C$936,SMALL(IF(ISNUMBER(MATCH($B$5:$B$936,$I$6:$I$21,0)),ROW($B$5:$B$936)-ROW($B$5)+1),ROWS(G$8:G101))))</f>
        <v>62</v>
      </c>
      <c r="K101" s="5">
        <v>94</v>
      </c>
      <c r="L101" s="6" t="str">
        <f>IF(ROWS(F$8:F101)&gt;$G$5,"",INDEX(B$5:B$936,_xlfn.AGGREGATE(15,6,(ROW($B$5:$B$936)-ROW($B$5)+1)/ISNUMBER(MATCH($B$5:$B$936,$I$6:$I$21,0)),ROWS(F$8:F101))))</f>
        <v>Rhett  Seymore</v>
      </c>
      <c r="M101" s="6">
        <f>IF(ROWS(G$8:G101)&gt;$G$5,"",INDEX(C$5:C$936,_xlfn.AGGREGATE(15,6,(ROW($B$5:$B$936)-ROW($B$5)+1)/ISNUMBER(MATCH($B$5:$B$936,$I$6:$I$21,0)),ROWS(G$8:G101))))</f>
        <v>62</v>
      </c>
      <c r="AD101" s="5" t="s">
        <v>747</v>
      </c>
    </row>
    <row r="102" spans="1:30" x14ac:dyDescent="0.25">
      <c r="A102" s="19">
        <v>41938</v>
      </c>
      <c r="B102" s="5" t="s">
        <v>661</v>
      </c>
      <c r="C102" s="5">
        <v>23</v>
      </c>
      <c r="E102" s="5">
        <v>95</v>
      </c>
      <c r="F102" s="6" t="str">
        <f t="array" ref="F102">IF(ROWS(F$8:F102)&gt;$G$5,"",INDEX(B$5:B$936,SMALL(IF(ISNUMBER(MATCH($B$5:$B$936,$I$6:$I$21,0)),ROW($B$5:$B$936)-ROW($B$5)+1),ROWS(F$8:F102))))</f>
        <v>Jules  Horowitz</v>
      </c>
      <c r="G102" s="6">
        <f t="array" ref="G102">IF(ROWS(G$8:G102)&gt;$G$5,"",INDEX(C$5:C$936,SMALL(IF(ISNUMBER(MATCH($B$5:$B$936,$I$6:$I$21,0)),ROW($B$5:$B$936)-ROW($B$5)+1),ROWS(G$8:G102))))</f>
        <v>37</v>
      </c>
      <c r="K102" s="5">
        <v>95</v>
      </c>
      <c r="L102" s="6" t="str">
        <f>IF(ROWS(F$8:F102)&gt;$G$5,"",INDEX(B$5:B$936,_xlfn.AGGREGATE(15,6,(ROW($B$5:$B$936)-ROW($B$5)+1)/ISNUMBER(MATCH($B$5:$B$936,$I$6:$I$21,0)),ROWS(F$8:F102))))</f>
        <v>Jules  Horowitz</v>
      </c>
      <c r="M102" s="6">
        <f>IF(ROWS(G$8:G102)&gt;$G$5,"",INDEX(C$5:C$936,_xlfn.AGGREGATE(15,6,(ROW($B$5:$B$936)-ROW($B$5)+1)/ISNUMBER(MATCH($B$5:$B$936,$I$6:$I$21,0)),ROWS(G$8:G102))))</f>
        <v>37</v>
      </c>
      <c r="AD102" s="5" t="s">
        <v>748</v>
      </c>
    </row>
    <row r="103" spans="1:30" x14ac:dyDescent="0.25">
      <c r="A103" s="19">
        <v>41881</v>
      </c>
      <c r="B103" s="5" t="s">
        <v>737</v>
      </c>
      <c r="C103" s="5">
        <v>25</v>
      </c>
      <c r="E103" s="5">
        <v>96</v>
      </c>
      <c r="F103" s="6" t="str">
        <f t="array" ref="F103">IF(ROWS(F$8:F103)&gt;$G$5,"",INDEX(B$5:B$936,SMALL(IF(ISNUMBER(MATCH($B$5:$B$936,$I$6:$I$21,0)),ROW($B$5:$B$936)-ROW($B$5)+1),ROWS(F$8:F103))))</f>
        <v>Idalia  Osullivan</v>
      </c>
      <c r="G103" s="6">
        <f t="array" ref="G103">IF(ROWS(G$8:G103)&gt;$G$5,"",INDEX(C$5:C$936,SMALL(IF(ISNUMBER(MATCH($B$5:$B$936,$I$6:$I$21,0)),ROW($B$5:$B$936)-ROW($B$5)+1),ROWS(G$8:G103))))</f>
        <v>18</v>
      </c>
      <c r="K103" s="5">
        <v>96</v>
      </c>
      <c r="L103" s="6" t="str">
        <f>IF(ROWS(F$8:F103)&gt;$G$5,"",INDEX(B$5:B$936,_xlfn.AGGREGATE(15,6,(ROW($B$5:$B$936)-ROW($B$5)+1)/ISNUMBER(MATCH($B$5:$B$936,$I$6:$I$21,0)),ROWS(F$8:F103))))</f>
        <v>Idalia  Osullivan</v>
      </c>
      <c r="M103" s="6">
        <f>IF(ROWS(G$8:G103)&gt;$G$5,"",INDEX(C$5:C$936,_xlfn.AGGREGATE(15,6,(ROW($B$5:$B$936)-ROW($B$5)+1)/ISNUMBER(MATCH($B$5:$B$936,$I$6:$I$21,0)),ROWS(G$8:G103))))</f>
        <v>18</v>
      </c>
      <c r="AD103" s="5" t="s">
        <v>749</v>
      </c>
    </row>
    <row r="104" spans="1:30" x14ac:dyDescent="0.25">
      <c r="A104" s="19">
        <v>41825</v>
      </c>
      <c r="B104" s="5" t="s">
        <v>725</v>
      </c>
      <c r="C104" s="5">
        <v>56</v>
      </c>
      <c r="E104" s="5">
        <v>97</v>
      </c>
      <c r="F104" s="6" t="str">
        <f t="array" ref="F104">IF(ROWS(F$8:F104)&gt;$G$5,"",INDEX(B$5:B$936,SMALL(IF(ISNUMBER(MATCH($B$5:$B$936,$I$6:$I$21,0)),ROW($B$5:$B$936)-ROW($B$5)+1),ROWS(F$8:F104))))</f>
        <v>Lupe  Donovan</v>
      </c>
      <c r="G104" s="6">
        <f t="array" ref="G104">IF(ROWS(G$8:G104)&gt;$G$5,"",INDEX(C$5:C$936,SMALL(IF(ISNUMBER(MATCH($B$5:$B$936,$I$6:$I$21,0)),ROW($B$5:$B$936)-ROW($B$5)+1),ROWS(G$8:G104))))</f>
        <v>70</v>
      </c>
      <c r="K104" s="5">
        <v>97</v>
      </c>
      <c r="L104" s="6" t="str">
        <f>IF(ROWS(F$8:F104)&gt;$G$5,"",INDEX(B$5:B$936,_xlfn.AGGREGATE(15,6,(ROW($B$5:$B$936)-ROW($B$5)+1)/ISNUMBER(MATCH($B$5:$B$936,$I$6:$I$21,0)),ROWS(F$8:F104))))</f>
        <v>Lupe  Donovan</v>
      </c>
      <c r="M104" s="6">
        <f>IF(ROWS(G$8:G104)&gt;$G$5,"",INDEX(C$5:C$936,_xlfn.AGGREGATE(15,6,(ROW($B$5:$B$936)-ROW($B$5)+1)/ISNUMBER(MATCH($B$5:$B$936,$I$6:$I$21,0)),ROWS(G$8:G104))))</f>
        <v>70</v>
      </c>
      <c r="AD104" s="5" t="s">
        <v>750</v>
      </c>
    </row>
    <row r="105" spans="1:30" x14ac:dyDescent="0.25">
      <c r="A105" s="19">
        <v>41857</v>
      </c>
      <c r="B105" s="5" t="s">
        <v>708</v>
      </c>
      <c r="C105" s="5">
        <v>63</v>
      </c>
      <c r="E105" s="5">
        <v>98</v>
      </c>
      <c r="F105" s="6" t="str">
        <f t="array" ref="F105">IF(ROWS(F$8:F105)&gt;$G$5,"",INDEX(B$5:B$936,SMALL(IF(ISNUMBER(MATCH($B$5:$B$936,$I$6:$I$21,0)),ROW($B$5:$B$936)-ROW($B$5)+1),ROWS(F$8:F105))))</f>
        <v>Lupe  Donovan</v>
      </c>
      <c r="G105" s="6">
        <f t="array" ref="G105">IF(ROWS(G$8:G105)&gt;$G$5,"",INDEX(C$5:C$936,SMALL(IF(ISNUMBER(MATCH($B$5:$B$936,$I$6:$I$21,0)),ROW($B$5:$B$936)-ROW($B$5)+1),ROWS(G$8:G105))))</f>
        <v>47</v>
      </c>
      <c r="K105" s="5">
        <v>98</v>
      </c>
      <c r="L105" s="6" t="str">
        <f>IF(ROWS(F$8:F105)&gt;$G$5,"",INDEX(B$5:B$936,_xlfn.AGGREGATE(15,6,(ROW($B$5:$B$936)-ROW($B$5)+1)/ISNUMBER(MATCH($B$5:$B$936,$I$6:$I$21,0)),ROWS(F$8:F105))))</f>
        <v>Lupe  Donovan</v>
      </c>
      <c r="M105" s="6">
        <f>IF(ROWS(G$8:G105)&gt;$G$5,"",INDEX(C$5:C$936,_xlfn.AGGREGATE(15,6,(ROW($B$5:$B$936)-ROW($B$5)+1)/ISNUMBER(MATCH($B$5:$B$936,$I$6:$I$21,0)),ROWS(G$8:G105))))</f>
        <v>47</v>
      </c>
    </row>
    <row r="106" spans="1:30" x14ac:dyDescent="0.25">
      <c r="A106" s="19">
        <v>41934</v>
      </c>
      <c r="B106" s="5" t="s">
        <v>746</v>
      </c>
      <c r="C106" s="5">
        <v>52</v>
      </c>
      <c r="E106" s="5">
        <v>99</v>
      </c>
      <c r="F106" s="6" t="str">
        <f t="array" ref="F106">IF(ROWS(F$8:F106)&gt;$G$5,"",INDEX(B$5:B$936,SMALL(IF(ISNUMBER(MATCH($B$5:$B$936,$I$6:$I$21,0)),ROW($B$5:$B$936)-ROW($B$5)+1),ROWS(F$8:F106))))</f>
        <v>Marcelle  Raley</v>
      </c>
      <c r="G106" s="6">
        <f t="array" ref="G106">IF(ROWS(G$8:G106)&gt;$G$5,"",INDEX(C$5:C$936,SMALL(IF(ISNUMBER(MATCH($B$5:$B$936,$I$6:$I$21,0)),ROW($B$5:$B$936)-ROW($B$5)+1),ROWS(G$8:G106))))</f>
        <v>0</v>
      </c>
      <c r="K106" s="5">
        <v>99</v>
      </c>
      <c r="L106" s="6" t="str">
        <f>IF(ROWS(F$8:F106)&gt;$G$5,"",INDEX(B$5:B$936,_xlfn.AGGREGATE(15,6,(ROW($B$5:$B$936)-ROW($B$5)+1)/ISNUMBER(MATCH($B$5:$B$936,$I$6:$I$21,0)),ROWS(F$8:F106))))</f>
        <v>Marcelle  Raley</v>
      </c>
      <c r="M106" s="6">
        <f>IF(ROWS(G$8:G106)&gt;$G$5,"",INDEX(C$5:C$936,_xlfn.AGGREGATE(15,6,(ROW($B$5:$B$936)-ROW($B$5)+1)/ISNUMBER(MATCH($B$5:$B$936,$I$6:$I$21,0)),ROWS(G$8:G106))))</f>
        <v>0</v>
      </c>
    </row>
    <row r="107" spans="1:30" x14ac:dyDescent="0.25">
      <c r="A107" s="19">
        <v>41806</v>
      </c>
      <c r="B107" s="5" t="s">
        <v>675</v>
      </c>
      <c r="C107" s="5">
        <v>14</v>
      </c>
      <c r="E107" s="5">
        <v>100</v>
      </c>
      <c r="F107" s="6" t="str">
        <f t="array" ref="F107">IF(ROWS(F$8:F107)&gt;$G$5,"",INDEX(B$5:B$936,SMALL(IF(ISNUMBER(MATCH($B$5:$B$936,$I$6:$I$21,0)),ROW($B$5:$B$936)-ROW($B$5)+1),ROWS(F$8:F107))))</f>
        <v>Franchesca  Novak</v>
      </c>
      <c r="G107" s="6">
        <f t="array" ref="G107">IF(ROWS(G$8:G107)&gt;$G$5,"",INDEX(C$5:C$936,SMALL(IF(ISNUMBER(MATCH($B$5:$B$936,$I$6:$I$21,0)),ROW($B$5:$B$936)-ROW($B$5)+1),ROWS(G$8:G107))))</f>
        <v>11</v>
      </c>
      <c r="K107" s="5">
        <v>100</v>
      </c>
      <c r="L107" s="6" t="str">
        <f>IF(ROWS(F$8:F107)&gt;$G$5,"",INDEX(B$5:B$936,_xlfn.AGGREGATE(15,6,(ROW($B$5:$B$936)-ROW($B$5)+1)/ISNUMBER(MATCH($B$5:$B$936,$I$6:$I$21,0)),ROWS(F$8:F107))))</f>
        <v>Franchesca  Novak</v>
      </c>
      <c r="M107" s="6">
        <f>IF(ROWS(G$8:G107)&gt;$G$5,"",INDEX(C$5:C$936,_xlfn.AGGREGATE(15,6,(ROW($B$5:$B$936)-ROW($B$5)+1)/ISNUMBER(MATCH($B$5:$B$936,$I$6:$I$21,0)),ROWS(G$8:G107))))</f>
        <v>11</v>
      </c>
    </row>
    <row r="108" spans="1:30" x14ac:dyDescent="0.25">
      <c r="A108" s="19">
        <v>41907</v>
      </c>
      <c r="B108" s="5" t="s">
        <v>663</v>
      </c>
      <c r="C108" s="5">
        <v>19</v>
      </c>
      <c r="E108" s="5">
        <v>101</v>
      </c>
      <c r="F108" s="6" t="str">
        <f t="array" ref="F108">IF(ROWS(F$8:F108)&gt;$G$5,"",INDEX(B$5:B$936,SMALL(IF(ISNUMBER(MATCH($B$5:$B$936,$I$6:$I$21,0)),ROW($B$5:$B$936)-ROW($B$5)+1),ROWS(F$8:F108))))</f>
        <v>Marcelle  Raley</v>
      </c>
      <c r="G108" s="6">
        <f t="array" ref="G108">IF(ROWS(G$8:G108)&gt;$G$5,"",INDEX(C$5:C$936,SMALL(IF(ISNUMBER(MATCH($B$5:$B$936,$I$6:$I$21,0)),ROW($B$5:$B$936)-ROW($B$5)+1),ROWS(G$8:G108))))</f>
        <v>46</v>
      </c>
      <c r="K108" s="5">
        <v>101</v>
      </c>
      <c r="L108" s="6" t="str">
        <f>IF(ROWS(F$8:F108)&gt;$G$5,"",INDEX(B$5:B$936,_xlfn.AGGREGATE(15,6,(ROW($B$5:$B$936)-ROW($B$5)+1)/ISNUMBER(MATCH($B$5:$B$936,$I$6:$I$21,0)),ROWS(F$8:F108))))</f>
        <v>Marcelle  Raley</v>
      </c>
      <c r="M108" s="6">
        <f>IF(ROWS(G$8:G108)&gt;$G$5,"",INDEX(C$5:C$936,_xlfn.AGGREGATE(15,6,(ROW($B$5:$B$936)-ROW($B$5)+1)/ISNUMBER(MATCH($B$5:$B$936,$I$6:$I$21,0)),ROWS(G$8:G108))))</f>
        <v>46</v>
      </c>
    </row>
    <row r="109" spans="1:30" x14ac:dyDescent="0.25">
      <c r="A109" s="19">
        <v>41830</v>
      </c>
      <c r="B109" s="5" t="s">
        <v>725</v>
      </c>
      <c r="C109" s="5">
        <v>24</v>
      </c>
      <c r="E109" s="5">
        <v>102</v>
      </c>
      <c r="F109" s="6" t="str">
        <f t="array" ref="F109">IF(ROWS(F$8:F109)&gt;$G$5,"",INDEX(B$5:B$936,SMALL(IF(ISNUMBER(MATCH($B$5:$B$936,$I$6:$I$21,0)),ROW($B$5:$B$936)-ROW($B$5)+1),ROWS(F$8:F109))))</f>
        <v>Marlana  Huang</v>
      </c>
      <c r="G109" s="6">
        <f t="array" ref="G109">IF(ROWS(G$8:G109)&gt;$G$5,"",INDEX(C$5:C$936,SMALL(IF(ISNUMBER(MATCH($B$5:$B$936,$I$6:$I$21,0)),ROW($B$5:$B$936)-ROW($B$5)+1),ROWS(G$8:G109))))</f>
        <v>48</v>
      </c>
      <c r="K109" s="5">
        <v>102</v>
      </c>
      <c r="L109" s="6" t="str">
        <f>IF(ROWS(F$8:F109)&gt;$G$5,"",INDEX(B$5:B$936,_xlfn.AGGREGATE(15,6,(ROW($B$5:$B$936)-ROW($B$5)+1)/ISNUMBER(MATCH($B$5:$B$936,$I$6:$I$21,0)),ROWS(F$8:F109))))</f>
        <v>Marlana  Huang</v>
      </c>
      <c r="M109" s="6">
        <f>IF(ROWS(G$8:G109)&gt;$G$5,"",INDEX(C$5:C$936,_xlfn.AGGREGATE(15,6,(ROW($B$5:$B$936)-ROW($B$5)+1)/ISNUMBER(MATCH($B$5:$B$936,$I$6:$I$21,0)),ROWS(G$8:G109))))</f>
        <v>48</v>
      </c>
    </row>
    <row r="110" spans="1:30" x14ac:dyDescent="0.25">
      <c r="A110" s="19">
        <v>41954</v>
      </c>
      <c r="B110" s="5" t="s">
        <v>737</v>
      </c>
      <c r="C110" s="5">
        <v>8</v>
      </c>
      <c r="E110" s="5">
        <v>103</v>
      </c>
      <c r="F110" s="6" t="str">
        <f t="array" ref="F110">IF(ROWS(F$8:F110)&gt;$G$5,"",INDEX(B$5:B$936,SMALL(IF(ISNUMBER(MATCH($B$5:$B$936,$I$6:$I$21,0)),ROW($B$5:$B$936)-ROW($B$5)+1),ROWS(F$8:F110))))</f>
        <v>Pansy  Sam</v>
      </c>
      <c r="G110" s="6">
        <f t="array" ref="G110">IF(ROWS(G$8:G110)&gt;$G$5,"",INDEX(C$5:C$936,SMALL(IF(ISNUMBER(MATCH($B$5:$B$936,$I$6:$I$21,0)),ROW($B$5:$B$936)-ROW($B$5)+1),ROWS(G$8:G110))))</f>
        <v>44</v>
      </c>
      <c r="K110" s="5">
        <v>103</v>
      </c>
      <c r="L110" s="6" t="str">
        <f>IF(ROWS(F$8:F110)&gt;$G$5,"",INDEX(B$5:B$936,_xlfn.AGGREGATE(15,6,(ROW($B$5:$B$936)-ROW($B$5)+1)/ISNUMBER(MATCH($B$5:$B$936,$I$6:$I$21,0)),ROWS(F$8:F110))))</f>
        <v>Pansy  Sam</v>
      </c>
      <c r="M110" s="6">
        <f>IF(ROWS(G$8:G110)&gt;$G$5,"",INDEX(C$5:C$936,_xlfn.AGGREGATE(15,6,(ROW($B$5:$B$936)-ROW($B$5)+1)/ISNUMBER(MATCH($B$5:$B$936,$I$6:$I$21,0)),ROWS(G$8:G110))))</f>
        <v>44</v>
      </c>
    </row>
    <row r="111" spans="1:30" x14ac:dyDescent="0.25">
      <c r="A111" s="19">
        <v>41945</v>
      </c>
      <c r="B111" s="5" t="s">
        <v>730</v>
      </c>
      <c r="C111" s="5">
        <v>61</v>
      </c>
      <c r="E111" s="5">
        <v>104</v>
      </c>
      <c r="F111" s="6" t="str">
        <f t="array" ref="F111">IF(ROWS(F$8:F111)&gt;$G$5,"",INDEX(B$5:B$936,SMALL(IF(ISNUMBER(MATCH($B$5:$B$936,$I$6:$I$21,0)),ROW($B$5:$B$936)-ROW($B$5)+1),ROWS(F$8:F111))))</f>
        <v>Jules  Horowitz</v>
      </c>
      <c r="G111" s="6">
        <f t="array" ref="G111">IF(ROWS(G$8:G111)&gt;$G$5,"",INDEX(C$5:C$936,SMALL(IF(ISNUMBER(MATCH($B$5:$B$936,$I$6:$I$21,0)),ROW($B$5:$B$936)-ROW($B$5)+1),ROWS(G$8:G111))))</f>
        <v>32</v>
      </c>
      <c r="K111" s="5">
        <v>104</v>
      </c>
      <c r="L111" s="6" t="str">
        <f>IF(ROWS(F$8:F111)&gt;$G$5,"",INDEX(B$5:B$936,_xlfn.AGGREGATE(15,6,(ROW($B$5:$B$936)-ROW($B$5)+1)/ISNUMBER(MATCH($B$5:$B$936,$I$6:$I$21,0)),ROWS(F$8:F111))))</f>
        <v>Jules  Horowitz</v>
      </c>
      <c r="M111" s="6">
        <f>IF(ROWS(G$8:G111)&gt;$G$5,"",INDEX(C$5:C$936,_xlfn.AGGREGATE(15,6,(ROW($B$5:$B$936)-ROW($B$5)+1)/ISNUMBER(MATCH($B$5:$B$936,$I$6:$I$21,0)),ROWS(G$8:G111))))</f>
        <v>32</v>
      </c>
    </row>
    <row r="112" spans="1:30" x14ac:dyDescent="0.25">
      <c r="A112" s="19">
        <v>41899</v>
      </c>
      <c r="B112" s="5" t="s">
        <v>683</v>
      </c>
      <c r="C112" s="5">
        <v>8</v>
      </c>
      <c r="E112" s="5">
        <v>105</v>
      </c>
      <c r="F112" s="6" t="str">
        <f t="array" ref="F112">IF(ROWS(F$8:F112)&gt;$G$5,"",INDEX(B$5:B$936,SMALL(IF(ISNUMBER(MATCH($B$5:$B$936,$I$6:$I$21,0)),ROW($B$5:$B$936)-ROW($B$5)+1),ROWS(F$8:F112))))</f>
        <v>Jules  Horowitz</v>
      </c>
      <c r="G112" s="6">
        <f t="array" ref="G112">IF(ROWS(G$8:G112)&gt;$G$5,"",INDEX(C$5:C$936,SMALL(IF(ISNUMBER(MATCH($B$5:$B$936,$I$6:$I$21,0)),ROW($B$5:$B$936)-ROW($B$5)+1),ROWS(G$8:G112))))</f>
        <v>39</v>
      </c>
      <c r="K112" s="5">
        <v>105</v>
      </c>
      <c r="L112" s="6" t="str">
        <f>IF(ROWS(F$8:F112)&gt;$G$5,"",INDEX(B$5:B$936,_xlfn.AGGREGATE(15,6,(ROW($B$5:$B$936)-ROW($B$5)+1)/ISNUMBER(MATCH($B$5:$B$936,$I$6:$I$21,0)),ROWS(F$8:F112))))</f>
        <v>Jules  Horowitz</v>
      </c>
      <c r="M112" s="6">
        <f>IF(ROWS(G$8:G112)&gt;$G$5,"",INDEX(C$5:C$936,_xlfn.AGGREGATE(15,6,(ROW($B$5:$B$936)-ROW($B$5)+1)/ISNUMBER(MATCH($B$5:$B$936,$I$6:$I$21,0)),ROWS(G$8:G112))))</f>
        <v>39</v>
      </c>
    </row>
    <row r="113" spans="1:13" x14ac:dyDescent="0.25">
      <c r="A113" s="19">
        <v>41974</v>
      </c>
      <c r="B113" s="5" t="s">
        <v>705</v>
      </c>
      <c r="C113" s="5">
        <v>75</v>
      </c>
      <c r="E113" s="5">
        <v>106</v>
      </c>
      <c r="F113" s="6" t="str">
        <f t="array" ref="F113">IF(ROWS(F$8:F113)&gt;$G$5,"",INDEX(B$5:B$936,SMALL(IF(ISNUMBER(MATCH($B$5:$B$936,$I$6:$I$21,0)),ROW($B$5:$B$936)-ROW($B$5)+1),ROWS(F$8:F113))))</f>
        <v>Jeremy  Shea</v>
      </c>
      <c r="G113" s="6">
        <f t="array" ref="G113">IF(ROWS(G$8:G113)&gt;$G$5,"",INDEX(C$5:C$936,SMALL(IF(ISNUMBER(MATCH($B$5:$B$936,$I$6:$I$21,0)),ROW($B$5:$B$936)-ROW($B$5)+1),ROWS(G$8:G113))))</f>
        <v>24</v>
      </c>
      <c r="K113" s="5">
        <v>106</v>
      </c>
      <c r="L113" s="6" t="str">
        <f>IF(ROWS(F$8:F113)&gt;$G$5,"",INDEX(B$5:B$936,_xlfn.AGGREGATE(15,6,(ROW($B$5:$B$936)-ROW($B$5)+1)/ISNUMBER(MATCH($B$5:$B$936,$I$6:$I$21,0)),ROWS(F$8:F113))))</f>
        <v>Jeremy  Shea</v>
      </c>
      <c r="M113" s="6">
        <f>IF(ROWS(G$8:G113)&gt;$G$5,"",INDEX(C$5:C$936,_xlfn.AGGREGATE(15,6,(ROW($B$5:$B$936)-ROW($B$5)+1)/ISNUMBER(MATCH($B$5:$B$936,$I$6:$I$21,0)),ROWS(G$8:G113))))</f>
        <v>24</v>
      </c>
    </row>
    <row r="114" spans="1:13" x14ac:dyDescent="0.25">
      <c r="A114" s="19">
        <v>41944</v>
      </c>
      <c r="B114" s="5" t="s">
        <v>702</v>
      </c>
      <c r="C114" s="5">
        <v>68</v>
      </c>
      <c r="E114" s="5">
        <v>107</v>
      </c>
      <c r="F114" s="6" t="str">
        <f t="array" ref="F114">IF(ROWS(F$8:F114)&gt;$G$5,"",INDEX(B$5:B$936,SMALL(IF(ISNUMBER(MATCH($B$5:$B$936,$I$6:$I$21,0)),ROW($B$5:$B$936)-ROW($B$5)+1),ROWS(F$8:F114))))</f>
        <v>Ivelisse  Goins</v>
      </c>
      <c r="G114" s="6">
        <f t="array" ref="G114">IF(ROWS(G$8:G114)&gt;$G$5,"",INDEX(C$5:C$936,SMALL(IF(ISNUMBER(MATCH($B$5:$B$936,$I$6:$I$21,0)),ROW($B$5:$B$936)-ROW($B$5)+1),ROWS(G$8:G114))))</f>
        <v>53</v>
      </c>
      <c r="K114" s="5">
        <v>107</v>
      </c>
      <c r="L114" s="6" t="str">
        <f>IF(ROWS(F$8:F114)&gt;$G$5,"",INDEX(B$5:B$936,_xlfn.AGGREGATE(15,6,(ROW($B$5:$B$936)-ROW($B$5)+1)/ISNUMBER(MATCH($B$5:$B$936,$I$6:$I$21,0)),ROWS(F$8:F114))))</f>
        <v>Ivelisse  Goins</v>
      </c>
      <c r="M114" s="6">
        <f>IF(ROWS(G$8:G114)&gt;$G$5,"",INDEX(C$5:C$936,_xlfn.AGGREGATE(15,6,(ROW($B$5:$B$936)-ROW($B$5)+1)/ISNUMBER(MATCH($B$5:$B$936,$I$6:$I$21,0)),ROWS(G$8:G114))))</f>
        <v>53</v>
      </c>
    </row>
    <row r="115" spans="1:13" x14ac:dyDescent="0.25">
      <c r="A115" s="19">
        <v>41887</v>
      </c>
      <c r="B115" s="5" t="s">
        <v>683</v>
      </c>
      <c r="C115" s="5">
        <v>28</v>
      </c>
      <c r="E115" s="5">
        <v>108</v>
      </c>
      <c r="F115" s="6" t="str">
        <f t="array" ref="F115">IF(ROWS(F$8:F115)&gt;$G$5,"",INDEX(B$5:B$936,SMALL(IF(ISNUMBER(MATCH($B$5:$B$936,$I$6:$I$21,0)),ROW($B$5:$B$936)-ROW($B$5)+1),ROWS(F$8:F115))))</f>
        <v>Gail  Reaves</v>
      </c>
      <c r="G115" s="6">
        <f t="array" ref="G115">IF(ROWS(G$8:G115)&gt;$G$5,"",INDEX(C$5:C$936,SMALL(IF(ISNUMBER(MATCH($B$5:$B$936,$I$6:$I$21,0)),ROW($B$5:$B$936)-ROW($B$5)+1),ROWS(G$8:G115))))</f>
        <v>41</v>
      </c>
      <c r="K115" s="5">
        <v>108</v>
      </c>
      <c r="L115" s="6" t="str">
        <f>IF(ROWS(F$8:F115)&gt;$G$5,"",INDEX(B$5:B$936,_xlfn.AGGREGATE(15,6,(ROW($B$5:$B$936)-ROW($B$5)+1)/ISNUMBER(MATCH($B$5:$B$936,$I$6:$I$21,0)),ROWS(F$8:F115))))</f>
        <v>Gail  Reaves</v>
      </c>
      <c r="M115" s="6">
        <f>IF(ROWS(G$8:G115)&gt;$G$5,"",INDEX(C$5:C$936,_xlfn.AGGREGATE(15,6,(ROW($B$5:$B$936)-ROW($B$5)+1)/ISNUMBER(MATCH($B$5:$B$936,$I$6:$I$21,0)),ROWS(G$8:G115))))</f>
        <v>41</v>
      </c>
    </row>
    <row r="116" spans="1:13" x14ac:dyDescent="0.25">
      <c r="A116" s="19">
        <v>41868</v>
      </c>
      <c r="B116" s="5" t="s">
        <v>734</v>
      </c>
      <c r="C116" s="5">
        <v>58</v>
      </c>
      <c r="E116" s="5">
        <v>109</v>
      </c>
      <c r="F116" s="6" t="str">
        <f t="array" ref="F116">IF(ROWS(F$8:F116)&gt;$G$5,"",INDEX(B$5:B$936,SMALL(IF(ISNUMBER(MATCH($B$5:$B$936,$I$6:$I$21,0)),ROW($B$5:$B$936)-ROW($B$5)+1),ROWS(F$8:F116))))</f>
        <v>Ivelisse  Goins</v>
      </c>
      <c r="G116" s="6">
        <f t="array" ref="G116">IF(ROWS(G$8:G116)&gt;$G$5,"",INDEX(C$5:C$936,SMALL(IF(ISNUMBER(MATCH($B$5:$B$936,$I$6:$I$21,0)),ROW($B$5:$B$936)-ROW($B$5)+1),ROWS(G$8:G116))))</f>
        <v>55</v>
      </c>
      <c r="K116" s="5">
        <v>109</v>
      </c>
      <c r="L116" s="6" t="str">
        <f>IF(ROWS(F$8:F116)&gt;$G$5,"",INDEX(B$5:B$936,_xlfn.AGGREGATE(15,6,(ROW($B$5:$B$936)-ROW($B$5)+1)/ISNUMBER(MATCH($B$5:$B$936,$I$6:$I$21,0)),ROWS(F$8:F116))))</f>
        <v>Ivelisse  Goins</v>
      </c>
      <c r="M116" s="6">
        <f>IF(ROWS(G$8:G116)&gt;$G$5,"",INDEX(C$5:C$936,_xlfn.AGGREGATE(15,6,(ROW($B$5:$B$936)-ROW($B$5)+1)/ISNUMBER(MATCH($B$5:$B$936,$I$6:$I$21,0)),ROWS(G$8:G116))))</f>
        <v>55</v>
      </c>
    </row>
    <row r="117" spans="1:13" x14ac:dyDescent="0.25">
      <c r="A117" s="19">
        <v>41902</v>
      </c>
      <c r="B117" s="5" t="s">
        <v>712</v>
      </c>
      <c r="C117" s="5">
        <v>10</v>
      </c>
      <c r="E117" s="5">
        <v>110</v>
      </c>
      <c r="F117" s="6" t="str">
        <f t="array" ref="F117">IF(ROWS(F$8:F117)&gt;$G$5,"",INDEX(B$5:B$936,SMALL(IF(ISNUMBER(MATCH($B$5:$B$936,$I$6:$I$21,0)),ROW($B$5:$B$936)-ROW($B$5)+1),ROWS(F$8:F117))))</f>
        <v>Pansy  Sam</v>
      </c>
      <c r="G117" s="6">
        <f t="array" ref="G117">IF(ROWS(G$8:G117)&gt;$G$5,"",INDEX(C$5:C$936,SMALL(IF(ISNUMBER(MATCH($B$5:$B$936,$I$6:$I$21,0)),ROW($B$5:$B$936)-ROW($B$5)+1),ROWS(G$8:G117))))</f>
        <v>13</v>
      </c>
      <c r="K117" s="5">
        <v>110</v>
      </c>
      <c r="L117" s="6" t="str">
        <f>IF(ROWS(F$8:F117)&gt;$G$5,"",INDEX(B$5:B$936,_xlfn.AGGREGATE(15,6,(ROW($B$5:$B$936)-ROW($B$5)+1)/ISNUMBER(MATCH($B$5:$B$936,$I$6:$I$21,0)),ROWS(F$8:F117))))</f>
        <v>Pansy  Sam</v>
      </c>
      <c r="M117" s="6">
        <f>IF(ROWS(G$8:G117)&gt;$G$5,"",INDEX(C$5:C$936,_xlfn.AGGREGATE(15,6,(ROW($B$5:$B$936)-ROW($B$5)+1)/ISNUMBER(MATCH($B$5:$B$936,$I$6:$I$21,0)),ROWS(G$8:G117))))</f>
        <v>13</v>
      </c>
    </row>
    <row r="118" spans="1:13" x14ac:dyDescent="0.25">
      <c r="A118" s="19">
        <v>41979</v>
      </c>
      <c r="B118" s="5" t="s">
        <v>679</v>
      </c>
      <c r="C118" s="5">
        <v>43</v>
      </c>
      <c r="E118" s="5">
        <v>111</v>
      </c>
      <c r="F118" s="6" t="str">
        <f t="array" ref="F118">IF(ROWS(F$8:F118)&gt;$G$5,"",INDEX(B$5:B$936,SMALL(IF(ISNUMBER(MATCH($B$5:$B$936,$I$6:$I$21,0)),ROW($B$5:$B$936)-ROW($B$5)+1),ROWS(F$8:F118))))</f>
        <v>Franchesca  Novak</v>
      </c>
      <c r="G118" s="6">
        <f t="array" ref="G118">IF(ROWS(G$8:G118)&gt;$G$5,"",INDEX(C$5:C$936,SMALL(IF(ISNUMBER(MATCH($B$5:$B$936,$I$6:$I$21,0)),ROW($B$5:$B$936)-ROW($B$5)+1),ROWS(G$8:G118))))</f>
        <v>30</v>
      </c>
      <c r="K118" s="5">
        <v>111</v>
      </c>
      <c r="L118" s="6" t="str">
        <f>IF(ROWS(F$8:F118)&gt;$G$5,"",INDEX(B$5:B$936,_xlfn.AGGREGATE(15,6,(ROW($B$5:$B$936)-ROW($B$5)+1)/ISNUMBER(MATCH($B$5:$B$936,$I$6:$I$21,0)),ROWS(F$8:F118))))</f>
        <v>Franchesca  Novak</v>
      </c>
      <c r="M118" s="6">
        <f>IF(ROWS(G$8:G118)&gt;$G$5,"",INDEX(C$5:C$936,_xlfn.AGGREGATE(15,6,(ROW($B$5:$B$936)-ROW($B$5)+1)/ISNUMBER(MATCH($B$5:$B$936,$I$6:$I$21,0)),ROWS(G$8:G118))))</f>
        <v>30</v>
      </c>
    </row>
    <row r="119" spans="1:13" x14ac:dyDescent="0.25">
      <c r="A119" s="19">
        <v>41824</v>
      </c>
      <c r="B119" s="5" t="s">
        <v>747</v>
      </c>
      <c r="C119" s="5">
        <v>60</v>
      </c>
      <c r="E119" s="5">
        <v>112</v>
      </c>
      <c r="F119" s="6" t="str">
        <f t="array" ref="F119">IF(ROWS(F$8:F119)&gt;$G$5,"",INDEX(B$5:B$936,SMALL(IF(ISNUMBER(MATCH($B$5:$B$936,$I$6:$I$21,0)),ROW($B$5:$B$936)-ROW($B$5)+1),ROWS(F$8:F119))))</f>
        <v>Shandra  Rife</v>
      </c>
      <c r="G119" s="6">
        <f t="array" ref="G119">IF(ROWS(G$8:G119)&gt;$G$5,"",INDEX(C$5:C$936,SMALL(IF(ISNUMBER(MATCH($B$5:$B$936,$I$6:$I$21,0)),ROW($B$5:$B$936)-ROW($B$5)+1),ROWS(G$8:G119))))</f>
        <v>26</v>
      </c>
      <c r="K119" s="5">
        <v>112</v>
      </c>
      <c r="L119" s="6" t="str">
        <f>IF(ROWS(F$8:F119)&gt;$G$5,"",INDEX(B$5:B$936,_xlfn.AGGREGATE(15,6,(ROW($B$5:$B$936)-ROW($B$5)+1)/ISNUMBER(MATCH($B$5:$B$936,$I$6:$I$21,0)),ROWS(F$8:F119))))</f>
        <v>Shandra  Rife</v>
      </c>
      <c r="M119" s="6">
        <f>IF(ROWS(G$8:G119)&gt;$G$5,"",INDEX(C$5:C$936,_xlfn.AGGREGATE(15,6,(ROW($B$5:$B$936)-ROW($B$5)+1)/ISNUMBER(MATCH($B$5:$B$936,$I$6:$I$21,0)),ROWS(G$8:G119))))</f>
        <v>26</v>
      </c>
    </row>
    <row r="120" spans="1:13" x14ac:dyDescent="0.25">
      <c r="A120" s="19">
        <v>41898</v>
      </c>
      <c r="B120" s="5" t="s">
        <v>661</v>
      </c>
      <c r="C120" s="5">
        <v>45</v>
      </c>
      <c r="E120" s="5">
        <v>113</v>
      </c>
      <c r="F120" s="6" t="str">
        <f t="array" ref="F120">IF(ROWS(F$8:F120)&gt;$G$5,"",INDEX(B$5:B$936,SMALL(IF(ISNUMBER(MATCH($B$5:$B$936,$I$6:$I$21,0)),ROW($B$5:$B$936)-ROW($B$5)+1),ROWS(F$8:F120))))</f>
        <v>Rhett  Seymore</v>
      </c>
      <c r="G120" s="6">
        <f t="array" ref="G120">IF(ROWS(G$8:G120)&gt;$G$5,"",INDEX(C$5:C$936,SMALL(IF(ISNUMBER(MATCH($B$5:$B$936,$I$6:$I$21,0)),ROW($B$5:$B$936)-ROW($B$5)+1),ROWS(G$8:G120))))</f>
        <v>62</v>
      </c>
      <c r="K120" s="5">
        <v>113</v>
      </c>
      <c r="L120" s="6" t="str">
        <f>IF(ROWS(F$8:F120)&gt;$G$5,"",INDEX(B$5:B$936,_xlfn.AGGREGATE(15,6,(ROW($B$5:$B$936)-ROW($B$5)+1)/ISNUMBER(MATCH($B$5:$B$936,$I$6:$I$21,0)),ROWS(F$8:F120))))</f>
        <v>Rhett  Seymore</v>
      </c>
      <c r="M120" s="6">
        <f>IF(ROWS(G$8:G120)&gt;$G$5,"",INDEX(C$5:C$936,_xlfn.AGGREGATE(15,6,(ROW($B$5:$B$936)-ROW($B$5)+1)/ISNUMBER(MATCH($B$5:$B$936,$I$6:$I$21,0)),ROWS(G$8:G120))))</f>
        <v>62</v>
      </c>
    </row>
    <row r="121" spans="1:13" x14ac:dyDescent="0.25">
      <c r="A121" s="19">
        <v>41906</v>
      </c>
      <c r="B121" s="5" t="s">
        <v>662</v>
      </c>
      <c r="C121" s="5">
        <v>60</v>
      </c>
      <c r="E121" s="5">
        <v>114</v>
      </c>
      <c r="F121" s="6" t="str">
        <f t="array" ref="F121">IF(ROWS(F$8:F121)&gt;$G$5,"",INDEX(B$5:B$936,SMALL(IF(ISNUMBER(MATCH($B$5:$B$936,$I$6:$I$21,0)),ROW($B$5:$B$936)-ROW($B$5)+1),ROWS(F$8:F121))))</f>
        <v>Pansy  Sam</v>
      </c>
      <c r="G121" s="6">
        <f t="array" ref="G121">IF(ROWS(G$8:G121)&gt;$G$5,"",INDEX(C$5:C$936,SMALL(IF(ISNUMBER(MATCH($B$5:$B$936,$I$6:$I$21,0)),ROW($B$5:$B$936)-ROW($B$5)+1),ROWS(G$8:G121))))</f>
        <v>71</v>
      </c>
      <c r="K121" s="5">
        <v>114</v>
      </c>
      <c r="L121" s="6" t="str">
        <f>IF(ROWS(F$8:F121)&gt;$G$5,"",INDEX(B$5:B$936,_xlfn.AGGREGATE(15,6,(ROW($B$5:$B$936)-ROW($B$5)+1)/ISNUMBER(MATCH($B$5:$B$936,$I$6:$I$21,0)),ROWS(F$8:F121))))</f>
        <v>Pansy  Sam</v>
      </c>
      <c r="M121" s="6">
        <f>IF(ROWS(G$8:G121)&gt;$G$5,"",INDEX(C$5:C$936,_xlfn.AGGREGATE(15,6,(ROW($B$5:$B$936)-ROW($B$5)+1)/ISNUMBER(MATCH($B$5:$B$936,$I$6:$I$21,0)),ROWS(G$8:G121))))</f>
        <v>71</v>
      </c>
    </row>
    <row r="122" spans="1:13" x14ac:dyDescent="0.25">
      <c r="A122" s="19">
        <v>41879</v>
      </c>
      <c r="B122" s="5" t="s">
        <v>670</v>
      </c>
      <c r="C122" s="5">
        <v>66</v>
      </c>
      <c r="E122" s="5">
        <v>115</v>
      </c>
      <c r="F122" s="6" t="str">
        <f t="array" ref="F122">IF(ROWS(F$8:F122)&gt;$G$5,"",INDEX(B$5:B$936,SMALL(IF(ISNUMBER(MATCH($B$5:$B$936,$I$6:$I$21,0)),ROW($B$5:$B$936)-ROW($B$5)+1),ROWS(F$8:F122))))</f>
        <v>Lupe  Donovan</v>
      </c>
      <c r="G122" s="6">
        <f t="array" ref="G122">IF(ROWS(G$8:G122)&gt;$G$5,"",INDEX(C$5:C$936,SMALL(IF(ISNUMBER(MATCH($B$5:$B$936,$I$6:$I$21,0)),ROW($B$5:$B$936)-ROW($B$5)+1),ROWS(G$8:G122))))</f>
        <v>75</v>
      </c>
      <c r="K122" s="5">
        <v>115</v>
      </c>
      <c r="L122" s="6" t="str">
        <f>IF(ROWS(F$8:F122)&gt;$G$5,"",INDEX(B$5:B$936,_xlfn.AGGREGATE(15,6,(ROW($B$5:$B$936)-ROW($B$5)+1)/ISNUMBER(MATCH($B$5:$B$936,$I$6:$I$21,0)),ROWS(F$8:F122))))</f>
        <v>Lupe  Donovan</v>
      </c>
      <c r="M122" s="6">
        <f>IF(ROWS(G$8:G122)&gt;$G$5,"",INDEX(C$5:C$936,_xlfn.AGGREGATE(15,6,(ROW($B$5:$B$936)-ROW($B$5)+1)/ISNUMBER(MATCH($B$5:$B$936,$I$6:$I$21,0)),ROWS(G$8:G122))))</f>
        <v>75</v>
      </c>
    </row>
    <row r="123" spans="1:13" x14ac:dyDescent="0.25">
      <c r="A123" s="19">
        <v>41833</v>
      </c>
      <c r="B123" s="5" t="s">
        <v>657</v>
      </c>
      <c r="C123" s="5">
        <v>11</v>
      </c>
      <c r="E123" s="5">
        <v>116</v>
      </c>
      <c r="F123" s="6" t="str">
        <f t="array" ref="F123">IF(ROWS(F$8:F123)&gt;$G$5,"",INDEX(B$5:B$936,SMALL(IF(ISNUMBER(MATCH($B$5:$B$936,$I$6:$I$21,0)),ROW($B$5:$B$936)-ROW($B$5)+1),ROWS(F$8:F123))))</f>
        <v>Jules  Horowitz</v>
      </c>
      <c r="G123" s="6">
        <f t="array" ref="G123">IF(ROWS(G$8:G123)&gt;$G$5,"",INDEX(C$5:C$936,SMALL(IF(ISNUMBER(MATCH($B$5:$B$936,$I$6:$I$21,0)),ROW($B$5:$B$936)-ROW($B$5)+1),ROWS(G$8:G123))))</f>
        <v>21</v>
      </c>
      <c r="K123" s="5">
        <v>116</v>
      </c>
      <c r="L123" s="6" t="str">
        <f>IF(ROWS(F$8:F123)&gt;$G$5,"",INDEX(B$5:B$936,_xlfn.AGGREGATE(15,6,(ROW($B$5:$B$936)-ROW($B$5)+1)/ISNUMBER(MATCH($B$5:$B$936,$I$6:$I$21,0)),ROWS(F$8:F123))))</f>
        <v>Jules  Horowitz</v>
      </c>
      <c r="M123" s="6">
        <f>IF(ROWS(G$8:G123)&gt;$G$5,"",INDEX(C$5:C$936,_xlfn.AGGREGATE(15,6,(ROW($B$5:$B$936)-ROW($B$5)+1)/ISNUMBER(MATCH($B$5:$B$936,$I$6:$I$21,0)),ROWS(G$8:G123))))</f>
        <v>21</v>
      </c>
    </row>
    <row r="124" spans="1:13" x14ac:dyDescent="0.25">
      <c r="A124" s="19">
        <v>41947</v>
      </c>
      <c r="B124" s="5" t="s">
        <v>692</v>
      </c>
      <c r="C124" s="5">
        <v>13</v>
      </c>
      <c r="E124" s="5">
        <v>117</v>
      </c>
      <c r="F124" s="6" t="str">
        <f t="array" ref="F124">IF(ROWS(F$8:F124)&gt;$G$5,"",INDEX(B$5:B$936,SMALL(IF(ISNUMBER(MATCH($B$5:$B$936,$I$6:$I$21,0)),ROW($B$5:$B$936)-ROW($B$5)+1),ROWS(F$8:F124))))</f>
        <v>Allena  Swenson</v>
      </c>
      <c r="G124" s="6">
        <f t="array" ref="G124">IF(ROWS(G$8:G124)&gt;$G$5,"",INDEX(C$5:C$936,SMALL(IF(ISNUMBER(MATCH($B$5:$B$936,$I$6:$I$21,0)),ROW($B$5:$B$936)-ROW($B$5)+1),ROWS(G$8:G124))))</f>
        <v>60</v>
      </c>
      <c r="K124" s="5">
        <v>117</v>
      </c>
      <c r="L124" s="6" t="str">
        <f>IF(ROWS(F$8:F124)&gt;$G$5,"",INDEX(B$5:B$936,_xlfn.AGGREGATE(15,6,(ROW($B$5:$B$936)-ROW($B$5)+1)/ISNUMBER(MATCH($B$5:$B$936,$I$6:$I$21,0)),ROWS(F$8:F124))))</f>
        <v>Allena  Swenson</v>
      </c>
      <c r="M124" s="6">
        <f>IF(ROWS(G$8:G124)&gt;$G$5,"",INDEX(C$5:C$936,_xlfn.AGGREGATE(15,6,(ROW($B$5:$B$936)-ROW($B$5)+1)/ISNUMBER(MATCH($B$5:$B$936,$I$6:$I$21,0)),ROWS(G$8:G124))))</f>
        <v>60</v>
      </c>
    </row>
    <row r="125" spans="1:13" x14ac:dyDescent="0.25">
      <c r="A125" s="19">
        <v>41885</v>
      </c>
      <c r="B125" s="5" t="s">
        <v>660</v>
      </c>
      <c r="C125" s="5">
        <v>19</v>
      </c>
      <c r="E125" s="5">
        <v>118</v>
      </c>
      <c r="F125" s="6" t="str">
        <f t="array" ref="F125">IF(ROWS(F$8:F125)&gt;$G$5,"",INDEX(B$5:B$936,SMALL(IF(ISNUMBER(MATCH($B$5:$B$936,$I$6:$I$21,0)),ROW($B$5:$B$936)-ROW($B$5)+1),ROWS(F$8:F125))))</f>
        <v>Ivelisse  Goins</v>
      </c>
      <c r="G125" s="6">
        <f t="array" ref="G125">IF(ROWS(G$8:G125)&gt;$G$5,"",INDEX(C$5:C$936,SMALL(IF(ISNUMBER(MATCH($B$5:$B$936,$I$6:$I$21,0)),ROW($B$5:$B$936)-ROW($B$5)+1),ROWS(G$8:G125))))</f>
        <v>7</v>
      </c>
      <c r="K125" s="5">
        <v>118</v>
      </c>
      <c r="L125" s="6" t="str">
        <f>IF(ROWS(F$8:F125)&gt;$G$5,"",INDEX(B$5:B$936,_xlfn.AGGREGATE(15,6,(ROW($B$5:$B$936)-ROW($B$5)+1)/ISNUMBER(MATCH($B$5:$B$936,$I$6:$I$21,0)),ROWS(F$8:F125))))</f>
        <v>Ivelisse  Goins</v>
      </c>
      <c r="M125" s="6">
        <f>IF(ROWS(G$8:G125)&gt;$G$5,"",INDEX(C$5:C$936,_xlfn.AGGREGATE(15,6,(ROW($B$5:$B$936)-ROW($B$5)+1)/ISNUMBER(MATCH($B$5:$B$936,$I$6:$I$21,0)),ROWS(G$8:G125))))</f>
        <v>7</v>
      </c>
    </row>
    <row r="126" spans="1:13" x14ac:dyDescent="0.25">
      <c r="A126" s="19">
        <v>41998</v>
      </c>
      <c r="B126" s="5" t="s">
        <v>719</v>
      </c>
      <c r="C126" s="5">
        <v>47</v>
      </c>
      <c r="E126" s="5">
        <v>119</v>
      </c>
      <c r="F126" s="6" t="str">
        <f t="array" ref="F126">IF(ROWS(F$8:F126)&gt;$G$5,"",INDEX(B$5:B$936,SMALL(IF(ISNUMBER(MATCH($B$5:$B$936,$I$6:$I$21,0)),ROW($B$5:$B$936)-ROW($B$5)+1),ROWS(F$8:F126))))</f>
        <v>Shandra  Rife</v>
      </c>
      <c r="G126" s="6">
        <f t="array" ref="G126">IF(ROWS(G$8:G126)&gt;$G$5,"",INDEX(C$5:C$936,SMALL(IF(ISNUMBER(MATCH($B$5:$B$936,$I$6:$I$21,0)),ROW($B$5:$B$936)-ROW($B$5)+1),ROWS(G$8:G126))))</f>
        <v>45</v>
      </c>
      <c r="K126" s="5">
        <v>119</v>
      </c>
      <c r="L126" s="6" t="str">
        <f>IF(ROWS(F$8:F126)&gt;$G$5,"",INDEX(B$5:B$936,_xlfn.AGGREGATE(15,6,(ROW($B$5:$B$936)-ROW($B$5)+1)/ISNUMBER(MATCH($B$5:$B$936,$I$6:$I$21,0)),ROWS(F$8:F126))))</f>
        <v>Shandra  Rife</v>
      </c>
      <c r="M126" s="6">
        <f>IF(ROWS(G$8:G126)&gt;$G$5,"",INDEX(C$5:C$936,_xlfn.AGGREGATE(15,6,(ROW($B$5:$B$936)-ROW($B$5)+1)/ISNUMBER(MATCH($B$5:$B$936,$I$6:$I$21,0)),ROWS(G$8:G126))))</f>
        <v>45</v>
      </c>
    </row>
    <row r="127" spans="1:13" x14ac:dyDescent="0.25">
      <c r="A127" s="19">
        <v>41873</v>
      </c>
      <c r="B127" s="5" t="s">
        <v>657</v>
      </c>
      <c r="C127" s="5">
        <v>63</v>
      </c>
      <c r="E127" s="5">
        <v>120</v>
      </c>
      <c r="F127" s="6" t="str">
        <f t="array" ref="F127">IF(ROWS(F$8:F127)&gt;$G$5,"",INDEX(B$5:B$936,SMALL(IF(ISNUMBER(MATCH($B$5:$B$936,$I$6:$I$21,0)),ROW($B$5:$B$936)-ROW($B$5)+1),ROWS(F$8:F127))))</f>
        <v>Stormy  Haight</v>
      </c>
      <c r="G127" s="6">
        <f t="array" ref="G127">IF(ROWS(G$8:G127)&gt;$G$5,"",INDEX(C$5:C$936,SMALL(IF(ISNUMBER(MATCH($B$5:$B$936,$I$6:$I$21,0)),ROW($B$5:$B$936)-ROW($B$5)+1),ROWS(G$8:G127))))</f>
        <v>9</v>
      </c>
      <c r="K127" s="5">
        <v>120</v>
      </c>
      <c r="L127" s="6" t="str">
        <f>IF(ROWS(F$8:F127)&gt;$G$5,"",INDEX(B$5:B$936,_xlfn.AGGREGATE(15,6,(ROW($B$5:$B$936)-ROW($B$5)+1)/ISNUMBER(MATCH($B$5:$B$936,$I$6:$I$21,0)),ROWS(F$8:F127))))</f>
        <v>Stormy  Haight</v>
      </c>
      <c r="M127" s="6">
        <f>IF(ROWS(G$8:G127)&gt;$G$5,"",INDEX(C$5:C$936,_xlfn.AGGREGATE(15,6,(ROW($B$5:$B$936)-ROW($B$5)+1)/ISNUMBER(MATCH($B$5:$B$936,$I$6:$I$21,0)),ROWS(G$8:G127))))</f>
        <v>9</v>
      </c>
    </row>
    <row r="128" spans="1:13" x14ac:dyDescent="0.25">
      <c r="A128" s="19">
        <v>41911</v>
      </c>
      <c r="B128" s="5" t="s">
        <v>670</v>
      </c>
      <c r="C128" s="5">
        <v>55</v>
      </c>
      <c r="E128" s="5">
        <v>121</v>
      </c>
      <c r="F128" s="6" t="str">
        <f t="array" ref="F128">IF(ROWS(F$8:F128)&gt;$G$5,"",INDEX(B$5:B$936,SMALL(IF(ISNUMBER(MATCH($B$5:$B$936,$I$6:$I$21,0)),ROW($B$5:$B$936)-ROW($B$5)+1),ROWS(F$8:F128))))</f>
        <v>Stormy  Haight</v>
      </c>
      <c r="G128" s="6">
        <f t="array" ref="G128">IF(ROWS(G$8:G128)&gt;$G$5,"",INDEX(C$5:C$936,SMALL(IF(ISNUMBER(MATCH($B$5:$B$936,$I$6:$I$21,0)),ROW($B$5:$B$936)-ROW($B$5)+1),ROWS(G$8:G128))))</f>
        <v>73</v>
      </c>
      <c r="K128" s="5">
        <v>121</v>
      </c>
      <c r="L128" s="6" t="str">
        <f>IF(ROWS(F$8:F128)&gt;$G$5,"",INDEX(B$5:B$936,_xlfn.AGGREGATE(15,6,(ROW($B$5:$B$936)-ROW($B$5)+1)/ISNUMBER(MATCH($B$5:$B$936,$I$6:$I$21,0)),ROWS(F$8:F128))))</f>
        <v>Stormy  Haight</v>
      </c>
      <c r="M128" s="6">
        <f>IF(ROWS(G$8:G128)&gt;$G$5,"",INDEX(C$5:C$936,_xlfn.AGGREGATE(15,6,(ROW($B$5:$B$936)-ROW($B$5)+1)/ISNUMBER(MATCH($B$5:$B$936,$I$6:$I$21,0)),ROWS(G$8:G128))))</f>
        <v>73</v>
      </c>
    </row>
    <row r="129" spans="1:13" x14ac:dyDescent="0.25">
      <c r="A129" s="19">
        <v>41830</v>
      </c>
      <c r="B129" s="5" t="s">
        <v>726</v>
      </c>
      <c r="C129" s="5">
        <v>15</v>
      </c>
      <c r="E129" s="5">
        <v>122</v>
      </c>
      <c r="F129" s="6" t="str">
        <f t="array" ref="F129">IF(ROWS(F$8:F129)&gt;$G$5,"",INDEX(B$5:B$936,SMALL(IF(ISNUMBER(MATCH($B$5:$B$936,$I$6:$I$21,0)),ROW($B$5:$B$936)-ROW($B$5)+1),ROWS(F$8:F129))))</f>
        <v>Idalia  Osullivan</v>
      </c>
      <c r="G129" s="6">
        <f t="array" ref="G129">IF(ROWS(G$8:G129)&gt;$G$5,"",INDEX(C$5:C$936,SMALL(IF(ISNUMBER(MATCH($B$5:$B$936,$I$6:$I$21,0)),ROW($B$5:$B$936)-ROW($B$5)+1),ROWS(G$8:G129))))</f>
        <v>29</v>
      </c>
      <c r="K129" s="5">
        <v>122</v>
      </c>
      <c r="L129" s="6" t="str">
        <f>IF(ROWS(F$8:F129)&gt;$G$5,"",INDEX(B$5:B$936,_xlfn.AGGREGATE(15,6,(ROW($B$5:$B$936)-ROW($B$5)+1)/ISNUMBER(MATCH($B$5:$B$936,$I$6:$I$21,0)),ROWS(F$8:F129))))</f>
        <v>Idalia  Osullivan</v>
      </c>
      <c r="M129" s="6">
        <f>IF(ROWS(G$8:G129)&gt;$G$5,"",INDEX(C$5:C$936,_xlfn.AGGREGATE(15,6,(ROW($B$5:$B$936)-ROW($B$5)+1)/ISNUMBER(MATCH($B$5:$B$936,$I$6:$I$21,0)),ROWS(G$8:G129))))</f>
        <v>29</v>
      </c>
    </row>
    <row r="130" spans="1:13" x14ac:dyDescent="0.25">
      <c r="A130" s="19">
        <v>41848</v>
      </c>
      <c r="B130" s="5" t="s">
        <v>750</v>
      </c>
      <c r="C130" s="5">
        <v>26</v>
      </c>
      <c r="E130" s="5">
        <v>123</v>
      </c>
      <c r="F130" s="6" t="str">
        <f t="array" ref="F130">IF(ROWS(F$8:F130)&gt;$G$5,"",INDEX(B$5:B$936,SMALL(IF(ISNUMBER(MATCH($B$5:$B$936,$I$6:$I$21,0)),ROW($B$5:$B$936)-ROW($B$5)+1),ROWS(F$8:F130))))</f>
        <v>Jeremy  Shea</v>
      </c>
      <c r="G130" s="6">
        <f t="array" ref="G130">IF(ROWS(G$8:G130)&gt;$G$5,"",INDEX(C$5:C$936,SMALL(IF(ISNUMBER(MATCH($B$5:$B$936,$I$6:$I$21,0)),ROW($B$5:$B$936)-ROW($B$5)+1),ROWS(G$8:G130))))</f>
        <v>12</v>
      </c>
      <c r="K130" s="5">
        <v>123</v>
      </c>
      <c r="L130" s="6" t="str">
        <f>IF(ROWS(F$8:F130)&gt;$G$5,"",INDEX(B$5:B$936,_xlfn.AGGREGATE(15,6,(ROW($B$5:$B$936)-ROW($B$5)+1)/ISNUMBER(MATCH($B$5:$B$936,$I$6:$I$21,0)),ROWS(F$8:F130))))</f>
        <v>Jeremy  Shea</v>
      </c>
      <c r="M130" s="6">
        <f>IF(ROWS(G$8:G130)&gt;$G$5,"",INDEX(C$5:C$936,_xlfn.AGGREGATE(15,6,(ROW($B$5:$B$936)-ROW($B$5)+1)/ISNUMBER(MATCH($B$5:$B$936,$I$6:$I$21,0)),ROWS(G$8:G130))))</f>
        <v>12</v>
      </c>
    </row>
    <row r="131" spans="1:13" x14ac:dyDescent="0.25">
      <c r="A131" s="19">
        <v>41906</v>
      </c>
      <c r="B131" s="5" t="s">
        <v>650</v>
      </c>
      <c r="C131" s="5">
        <v>17</v>
      </c>
      <c r="E131" s="5">
        <v>124</v>
      </c>
      <c r="F131" s="6" t="str">
        <f t="array" ref="F131">IF(ROWS(F$8:F131)&gt;$G$5,"",INDEX(B$5:B$936,SMALL(IF(ISNUMBER(MATCH($B$5:$B$936,$I$6:$I$21,0)),ROW($B$5:$B$936)-ROW($B$5)+1),ROWS(F$8:F131))))</f>
        <v>Jules  Horowitz</v>
      </c>
      <c r="G131" s="6">
        <f t="array" ref="G131">IF(ROWS(G$8:G131)&gt;$G$5,"",INDEX(C$5:C$936,SMALL(IF(ISNUMBER(MATCH($B$5:$B$936,$I$6:$I$21,0)),ROW($B$5:$B$936)-ROW($B$5)+1),ROWS(G$8:G131))))</f>
        <v>53</v>
      </c>
      <c r="K131" s="5">
        <v>124</v>
      </c>
      <c r="L131" s="6" t="str">
        <f>IF(ROWS(F$8:F131)&gt;$G$5,"",INDEX(B$5:B$936,_xlfn.AGGREGATE(15,6,(ROW($B$5:$B$936)-ROW($B$5)+1)/ISNUMBER(MATCH($B$5:$B$936,$I$6:$I$21,0)),ROWS(F$8:F131))))</f>
        <v>Jules  Horowitz</v>
      </c>
      <c r="M131" s="6">
        <f>IF(ROWS(G$8:G131)&gt;$G$5,"",INDEX(C$5:C$936,_xlfn.AGGREGATE(15,6,(ROW($B$5:$B$936)-ROW($B$5)+1)/ISNUMBER(MATCH($B$5:$B$936,$I$6:$I$21,0)),ROWS(G$8:G131))))</f>
        <v>53</v>
      </c>
    </row>
    <row r="132" spans="1:13" x14ac:dyDescent="0.25">
      <c r="A132" s="19">
        <v>41979</v>
      </c>
      <c r="B132" s="5" t="s">
        <v>646</v>
      </c>
      <c r="C132" s="5">
        <v>27</v>
      </c>
      <c r="E132" s="5">
        <v>125</v>
      </c>
      <c r="F132" s="6" t="str">
        <f t="array" ref="F132">IF(ROWS(F$8:F132)&gt;$G$5,"",INDEX(B$5:B$936,SMALL(IF(ISNUMBER(MATCH($B$5:$B$936,$I$6:$I$21,0)),ROW($B$5:$B$936)-ROW($B$5)+1),ROWS(F$8:F132))))</f>
        <v>Shandra  Rife</v>
      </c>
      <c r="G132" s="6">
        <f t="array" ref="G132">IF(ROWS(G$8:G132)&gt;$G$5,"",INDEX(C$5:C$936,SMALL(IF(ISNUMBER(MATCH($B$5:$B$936,$I$6:$I$21,0)),ROW($B$5:$B$936)-ROW($B$5)+1),ROWS(G$8:G132))))</f>
        <v>10</v>
      </c>
      <c r="K132" s="5">
        <v>125</v>
      </c>
      <c r="L132" s="6" t="str">
        <f>IF(ROWS(F$8:F132)&gt;$G$5,"",INDEX(B$5:B$936,_xlfn.AGGREGATE(15,6,(ROW($B$5:$B$936)-ROW($B$5)+1)/ISNUMBER(MATCH($B$5:$B$936,$I$6:$I$21,0)),ROWS(F$8:F132))))</f>
        <v>Shandra  Rife</v>
      </c>
      <c r="M132" s="6">
        <f>IF(ROWS(G$8:G132)&gt;$G$5,"",INDEX(C$5:C$936,_xlfn.AGGREGATE(15,6,(ROW($B$5:$B$936)-ROW($B$5)+1)/ISNUMBER(MATCH($B$5:$B$936,$I$6:$I$21,0)),ROWS(G$8:G132))))</f>
        <v>10</v>
      </c>
    </row>
    <row r="133" spans="1:13" x14ac:dyDescent="0.25">
      <c r="A133" s="19">
        <v>41860</v>
      </c>
      <c r="B133" s="5" t="s">
        <v>725</v>
      </c>
      <c r="C133" s="5">
        <v>33</v>
      </c>
      <c r="E133" s="5">
        <v>126</v>
      </c>
      <c r="F133" s="6" t="str">
        <f t="array" ref="F133">IF(ROWS(F$8:F133)&gt;$G$5,"",INDEX(B$5:B$936,SMALL(IF(ISNUMBER(MATCH($B$5:$B$936,$I$6:$I$21,0)),ROW($B$5:$B$936)-ROW($B$5)+1),ROWS(F$8:F133))))</f>
        <v>Jeremy  Shea</v>
      </c>
      <c r="G133" s="6">
        <f t="array" ref="G133">IF(ROWS(G$8:G133)&gt;$G$5,"",INDEX(C$5:C$936,SMALL(IF(ISNUMBER(MATCH($B$5:$B$936,$I$6:$I$21,0)),ROW($B$5:$B$936)-ROW($B$5)+1),ROWS(G$8:G133))))</f>
        <v>31</v>
      </c>
      <c r="K133" s="5">
        <v>126</v>
      </c>
      <c r="L133" s="6" t="str">
        <f>IF(ROWS(F$8:F133)&gt;$G$5,"",INDEX(B$5:B$936,_xlfn.AGGREGATE(15,6,(ROW($B$5:$B$936)-ROW($B$5)+1)/ISNUMBER(MATCH($B$5:$B$936,$I$6:$I$21,0)),ROWS(F$8:F133))))</f>
        <v>Jeremy  Shea</v>
      </c>
      <c r="M133" s="6">
        <f>IF(ROWS(G$8:G133)&gt;$G$5,"",INDEX(C$5:C$936,_xlfn.AGGREGATE(15,6,(ROW($B$5:$B$936)-ROW($B$5)+1)/ISNUMBER(MATCH($B$5:$B$936,$I$6:$I$21,0)),ROWS(G$8:G133))))</f>
        <v>31</v>
      </c>
    </row>
    <row r="134" spans="1:13" x14ac:dyDescent="0.25">
      <c r="A134" s="19">
        <v>41834</v>
      </c>
      <c r="B134" s="5" t="s">
        <v>660</v>
      </c>
      <c r="C134" s="5">
        <v>18</v>
      </c>
      <c r="E134" s="5">
        <v>127</v>
      </c>
      <c r="F134" s="6" t="str">
        <f t="array" ref="F134">IF(ROWS(F$8:F134)&gt;$G$5,"",INDEX(B$5:B$936,SMALL(IF(ISNUMBER(MATCH($B$5:$B$936,$I$6:$I$21,0)),ROW($B$5:$B$936)-ROW($B$5)+1),ROWS(F$8:F134))))</f>
        <v>Idalia  Osullivan</v>
      </c>
      <c r="G134" s="6">
        <f t="array" ref="G134">IF(ROWS(G$8:G134)&gt;$G$5,"",INDEX(C$5:C$936,SMALL(IF(ISNUMBER(MATCH($B$5:$B$936,$I$6:$I$21,0)),ROW($B$5:$B$936)-ROW($B$5)+1),ROWS(G$8:G134))))</f>
        <v>27</v>
      </c>
      <c r="K134" s="5">
        <v>127</v>
      </c>
      <c r="L134" s="6" t="str">
        <f>IF(ROWS(F$8:F134)&gt;$G$5,"",INDEX(B$5:B$936,_xlfn.AGGREGATE(15,6,(ROW($B$5:$B$936)-ROW($B$5)+1)/ISNUMBER(MATCH($B$5:$B$936,$I$6:$I$21,0)),ROWS(F$8:F134))))</f>
        <v>Idalia  Osullivan</v>
      </c>
      <c r="M134" s="6">
        <f>IF(ROWS(G$8:G134)&gt;$G$5,"",INDEX(C$5:C$936,_xlfn.AGGREGATE(15,6,(ROW($B$5:$B$936)-ROW($B$5)+1)/ISNUMBER(MATCH($B$5:$B$936,$I$6:$I$21,0)),ROWS(G$8:G134))))</f>
        <v>27</v>
      </c>
    </row>
    <row r="135" spans="1:13" x14ac:dyDescent="0.25">
      <c r="A135" s="19">
        <v>41897</v>
      </c>
      <c r="B135" s="5" t="s">
        <v>731</v>
      </c>
      <c r="C135" s="5">
        <v>6</v>
      </c>
      <c r="E135" s="5">
        <v>128</v>
      </c>
      <c r="F135" s="6" t="str">
        <f t="array" ref="F135">IF(ROWS(F$8:F135)&gt;$G$5,"",INDEX(B$5:B$936,SMALL(IF(ISNUMBER(MATCH($B$5:$B$936,$I$6:$I$21,0)),ROW($B$5:$B$936)-ROW($B$5)+1),ROWS(F$8:F135))))</f>
        <v>Jules  Horowitz</v>
      </c>
      <c r="G135" s="6">
        <f t="array" ref="G135">IF(ROWS(G$8:G135)&gt;$G$5,"",INDEX(C$5:C$936,SMALL(IF(ISNUMBER(MATCH($B$5:$B$936,$I$6:$I$21,0)),ROW($B$5:$B$936)-ROW($B$5)+1),ROWS(G$8:G135))))</f>
        <v>45</v>
      </c>
      <c r="K135" s="5">
        <v>128</v>
      </c>
      <c r="L135" s="6" t="str">
        <f>IF(ROWS(F$8:F135)&gt;$G$5,"",INDEX(B$5:B$936,_xlfn.AGGREGATE(15,6,(ROW($B$5:$B$936)-ROW($B$5)+1)/ISNUMBER(MATCH($B$5:$B$936,$I$6:$I$21,0)),ROWS(F$8:F135))))</f>
        <v>Jules  Horowitz</v>
      </c>
      <c r="M135" s="6">
        <f>IF(ROWS(G$8:G135)&gt;$G$5,"",INDEX(C$5:C$936,_xlfn.AGGREGATE(15,6,(ROW($B$5:$B$936)-ROW($B$5)+1)/ISNUMBER(MATCH($B$5:$B$936,$I$6:$I$21,0)),ROWS(G$8:G135))))</f>
        <v>45</v>
      </c>
    </row>
    <row r="136" spans="1:13" x14ac:dyDescent="0.25">
      <c r="A136" s="19">
        <v>41887</v>
      </c>
      <c r="B136" s="5" t="s">
        <v>728</v>
      </c>
      <c r="C136" s="5">
        <v>66</v>
      </c>
      <c r="E136" s="5">
        <v>129</v>
      </c>
      <c r="F136" s="6" t="str">
        <f t="array" ref="F136">IF(ROWS(F$8:F136)&gt;$G$5,"",INDEX(B$5:B$936,SMALL(IF(ISNUMBER(MATCH($B$5:$B$936,$I$6:$I$21,0)),ROW($B$5:$B$936)-ROW($B$5)+1),ROWS(F$8:F136))))</f>
        <v>Gail  Reaves</v>
      </c>
      <c r="G136" s="6">
        <f t="array" ref="G136">IF(ROWS(G$8:G136)&gt;$G$5,"",INDEX(C$5:C$936,SMALL(IF(ISNUMBER(MATCH($B$5:$B$936,$I$6:$I$21,0)),ROW($B$5:$B$936)-ROW($B$5)+1),ROWS(G$8:G136))))</f>
        <v>30</v>
      </c>
      <c r="K136" s="5">
        <v>129</v>
      </c>
      <c r="L136" s="6" t="str">
        <f>IF(ROWS(F$8:F136)&gt;$G$5,"",INDEX(B$5:B$936,_xlfn.AGGREGATE(15,6,(ROW($B$5:$B$936)-ROW($B$5)+1)/ISNUMBER(MATCH($B$5:$B$936,$I$6:$I$21,0)),ROWS(F$8:F136))))</f>
        <v>Gail  Reaves</v>
      </c>
      <c r="M136" s="6">
        <f>IF(ROWS(G$8:G136)&gt;$G$5,"",INDEX(C$5:C$936,_xlfn.AGGREGATE(15,6,(ROW($B$5:$B$936)-ROW($B$5)+1)/ISNUMBER(MATCH($B$5:$B$936,$I$6:$I$21,0)),ROWS(G$8:G136))))</f>
        <v>30</v>
      </c>
    </row>
    <row r="137" spans="1:13" x14ac:dyDescent="0.25">
      <c r="A137" s="19">
        <v>41954</v>
      </c>
      <c r="B137" s="5" t="s">
        <v>742</v>
      </c>
      <c r="C137" s="5">
        <v>21</v>
      </c>
      <c r="E137" s="5">
        <v>130</v>
      </c>
      <c r="F137" s="6" t="str">
        <f t="array" ref="F137">IF(ROWS(F$8:F137)&gt;$G$5,"",INDEX(B$5:B$936,SMALL(IF(ISNUMBER(MATCH($B$5:$B$936,$I$6:$I$21,0)),ROW($B$5:$B$936)-ROW($B$5)+1),ROWS(F$8:F137))))</f>
        <v>Allena  Swenson</v>
      </c>
      <c r="G137" s="6">
        <f t="array" ref="G137">IF(ROWS(G$8:G137)&gt;$G$5,"",INDEX(C$5:C$936,SMALL(IF(ISNUMBER(MATCH($B$5:$B$936,$I$6:$I$21,0)),ROW($B$5:$B$936)-ROW($B$5)+1),ROWS(G$8:G137))))</f>
        <v>17</v>
      </c>
      <c r="K137" s="5">
        <v>130</v>
      </c>
      <c r="L137" s="6" t="str">
        <f>IF(ROWS(F$8:F137)&gt;$G$5,"",INDEX(B$5:B$936,_xlfn.AGGREGATE(15,6,(ROW($B$5:$B$936)-ROW($B$5)+1)/ISNUMBER(MATCH($B$5:$B$936,$I$6:$I$21,0)),ROWS(F$8:F137))))</f>
        <v>Allena  Swenson</v>
      </c>
      <c r="M137" s="6">
        <f>IF(ROWS(G$8:G137)&gt;$G$5,"",INDEX(C$5:C$936,_xlfn.AGGREGATE(15,6,(ROW($B$5:$B$936)-ROW($B$5)+1)/ISNUMBER(MATCH($B$5:$B$936,$I$6:$I$21,0)),ROWS(G$8:G137))))</f>
        <v>17</v>
      </c>
    </row>
    <row r="138" spans="1:13" x14ac:dyDescent="0.25">
      <c r="A138" s="19">
        <v>41895</v>
      </c>
      <c r="B138" s="5" t="s">
        <v>653</v>
      </c>
      <c r="C138" s="5">
        <v>26</v>
      </c>
      <c r="E138" s="5">
        <v>131</v>
      </c>
      <c r="F138" s="6" t="str">
        <f t="array" ref="F138">IF(ROWS(F$8:F138)&gt;$G$5,"",INDEX(B$5:B$936,SMALL(IF(ISNUMBER(MATCH($B$5:$B$936,$I$6:$I$21,0)),ROW($B$5:$B$936)-ROW($B$5)+1),ROWS(F$8:F138))))</f>
        <v>Franchesca  Novak</v>
      </c>
      <c r="G138" s="6">
        <f t="array" ref="G138">IF(ROWS(G$8:G138)&gt;$G$5,"",INDEX(C$5:C$936,SMALL(IF(ISNUMBER(MATCH($B$5:$B$936,$I$6:$I$21,0)),ROW($B$5:$B$936)-ROW($B$5)+1),ROWS(G$8:G138))))</f>
        <v>38</v>
      </c>
      <c r="K138" s="5">
        <v>131</v>
      </c>
      <c r="L138" s="6" t="str">
        <f>IF(ROWS(F$8:F138)&gt;$G$5,"",INDEX(B$5:B$936,_xlfn.AGGREGATE(15,6,(ROW($B$5:$B$936)-ROW($B$5)+1)/ISNUMBER(MATCH($B$5:$B$936,$I$6:$I$21,0)),ROWS(F$8:F138))))</f>
        <v>Franchesca  Novak</v>
      </c>
      <c r="M138" s="6">
        <f>IF(ROWS(G$8:G138)&gt;$G$5,"",INDEX(C$5:C$936,_xlfn.AGGREGATE(15,6,(ROW($B$5:$B$936)-ROW($B$5)+1)/ISNUMBER(MATCH($B$5:$B$936,$I$6:$I$21,0)),ROWS(G$8:G138))))</f>
        <v>38</v>
      </c>
    </row>
    <row r="139" spans="1:13" x14ac:dyDescent="0.25">
      <c r="A139" s="19">
        <v>41870</v>
      </c>
      <c r="B139" s="5" t="s">
        <v>703</v>
      </c>
      <c r="C139" s="5">
        <v>33</v>
      </c>
      <c r="E139" s="5">
        <v>132</v>
      </c>
      <c r="F139" s="6" t="str">
        <f t="array" ref="F139">IF(ROWS(F$8:F139)&gt;$G$5,"",INDEX(B$5:B$936,SMALL(IF(ISNUMBER(MATCH($B$5:$B$936,$I$6:$I$21,0)),ROW($B$5:$B$936)-ROW($B$5)+1),ROWS(F$8:F139))))</f>
        <v>Stormy  Haight</v>
      </c>
      <c r="G139" s="6">
        <f t="array" ref="G139">IF(ROWS(G$8:G139)&gt;$G$5,"",INDEX(C$5:C$936,SMALL(IF(ISNUMBER(MATCH($B$5:$B$936,$I$6:$I$21,0)),ROW($B$5:$B$936)-ROW($B$5)+1),ROWS(G$8:G139))))</f>
        <v>52</v>
      </c>
      <c r="K139" s="5">
        <v>132</v>
      </c>
      <c r="L139" s="6" t="str">
        <f>IF(ROWS(F$8:F139)&gt;$G$5,"",INDEX(B$5:B$936,_xlfn.AGGREGATE(15,6,(ROW($B$5:$B$936)-ROW($B$5)+1)/ISNUMBER(MATCH($B$5:$B$936,$I$6:$I$21,0)),ROWS(F$8:F139))))</f>
        <v>Stormy  Haight</v>
      </c>
      <c r="M139" s="6">
        <f>IF(ROWS(G$8:G139)&gt;$G$5,"",INDEX(C$5:C$936,_xlfn.AGGREGATE(15,6,(ROW($B$5:$B$936)-ROW($B$5)+1)/ISNUMBER(MATCH($B$5:$B$936,$I$6:$I$21,0)),ROWS(G$8:G139))))</f>
        <v>52</v>
      </c>
    </row>
    <row r="140" spans="1:13" x14ac:dyDescent="0.25">
      <c r="A140" s="19">
        <v>41960</v>
      </c>
      <c r="B140" s="5" t="s">
        <v>719</v>
      </c>
      <c r="C140" s="5">
        <v>29</v>
      </c>
      <c r="E140" s="5">
        <v>133</v>
      </c>
      <c r="F140" s="6" t="str">
        <f t="array" ref="F140">IF(ROWS(F$8:F140)&gt;$G$5,"",INDEX(B$5:B$936,SMALL(IF(ISNUMBER(MATCH($B$5:$B$936,$I$6:$I$21,0)),ROW($B$5:$B$936)-ROW($B$5)+1),ROWS(F$8:F140))))</f>
        <v>Alyse  Hopson</v>
      </c>
      <c r="G140" s="6">
        <f t="array" ref="G140">IF(ROWS(G$8:G140)&gt;$G$5,"",INDEX(C$5:C$936,SMALL(IF(ISNUMBER(MATCH($B$5:$B$936,$I$6:$I$21,0)),ROW($B$5:$B$936)-ROW($B$5)+1),ROWS(G$8:G140))))</f>
        <v>14</v>
      </c>
      <c r="K140" s="5">
        <v>133</v>
      </c>
      <c r="L140" s="6" t="str">
        <f>IF(ROWS(F$8:F140)&gt;$G$5,"",INDEX(B$5:B$936,_xlfn.AGGREGATE(15,6,(ROW($B$5:$B$936)-ROW($B$5)+1)/ISNUMBER(MATCH($B$5:$B$936,$I$6:$I$21,0)),ROWS(F$8:F140))))</f>
        <v>Alyse  Hopson</v>
      </c>
      <c r="M140" s="6">
        <f>IF(ROWS(G$8:G140)&gt;$G$5,"",INDEX(C$5:C$936,_xlfn.AGGREGATE(15,6,(ROW($B$5:$B$936)-ROW($B$5)+1)/ISNUMBER(MATCH($B$5:$B$936,$I$6:$I$21,0)),ROWS(G$8:G140))))</f>
        <v>14</v>
      </c>
    </row>
    <row r="141" spans="1:13" x14ac:dyDescent="0.25">
      <c r="A141" s="19">
        <v>41939</v>
      </c>
      <c r="B141" s="5" t="s">
        <v>654</v>
      </c>
      <c r="C141" s="5">
        <v>68</v>
      </c>
      <c r="E141" s="5">
        <v>134</v>
      </c>
      <c r="F141" s="6" t="str">
        <f t="array" ref="F141">IF(ROWS(F$8:F141)&gt;$G$5,"",INDEX(B$5:B$936,SMALL(IF(ISNUMBER(MATCH($B$5:$B$936,$I$6:$I$21,0)),ROW($B$5:$B$936)-ROW($B$5)+1),ROWS(F$8:F141))))</f>
        <v>Alyse  Hopson</v>
      </c>
      <c r="G141" s="6">
        <f t="array" ref="G141">IF(ROWS(G$8:G141)&gt;$G$5,"",INDEX(C$5:C$936,SMALL(IF(ISNUMBER(MATCH($B$5:$B$936,$I$6:$I$21,0)),ROW($B$5:$B$936)-ROW($B$5)+1),ROWS(G$8:G141))))</f>
        <v>6</v>
      </c>
      <c r="K141" s="5">
        <v>134</v>
      </c>
      <c r="L141" s="6" t="str">
        <f>IF(ROWS(F$8:F141)&gt;$G$5,"",INDEX(B$5:B$936,_xlfn.AGGREGATE(15,6,(ROW($B$5:$B$936)-ROW($B$5)+1)/ISNUMBER(MATCH($B$5:$B$936,$I$6:$I$21,0)),ROWS(F$8:F141))))</f>
        <v>Alyse  Hopson</v>
      </c>
      <c r="M141" s="6">
        <f>IF(ROWS(G$8:G141)&gt;$G$5,"",INDEX(C$5:C$936,_xlfn.AGGREGATE(15,6,(ROW($B$5:$B$936)-ROW($B$5)+1)/ISNUMBER(MATCH($B$5:$B$936,$I$6:$I$21,0)),ROWS(G$8:G141))))</f>
        <v>6</v>
      </c>
    </row>
    <row r="142" spans="1:13" x14ac:dyDescent="0.25">
      <c r="A142" s="19">
        <v>41966</v>
      </c>
      <c r="B142" s="5" t="s">
        <v>746</v>
      </c>
      <c r="C142" s="5">
        <v>57</v>
      </c>
      <c r="E142" s="5">
        <v>135</v>
      </c>
      <c r="F142" s="6" t="str">
        <f t="array" ref="F142">IF(ROWS(F$8:F142)&gt;$G$5,"",INDEX(B$5:B$936,SMALL(IF(ISNUMBER(MATCH($B$5:$B$936,$I$6:$I$21,0)),ROW($B$5:$B$936)-ROW($B$5)+1),ROWS(F$8:F142))))</f>
        <v>Gail  Reaves</v>
      </c>
      <c r="G142" s="6">
        <f t="array" ref="G142">IF(ROWS(G$8:G142)&gt;$G$5,"",INDEX(C$5:C$936,SMALL(IF(ISNUMBER(MATCH($B$5:$B$936,$I$6:$I$21,0)),ROW($B$5:$B$936)-ROW($B$5)+1),ROWS(G$8:G142))))</f>
        <v>29</v>
      </c>
      <c r="K142" s="5">
        <v>135</v>
      </c>
      <c r="L142" s="6" t="str">
        <f>IF(ROWS(F$8:F142)&gt;$G$5,"",INDEX(B$5:B$936,_xlfn.AGGREGATE(15,6,(ROW($B$5:$B$936)-ROW($B$5)+1)/ISNUMBER(MATCH($B$5:$B$936,$I$6:$I$21,0)),ROWS(F$8:F142))))</f>
        <v>Gail  Reaves</v>
      </c>
      <c r="M142" s="6">
        <f>IF(ROWS(G$8:G142)&gt;$G$5,"",INDEX(C$5:C$936,_xlfn.AGGREGATE(15,6,(ROW($B$5:$B$936)-ROW($B$5)+1)/ISNUMBER(MATCH($B$5:$B$936,$I$6:$I$21,0)),ROWS(G$8:G142))))</f>
        <v>29</v>
      </c>
    </row>
    <row r="143" spans="1:13" x14ac:dyDescent="0.25">
      <c r="A143" s="19">
        <v>41804</v>
      </c>
      <c r="B143" s="5" t="s">
        <v>677</v>
      </c>
      <c r="C143" s="5">
        <v>53</v>
      </c>
      <c r="E143" s="5">
        <v>136</v>
      </c>
      <c r="F143" s="6" t="str">
        <f t="array" ref="F143">IF(ROWS(F$8:F143)&gt;$G$5,"",INDEX(B$5:B$936,SMALL(IF(ISNUMBER(MATCH($B$5:$B$936,$I$6:$I$21,0)),ROW($B$5:$B$936)-ROW($B$5)+1),ROWS(F$8:F143))))</f>
        <v>Alyse  Hopson</v>
      </c>
      <c r="G143" s="6">
        <f t="array" ref="G143">IF(ROWS(G$8:G143)&gt;$G$5,"",INDEX(C$5:C$936,SMALL(IF(ISNUMBER(MATCH($B$5:$B$936,$I$6:$I$21,0)),ROW($B$5:$B$936)-ROW($B$5)+1),ROWS(G$8:G143))))</f>
        <v>24</v>
      </c>
      <c r="K143" s="5">
        <v>136</v>
      </c>
      <c r="L143" s="6" t="str">
        <f>IF(ROWS(F$8:F143)&gt;$G$5,"",INDEX(B$5:B$936,_xlfn.AGGREGATE(15,6,(ROW($B$5:$B$936)-ROW($B$5)+1)/ISNUMBER(MATCH($B$5:$B$936,$I$6:$I$21,0)),ROWS(F$8:F143))))</f>
        <v>Alyse  Hopson</v>
      </c>
      <c r="M143" s="6">
        <f>IF(ROWS(G$8:G143)&gt;$G$5,"",INDEX(C$5:C$936,_xlfn.AGGREGATE(15,6,(ROW($B$5:$B$936)-ROW($B$5)+1)/ISNUMBER(MATCH($B$5:$B$936,$I$6:$I$21,0)),ROWS(G$8:G143))))</f>
        <v>24</v>
      </c>
    </row>
    <row r="144" spans="1:13" x14ac:dyDescent="0.25">
      <c r="A144" s="19">
        <v>41961</v>
      </c>
      <c r="B144" s="5" t="s">
        <v>690</v>
      </c>
      <c r="C144" s="5">
        <v>65</v>
      </c>
      <c r="E144" s="5">
        <v>137</v>
      </c>
      <c r="F144" s="6" t="str">
        <f t="array" ref="F144">IF(ROWS(F$8:F144)&gt;$G$5,"",INDEX(B$5:B$936,SMALL(IF(ISNUMBER(MATCH($B$5:$B$936,$I$6:$I$21,0)),ROW($B$5:$B$936)-ROW($B$5)+1),ROWS(F$8:F144))))</f>
        <v>Pansy  Sam</v>
      </c>
      <c r="G144" s="6">
        <f t="array" ref="G144">IF(ROWS(G$8:G144)&gt;$G$5,"",INDEX(C$5:C$936,SMALL(IF(ISNUMBER(MATCH($B$5:$B$936,$I$6:$I$21,0)),ROW($B$5:$B$936)-ROW($B$5)+1),ROWS(G$8:G144))))</f>
        <v>5</v>
      </c>
      <c r="K144" s="5">
        <v>137</v>
      </c>
      <c r="L144" s="6" t="str">
        <f>IF(ROWS(F$8:F144)&gt;$G$5,"",INDEX(B$5:B$936,_xlfn.AGGREGATE(15,6,(ROW($B$5:$B$936)-ROW($B$5)+1)/ISNUMBER(MATCH($B$5:$B$936,$I$6:$I$21,0)),ROWS(F$8:F144))))</f>
        <v>Pansy  Sam</v>
      </c>
      <c r="M144" s="6">
        <f>IF(ROWS(G$8:G144)&gt;$G$5,"",INDEX(C$5:C$936,_xlfn.AGGREGATE(15,6,(ROW($B$5:$B$936)-ROW($B$5)+1)/ISNUMBER(MATCH($B$5:$B$936,$I$6:$I$21,0)),ROWS(G$8:G144))))</f>
        <v>5</v>
      </c>
    </row>
    <row r="145" spans="1:13" x14ac:dyDescent="0.25">
      <c r="A145" s="19">
        <v>41853</v>
      </c>
      <c r="B145" s="5" t="s">
        <v>709</v>
      </c>
      <c r="C145" s="5">
        <v>56</v>
      </c>
      <c r="E145" s="5">
        <v>138</v>
      </c>
      <c r="F145" s="6" t="str">
        <f t="array" ref="F145">IF(ROWS(F$8:F145)&gt;$G$5,"",INDEX(B$5:B$936,SMALL(IF(ISNUMBER(MATCH($B$5:$B$936,$I$6:$I$21,0)),ROW($B$5:$B$936)-ROW($B$5)+1),ROWS(F$8:F145))))</f>
        <v>Alyse  Hopson</v>
      </c>
      <c r="G145" s="6">
        <f t="array" ref="G145">IF(ROWS(G$8:G145)&gt;$G$5,"",INDEX(C$5:C$936,SMALL(IF(ISNUMBER(MATCH($B$5:$B$936,$I$6:$I$21,0)),ROW($B$5:$B$936)-ROW($B$5)+1),ROWS(G$8:G145))))</f>
        <v>14</v>
      </c>
      <c r="K145" s="5">
        <v>138</v>
      </c>
      <c r="L145" s="6" t="str">
        <f>IF(ROWS(F$8:F145)&gt;$G$5,"",INDEX(B$5:B$936,_xlfn.AGGREGATE(15,6,(ROW($B$5:$B$936)-ROW($B$5)+1)/ISNUMBER(MATCH($B$5:$B$936,$I$6:$I$21,0)),ROWS(F$8:F145))))</f>
        <v>Alyse  Hopson</v>
      </c>
      <c r="M145" s="6">
        <f>IF(ROWS(G$8:G145)&gt;$G$5,"",INDEX(C$5:C$936,_xlfn.AGGREGATE(15,6,(ROW($B$5:$B$936)-ROW($B$5)+1)/ISNUMBER(MATCH($B$5:$B$936,$I$6:$I$21,0)),ROWS(G$8:G145))))</f>
        <v>14</v>
      </c>
    </row>
    <row r="146" spans="1:13" x14ac:dyDescent="0.25">
      <c r="A146" s="19">
        <v>41898</v>
      </c>
      <c r="B146" s="5" t="s">
        <v>741</v>
      </c>
      <c r="C146" s="5">
        <v>2</v>
      </c>
      <c r="E146" s="5">
        <v>139</v>
      </c>
      <c r="F146" s="6" t="str">
        <f t="array" ref="F146">IF(ROWS(F$8:F146)&gt;$G$5,"",INDEX(B$5:B$936,SMALL(IF(ISNUMBER(MATCH($B$5:$B$936,$I$6:$I$21,0)),ROW($B$5:$B$936)-ROW($B$5)+1),ROWS(F$8:F146))))</f>
        <v>Marlana  Huang</v>
      </c>
      <c r="G146" s="6">
        <f t="array" ref="G146">IF(ROWS(G$8:G146)&gt;$G$5,"",INDEX(C$5:C$936,SMALL(IF(ISNUMBER(MATCH($B$5:$B$936,$I$6:$I$21,0)),ROW($B$5:$B$936)-ROW($B$5)+1),ROWS(G$8:G146))))</f>
        <v>17</v>
      </c>
      <c r="K146" s="5">
        <v>139</v>
      </c>
      <c r="L146" s="6" t="str">
        <f>IF(ROWS(F$8:F146)&gt;$G$5,"",INDEX(B$5:B$936,_xlfn.AGGREGATE(15,6,(ROW($B$5:$B$936)-ROW($B$5)+1)/ISNUMBER(MATCH($B$5:$B$936,$I$6:$I$21,0)),ROWS(F$8:F146))))</f>
        <v>Marlana  Huang</v>
      </c>
      <c r="M146" s="6">
        <f>IF(ROWS(G$8:G146)&gt;$G$5,"",INDEX(C$5:C$936,_xlfn.AGGREGATE(15,6,(ROW($B$5:$B$936)-ROW($B$5)+1)/ISNUMBER(MATCH($B$5:$B$936,$I$6:$I$21,0)),ROWS(G$8:G146))))</f>
        <v>17</v>
      </c>
    </row>
    <row r="147" spans="1:13" x14ac:dyDescent="0.25">
      <c r="A147" s="19">
        <v>41983</v>
      </c>
      <c r="B147" s="5" t="s">
        <v>688</v>
      </c>
      <c r="C147" s="5">
        <v>29</v>
      </c>
      <c r="E147" s="5">
        <v>140</v>
      </c>
      <c r="F147" s="6" t="str">
        <f t="array" ref="F147">IF(ROWS(F$8:F147)&gt;$G$5,"",INDEX(B$5:B$936,SMALL(IF(ISNUMBER(MATCH($B$5:$B$936,$I$6:$I$21,0)),ROW($B$5:$B$936)-ROW($B$5)+1),ROWS(F$8:F147))))</f>
        <v>Ivelisse  Goins</v>
      </c>
      <c r="G147" s="6">
        <f t="array" ref="G147">IF(ROWS(G$8:G147)&gt;$G$5,"",INDEX(C$5:C$936,SMALL(IF(ISNUMBER(MATCH($B$5:$B$936,$I$6:$I$21,0)),ROW($B$5:$B$936)-ROW($B$5)+1),ROWS(G$8:G147))))</f>
        <v>18</v>
      </c>
      <c r="K147" s="5">
        <v>140</v>
      </c>
      <c r="L147" s="6" t="str">
        <f>IF(ROWS(F$8:F147)&gt;$G$5,"",INDEX(B$5:B$936,_xlfn.AGGREGATE(15,6,(ROW($B$5:$B$936)-ROW($B$5)+1)/ISNUMBER(MATCH($B$5:$B$936,$I$6:$I$21,0)),ROWS(F$8:F147))))</f>
        <v>Ivelisse  Goins</v>
      </c>
      <c r="M147" s="6">
        <f>IF(ROWS(G$8:G147)&gt;$G$5,"",INDEX(C$5:C$936,_xlfn.AGGREGATE(15,6,(ROW($B$5:$B$936)-ROW($B$5)+1)/ISNUMBER(MATCH($B$5:$B$936,$I$6:$I$21,0)),ROWS(G$8:G147))))</f>
        <v>18</v>
      </c>
    </row>
    <row r="148" spans="1:13" x14ac:dyDescent="0.25">
      <c r="A148" s="19">
        <v>41932</v>
      </c>
      <c r="B148" s="5" t="s">
        <v>710</v>
      </c>
      <c r="C148" s="5">
        <v>32</v>
      </c>
      <c r="E148" s="5">
        <v>141</v>
      </c>
      <c r="F148" s="6" t="str">
        <f t="array" ref="F148">IF(ROWS(F$8:F148)&gt;$G$5,"",INDEX(B$5:B$936,SMALL(IF(ISNUMBER(MATCH($B$5:$B$936,$I$6:$I$21,0)),ROW($B$5:$B$936)-ROW($B$5)+1),ROWS(F$8:F148))))</f>
        <v>Jules  Horowitz</v>
      </c>
      <c r="G148" s="6">
        <f t="array" ref="G148">IF(ROWS(G$8:G148)&gt;$G$5,"",INDEX(C$5:C$936,SMALL(IF(ISNUMBER(MATCH($B$5:$B$936,$I$6:$I$21,0)),ROW($B$5:$B$936)-ROW($B$5)+1),ROWS(G$8:G148))))</f>
        <v>58</v>
      </c>
      <c r="K148" s="5">
        <v>141</v>
      </c>
      <c r="L148" s="6" t="str">
        <f>IF(ROWS(F$8:F148)&gt;$G$5,"",INDEX(B$5:B$936,_xlfn.AGGREGATE(15,6,(ROW($B$5:$B$936)-ROW($B$5)+1)/ISNUMBER(MATCH($B$5:$B$936,$I$6:$I$21,0)),ROWS(F$8:F148))))</f>
        <v>Jules  Horowitz</v>
      </c>
      <c r="M148" s="6">
        <f>IF(ROWS(G$8:G148)&gt;$G$5,"",INDEX(C$5:C$936,_xlfn.AGGREGATE(15,6,(ROW($B$5:$B$936)-ROW($B$5)+1)/ISNUMBER(MATCH($B$5:$B$936,$I$6:$I$21,0)),ROWS(G$8:G148))))</f>
        <v>58</v>
      </c>
    </row>
    <row r="149" spans="1:13" x14ac:dyDescent="0.25">
      <c r="A149" s="19">
        <v>41844</v>
      </c>
      <c r="B149" s="5" t="s">
        <v>724</v>
      </c>
      <c r="C149" s="5">
        <v>25</v>
      </c>
      <c r="E149" s="5">
        <v>142</v>
      </c>
      <c r="F149" s="6" t="str">
        <f t="array" ref="F149">IF(ROWS(F$8:F149)&gt;$G$5,"",INDEX(B$5:B$936,SMALL(IF(ISNUMBER(MATCH($B$5:$B$936,$I$6:$I$21,0)),ROW($B$5:$B$936)-ROW($B$5)+1),ROWS(F$8:F149))))</f>
        <v>Marcelle  Raley</v>
      </c>
      <c r="G149" s="6">
        <f t="array" ref="G149">IF(ROWS(G$8:G149)&gt;$G$5,"",INDEX(C$5:C$936,SMALL(IF(ISNUMBER(MATCH($B$5:$B$936,$I$6:$I$21,0)),ROW($B$5:$B$936)-ROW($B$5)+1),ROWS(G$8:G149))))</f>
        <v>15</v>
      </c>
      <c r="K149" s="5">
        <v>142</v>
      </c>
      <c r="L149" s="6" t="str">
        <f>IF(ROWS(F$8:F149)&gt;$G$5,"",INDEX(B$5:B$936,_xlfn.AGGREGATE(15,6,(ROW($B$5:$B$936)-ROW($B$5)+1)/ISNUMBER(MATCH($B$5:$B$936,$I$6:$I$21,0)),ROWS(F$8:F149))))</f>
        <v>Marcelle  Raley</v>
      </c>
      <c r="M149" s="6">
        <f>IF(ROWS(G$8:G149)&gt;$G$5,"",INDEX(C$5:C$936,_xlfn.AGGREGATE(15,6,(ROW($B$5:$B$936)-ROW($B$5)+1)/ISNUMBER(MATCH($B$5:$B$936,$I$6:$I$21,0)),ROWS(G$8:G149))))</f>
        <v>15</v>
      </c>
    </row>
    <row r="150" spans="1:13" x14ac:dyDescent="0.25">
      <c r="A150" s="19">
        <v>41847</v>
      </c>
      <c r="B150" s="5" t="s">
        <v>741</v>
      </c>
      <c r="C150" s="5">
        <v>20</v>
      </c>
      <c r="E150" s="5">
        <v>143</v>
      </c>
      <c r="F150" s="6" t="str">
        <f t="array" ref="F150">IF(ROWS(F$8:F150)&gt;$G$5,"",INDEX(B$5:B$936,SMALL(IF(ISNUMBER(MATCH($B$5:$B$936,$I$6:$I$21,0)),ROW($B$5:$B$936)-ROW($B$5)+1),ROWS(F$8:F150))))</f>
        <v>Jules  Horowitz</v>
      </c>
      <c r="G150" s="6">
        <f t="array" ref="G150">IF(ROWS(G$8:G150)&gt;$G$5,"",INDEX(C$5:C$936,SMALL(IF(ISNUMBER(MATCH($B$5:$B$936,$I$6:$I$21,0)),ROW($B$5:$B$936)-ROW($B$5)+1),ROWS(G$8:G150))))</f>
        <v>61</v>
      </c>
      <c r="K150" s="5">
        <v>143</v>
      </c>
      <c r="L150" s="6" t="str">
        <f>IF(ROWS(F$8:F150)&gt;$G$5,"",INDEX(B$5:B$936,_xlfn.AGGREGATE(15,6,(ROW($B$5:$B$936)-ROW($B$5)+1)/ISNUMBER(MATCH($B$5:$B$936,$I$6:$I$21,0)),ROWS(F$8:F150))))</f>
        <v>Jules  Horowitz</v>
      </c>
      <c r="M150" s="6">
        <f>IF(ROWS(G$8:G150)&gt;$G$5,"",INDEX(C$5:C$936,_xlfn.AGGREGATE(15,6,(ROW($B$5:$B$936)-ROW($B$5)+1)/ISNUMBER(MATCH($B$5:$B$936,$I$6:$I$21,0)),ROWS(G$8:G150))))</f>
        <v>61</v>
      </c>
    </row>
    <row r="151" spans="1:13" x14ac:dyDescent="0.25">
      <c r="A151" s="19">
        <v>41957</v>
      </c>
      <c r="B151" s="5" t="s">
        <v>716</v>
      </c>
      <c r="C151" s="5">
        <v>10</v>
      </c>
      <c r="E151" s="5">
        <v>144</v>
      </c>
      <c r="F151" s="6" t="str">
        <f t="array" ref="F151">IF(ROWS(F$8:F151)&gt;$G$5,"",INDEX(B$5:B$936,SMALL(IF(ISNUMBER(MATCH($B$5:$B$936,$I$6:$I$21,0)),ROW($B$5:$B$936)-ROW($B$5)+1),ROWS(F$8:F151))))</f>
        <v>Rhett  Seymore</v>
      </c>
      <c r="G151" s="6">
        <f t="array" ref="G151">IF(ROWS(G$8:G151)&gt;$G$5,"",INDEX(C$5:C$936,SMALL(IF(ISNUMBER(MATCH($B$5:$B$936,$I$6:$I$21,0)),ROW($B$5:$B$936)-ROW($B$5)+1),ROWS(G$8:G151))))</f>
        <v>41</v>
      </c>
      <c r="K151" s="5">
        <v>144</v>
      </c>
      <c r="L151" s="6" t="str">
        <f>IF(ROWS(F$8:F151)&gt;$G$5,"",INDEX(B$5:B$936,_xlfn.AGGREGATE(15,6,(ROW($B$5:$B$936)-ROW($B$5)+1)/ISNUMBER(MATCH($B$5:$B$936,$I$6:$I$21,0)),ROWS(F$8:F151))))</f>
        <v>Rhett  Seymore</v>
      </c>
      <c r="M151" s="6">
        <f>IF(ROWS(G$8:G151)&gt;$G$5,"",INDEX(C$5:C$936,_xlfn.AGGREGATE(15,6,(ROW($B$5:$B$936)-ROW($B$5)+1)/ISNUMBER(MATCH($B$5:$B$936,$I$6:$I$21,0)),ROWS(G$8:G151))))</f>
        <v>41</v>
      </c>
    </row>
    <row r="152" spans="1:13" x14ac:dyDescent="0.25">
      <c r="A152" s="19">
        <v>41803</v>
      </c>
      <c r="B152" s="5" t="s">
        <v>727</v>
      </c>
      <c r="C152" s="5">
        <v>9</v>
      </c>
      <c r="E152" s="5">
        <v>145</v>
      </c>
      <c r="F152" s="6" t="str">
        <f t="array" ref="F152">IF(ROWS(F$8:F152)&gt;$G$5,"",INDEX(B$5:B$936,SMALL(IF(ISNUMBER(MATCH($B$5:$B$936,$I$6:$I$21,0)),ROW($B$5:$B$936)-ROW($B$5)+1),ROWS(F$8:F152))))</f>
        <v>Marlana  Huang</v>
      </c>
      <c r="G152" s="6">
        <f t="array" ref="G152">IF(ROWS(G$8:G152)&gt;$G$5,"",INDEX(C$5:C$936,SMALL(IF(ISNUMBER(MATCH($B$5:$B$936,$I$6:$I$21,0)),ROW($B$5:$B$936)-ROW($B$5)+1),ROWS(G$8:G152))))</f>
        <v>13</v>
      </c>
      <c r="K152" s="5">
        <v>145</v>
      </c>
      <c r="L152" s="6" t="str">
        <f>IF(ROWS(F$8:F152)&gt;$G$5,"",INDEX(B$5:B$936,_xlfn.AGGREGATE(15,6,(ROW($B$5:$B$936)-ROW($B$5)+1)/ISNUMBER(MATCH($B$5:$B$936,$I$6:$I$21,0)),ROWS(F$8:F152))))</f>
        <v>Marlana  Huang</v>
      </c>
      <c r="M152" s="6">
        <f>IF(ROWS(G$8:G152)&gt;$G$5,"",INDEX(C$5:C$936,_xlfn.AGGREGATE(15,6,(ROW($B$5:$B$936)-ROW($B$5)+1)/ISNUMBER(MATCH($B$5:$B$936,$I$6:$I$21,0)),ROWS(G$8:G152))))</f>
        <v>13</v>
      </c>
    </row>
    <row r="153" spans="1:13" x14ac:dyDescent="0.25">
      <c r="A153" s="19">
        <v>41921</v>
      </c>
      <c r="B153" s="5" t="s">
        <v>657</v>
      </c>
      <c r="C153" s="5">
        <v>64</v>
      </c>
      <c r="E153" s="5">
        <v>146</v>
      </c>
      <c r="F153" s="6" t="str">
        <f t="array" ref="F153">IF(ROWS(F$8:F153)&gt;$G$5,"",INDEX(B$5:B$936,SMALL(IF(ISNUMBER(MATCH($B$5:$B$936,$I$6:$I$21,0)),ROW($B$5:$B$936)-ROW($B$5)+1),ROWS(F$8:F153))))</f>
        <v>Jeremy  Shea</v>
      </c>
      <c r="G153" s="6">
        <f t="array" ref="G153">IF(ROWS(G$8:G153)&gt;$G$5,"",INDEX(C$5:C$936,SMALL(IF(ISNUMBER(MATCH($B$5:$B$936,$I$6:$I$21,0)),ROW($B$5:$B$936)-ROW($B$5)+1),ROWS(G$8:G153))))</f>
        <v>62</v>
      </c>
      <c r="K153" s="5">
        <v>146</v>
      </c>
      <c r="L153" s="6" t="str">
        <f>IF(ROWS(F$8:F153)&gt;$G$5,"",INDEX(B$5:B$936,_xlfn.AGGREGATE(15,6,(ROW($B$5:$B$936)-ROW($B$5)+1)/ISNUMBER(MATCH($B$5:$B$936,$I$6:$I$21,0)),ROWS(F$8:F153))))</f>
        <v>Jeremy  Shea</v>
      </c>
      <c r="M153" s="6">
        <f>IF(ROWS(G$8:G153)&gt;$G$5,"",INDEX(C$5:C$936,_xlfn.AGGREGATE(15,6,(ROW($B$5:$B$936)-ROW($B$5)+1)/ISNUMBER(MATCH($B$5:$B$936,$I$6:$I$21,0)),ROWS(G$8:G153))))</f>
        <v>62</v>
      </c>
    </row>
    <row r="154" spans="1:13" x14ac:dyDescent="0.25">
      <c r="A154" s="19">
        <v>41825</v>
      </c>
      <c r="B154" s="5" t="s">
        <v>726</v>
      </c>
      <c r="C154" s="5">
        <v>10</v>
      </c>
      <c r="E154" s="5">
        <v>147</v>
      </c>
      <c r="F154" s="6" t="str">
        <f t="array" ref="F154">IF(ROWS(F$8:F154)&gt;$G$5,"",INDEX(B$5:B$936,SMALL(IF(ISNUMBER(MATCH($B$5:$B$936,$I$6:$I$21,0)),ROW($B$5:$B$936)-ROW($B$5)+1),ROWS(F$8:F154))))</f>
        <v>Allena  Swenson</v>
      </c>
      <c r="G154" s="6">
        <f t="array" ref="G154">IF(ROWS(G$8:G154)&gt;$G$5,"",INDEX(C$5:C$936,SMALL(IF(ISNUMBER(MATCH($B$5:$B$936,$I$6:$I$21,0)),ROW($B$5:$B$936)-ROW($B$5)+1),ROWS(G$8:G154))))</f>
        <v>32</v>
      </c>
      <c r="K154" s="5">
        <v>147</v>
      </c>
      <c r="L154" s="6" t="str">
        <f>IF(ROWS(F$8:F154)&gt;$G$5,"",INDEX(B$5:B$936,_xlfn.AGGREGATE(15,6,(ROW($B$5:$B$936)-ROW($B$5)+1)/ISNUMBER(MATCH($B$5:$B$936,$I$6:$I$21,0)),ROWS(F$8:F154))))</f>
        <v>Allena  Swenson</v>
      </c>
      <c r="M154" s="6">
        <f>IF(ROWS(G$8:G154)&gt;$G$5,"",INDEX(C$5:C$936,_xlfn.AGGREGATE(15,6,(ROW($B$5:$B$936)-ROW($B$5)+1)/ISNUMBER(MATCH($B$5:$B$936,$I$6:$I$21,0)),ROWS(G$8:G154))))</f>
        <v>32</v>
      </c>
    </row>
    <row r="155" spans="1:13" x14ac:dyDescent="0.25">
      <c r="A155" s="19">
        <v>41825</v>
      </c>
      <c r="B155" s="5" t="s">
        <v>749</v>
      </c>
      <c r="C155" s="5">
        <v>72</v>
      </c>
      <c r="E155" s="5">
        <v>148</v>
      </c>
      <c r="F155" s="6" t="str">
        <f t="array" ref="F155">IF(ROWS(F$8:F155)&gt;$G$5,"",INDEX(B$5:B$936,SMALL(IF(ISNUMBER(MATCH($B$5:$B$936,$I$6:$I$21,0)),ROW($B$5:$B$936)-ROW($B$5)+1),ROWS(F$8:F155))))</f>
        <v>Gail  Reaves</v>
      </c>
      <c r="G155" s="6">
        <f t="array" ref="G155">IF(ROWS(G$8:G155)&gt;$G$5,"",INDEX(C$5:C$936,SMALL(IF(ISNUMBER(MATCH($B$5:$B$936,$I$6:$I$21,0)),ROW($B$5:$B$936)-ROW($B$5)+1),ROWS(G$8:G155))))</f>
        <v>21</v>
      </c>
      <c r="K155" s="5">
        <v>148</v>
      </c>
      <c r="L155" s="6" t="str">
        <f>IF(ROWS(F$8:F155)&gt;$G$5,"",INDEX(B$5:B$936,_xlfn.AGGREGATE(15,6,(ROW($B$5:$B$936)-ROW($B$5)+1)/ISNUMBER(MATCH($B$5:$B$936,$I$6:$I$21,0)),ROWS(F$8:F155))))</f>
        <v>Gail  Reaves</v>
      </c>
      <c r="M155" s="6">
        <f>IF(ROWS(G$8:G155)&gt;$G$5,"",INDEX(C$5:C$936,_xlfn.AGGREGATE(15,6,(ROW($B$5:$B$936)-ROW($B$5)+1)/ISNUMBER(MATCH($B$5:$B$936,$I$6:$I$21,0)),ROWS(G$8:G155))))</f>
        <v>21</v>
      </c>
    </row>
    <row r="156" spans="1:13" x14ac:dyDescent="0.25">
      <c r="A156" s="19">
        <v>41995</v>
      </c>
      <c r="B156" s="5" t="s">
        <v>663</v>
      </c>
      <c r="C156" s="5">
        <v>32</v>
      </c>
      <c r="E156" s="5">
        <v>149</v>
      </c>
      <c r="F156" s="6" t="str">
        <f t="array" ref="F156">IF(ROWS(F$8:F156)&gt;$G$5,"",INDEX(B$5:B$936,SMALL(IF(ISNUMBER(MATCH($B$5:$B$936,$I$6:$I$21,0)),ROW($B$5:$B$936)-ROW($B$5)+1),ROWS(F$8:F156))))</f>
        <v>Alyse  Hopson</v>
      </c>
      <c r="G156" s="6">
        <f t="array" ref="G156">IF(ROWS(G$8:G156)&gt;$G$5,"",INDEX(C$5:C$936,SMALL(IF(ISNUMBER(MATCH($B$5:$B$936,$I$6:$I$21,0)),ROW($B$5:$B$936)-ROW($B$5)+1),ROWS(G$8:G156))))</f>
        <v>63</v>
      </c>
      <c r="K156" s="5">
        <v>149</v>
      </c>
      <c r="L156" s="6" t="str">
        <f>IF(ROWS(F$8:F156)&gt;$G$5,"",INDEX(B$5:B$936,_xlfn.AGGREGATE(15,6,(ROW($B$5:$B$936)-ROW($B$5)+1)/ISNUMBER(MATCH($B$5:$B$936,$I$6:$I$21,0)),ROWS(F$8:F156))))</f>
        <v>Alyse  Hopson</v>
      </c>
      <c r="M156" s="6">
        <f>IF(ROWS(G$8:G156)&gt;$G$5,"",INDEX(C$5:C$936,_xlfn.AGGREGATE(15,6,(ROW($B$5:$B$936)-ROW($B$5)+1)/ISNUMBER(MATCH($B$5:$B$936,$I$6:$I$21,0)),ROWS(G$8:G156))))</f>
        <v>63</v>
      </c>
    </row>
    <row r="157" spans="1:13" x14ac:dyDescent="0.25">
      <c r="A157" s="19">
        <v>41909</v>
      </c>
      <c r="B157" s="5" t="s">
        <v>694</v>
      </c>
      <c r="C157" s="5">
        <v>60</v>
      </c>
      <c r="E157" s="5">
        <v>150</v>
      </c>
      <c r="F157" s="6" t="str">
        <f t="array" ref="F157">IF(ROWS(F$8:F157)&gt;$G$5,"",INDEX(B$5:B$936,SMALL(IF(ISNUMBER(MATCH($B$5:$B$936,$I$6:$I$21,0)),ROW($B$5:$B$936)-ROW($B$5)+1),ROWS(F$8:F157))))</f>
        <v>Jeremy  Shea</v>
      </c>
      <c r="G157" s="6">
        <f t="array" ref="G157">IF(ROWS(G$8:G157)&gt;$G$5,"",INDEX(C$5:C$936,SMALL(IF(ISNUMBER(MATCH($B$5:$B$936,$I$6:$I$21,0)),ROW($B$5:$B$936)-ROW($B$5)+1),ROWS(G$8:G157))))</f>
        <v>60</v>
      </c>
      <c r="K157" s="5">
        <v>150</v>
      </c>
      <c r="L157" s="6" t="str">
        <f>IF(ROWS(F$8:F157)&gt;$G$5,"",INDEX(B$5:B$936,_xlfn.AGGREGATE(15,6,(ROW($B$5:$B$936)-ROW($B$5)+1)/ISNUMBER(MATCH($B$5:$B$936,$I$6:$I$21,0)),ROWS(F$8:F157))))</f>
        <v>Jeremy  Shea</v>
      </c>
      <c r="M157" s="6">
        <f>IF(ROWS(G$8:G157)&gt;$G$5,"",INDEX(C$5:C$936,_xlfn.AGGREGATE(15,6,(ROW($B$5:$B$936)-ROW($B$5)+1)/ISNUMBER(MATCH($B$5:$B$936,$I$6:$I$21,0)),ROWS(G$8:G157))))</f>
        <v>60</v>
      </c>
    </row>
    <row r="158" spans="1:13" x14ac:dyDescent="0.25">
      <c r="A158" s="19">
        <v>41859</v>
      </c>
      <c r="B158" s="5" t="s">
        <v>647</v>
      </c>
      <c r="C158" s="5">
        <v>16</v>
      </c>
      <c r="E158" s="5">
        <v>151</v>
      </c>
      <c r="F158" s="6" t="str">
        <f t="array" ref="F158">IF(ROWS(F$8:F158)&gt;$G$5,"",INDEX(B$5:B$936,SMALL(IF(ISNUMBER(MATCH($B$5:$B$936,$I$6:$I$21,0)),ROW($B$5:$B$936)-ROW($B$5)+1),ROWS(F$8:F158))))</f>
        <v>Franchesca  Novak</v>
      </c>
      <c r="G158" s="6">
        <f t="array" ref="G158">IF(ROWS(G$8:G158)&gt;$G$5,"",INDEX(C$5:C$936,SMALL(IF(ISNUMBER(MATCH($B$5:$B$936,$I$6:$I$21,0)),ROW($B$5:$B$936)-ROW($B$5)+1),ROWS(G$8:G158))))</f>
        <v>22</v>
      </c>
      <c r="K158" s="5">
        <v>151</v>
      </c>
      <c r="L158" s="6" t="str">
        <f>IF(ROWS(F$8:F158)&gt;$G$5,"",INDEX(B$5:B$936,_xlfn.AGGREGATE(15,6,(ROW($B$5:$B$936)-ROW($B$5)+1)/ISNUMBER(MATCH($B$5:$B$936,$I$6:$I$21,0)),ROWS(F$8:F158))))</f>
        <v>Franchesca  Novak</v>
      </c>
      <c r="M158" s="6">
        <f>IF(ROWS(G$8:G158)&gt;$G$5,"",INDEX(C$5:C$936,_xlfn.AGGREGATE(15,6,(ROW($B$5:$B$936)-ROW($B$5)+1)/ISNUMBER(MATCH($B$5:$B$936,$I$6:$I$21,0)),ROWS(G$8:G158))))</f>
        <v>22</v>
      </c>
    </row>
    <row r="159" spans="1:13" x14ac:dyDescent="0.25">
      <c r="A159" s="19">
        <v>41805</v>
      </c>
      <c r="B159" s="5" t="s">
        <v>676</v>
      </c>
      <c r="C159" s="5">
        <v>38</v>
      </c>
      <c r="E159" s="5">
        <v>152</v>
      </c>
      <c r="F159" s="6" t="str">
        <f t="array" ref="F159">IF(ROWS(F$8:F159)&gt;$G$5,"",INDEX(B$5:B$936,SMALL(IF(ISNUMBER(MATCH($B$5:$B$936,$I$6:$I$21,0)),ROW($B$5:$B$936)-ROW($B$5)+1),ROWS(F$8:F159))))</f>
        <v>Allena  Swenson</v>
      </c>
      <c r="G159" s="6">
        <f t="array" ref="G159">IF(ROWS(G$8:G159)&gt;$G$5,"",INDEX(C$5:C$936,SMALL(IF(ISNUMBER(MATCH($B$5:$B$936,$I$6:$I$21,0)),ROW($B$5:$B$936)-ROW($B$5)+1),ROWS(G$8:G159))))</f>
        <v>2</v>
      </c>
      <c r="K159" s="5">
        <v>152</v>
      </c>
      <c r="L159" s="6" t="str">
        <f>IF(ROWS(F$8:F159)&gt;$G$5,"",INDEX(B$5:B$936,_xlfn.AGGREGATE(15,6,(ROW($B$5:$B$936)-ROW($B$5)+1)/ISNUMBER(MATCH($B$5:$B$936,$I$6:$I$21,0)),ROWS(F$8:F159))))</f>
        <v>Allena  Swenson</v>
      </c>
      <c r="M159" s="6">
        <f>IF(ROWS(G$8:G159)&gt;$G$5,"",INDEX(C$5:C$936,_xlfn.AGGREGATE(15,6,(ROW($B$5:$B$936)-ROW($B$5)+1)/ISNUMBER(MATCH($B$5:$B$936,$I$6:$I$21,0)),ROWS(G$8:G159))))</f>
        <v>2</v>
      </c>
    </row>
    <row r="160" spans="1:13" x14ac:dyDescent="0.25">
      <c r="A160" s="19">
        <v>41942</v>
      </c>
      <c r="B160" s="5" t="s">
        <v>739</v>
      </c>
      <c r="C160" s="5">
        <v>48</v>
      </c>
      <c r="E160" s="5">
        <v>153</v>
      </c>
      <c r="F160" s="6" t="str">
        <f t="array" ref="F160">IF(ROWS(F$8:F160)&gt;$G$5,"",INDEX(B$5:B$936,SMALL(IF(ISNUMBER(MATCH($B$5:$B$936,$I$6:$I$21,0)),ROW($B$5:$B$936)-ROW($B$5)+1),ROWS(F$8:F160))))</f>
        <v>Eulalia  Clement</v>
      </c>
      <c r="G160" s="6">
        <f t="array" ref="G160">IF(ROWS(G$8:G160)&gt;$G$5,"",INDEX(C$5:C$936,SMALL(IF(ISNUMBER(MATCH($B$5:$B$936,$I$6:$I$21,0)),ROW($B$5:$B$936)-ROW($B$5)+1),ROWS(G$8:G160))))</f>
        <v>46</v>
      </c>
      <c r="K160" s="5">
        <v>153</v>
      </c>
      <c r="L160" s="6" t="str">
        <f>IF(ROWS(F$8:F160)&gt;$G$5,"",INDEX(B$5:B$936,_xlfn.AGGREGATE(15,6,(ROW($B$5:$B$936)-ROW($B$5)+1)/ISNUMBER(MATCH($B$5:$B$936,$I$6:$I$21,0)),ROWS(F$8:F160))))</f>
        <v>Eulalia  Clement</v>
      </c>
      <c r="M160" s="6">
        <f>IF(ROWS(G$8:G160)&gt;$G$5,"",INDEX(C$5:C$936,_xlfn.AGGREGATE(15,6,(ROW($B$5:$B$936)-ROW($B$5)+1)/ISNUMBER(MATCH($B$5:$B$936,$I$6:$I$21,0)),ROWS(G$8:G160))))</f>
        <v>46</v>
      </c>
    </row>
    <row r="161" spans="1:13" x14ac:dyDescent="0.25">
      <c r="A161" s="19">
        <v>41870</v>
      </c>
      <c r="B161" s="5" t="s">
        <v>734</v>
      </c>
      <c r="C161" s="5">
        <v>15</v>
      </c>
      <c r="E161" s="5">
        <v>154</v>
      </c>
      <c r="F161" s="6" t="str">
        <f t="array" ref="F161">IF(ROWS(F$8:F161)&gt;$G$5,"",INDEX(B$5:B$936,SMALL(IF(ISNUMBER(MATCH($B$5:$B$936,$I$6:$I$21,0)),ROW($B$5:$B$936)-ROW($B$5)+1),ROWS(F$8:F161))))</f>
        <v>Marlana  Huang</v>
      </c>
      <c r="G161" s="6">
        <f t="array" ref="G161">IF(ROWS(G$8:G161)&gt;$G$5,"",INDEX(C$5:C$936,SMALL(IF(ISNUMBER(MATCH($B$5:$B$936,$I$6:$I$21,0)),ROW($B$5:$B$936)-ROW($B$5)+1),ROWS(G$8:G161))))</f>
        <v>34</v>
      </c>
      <c r="K161" s="5">
        <v>154</v>
      </c>
      <c r="L161" s="6" t="str">
        <f>IF(ROWS(F$8:F161)&gt;$G$5,"",INDEX(B$5:B$936,_xlfn.AGGREGATE(15,6,(ROW($B$5:$B$936)-ROW($B$5)+1)/ISNUMBER(MATCH($B$5:$B$936,$I$6:$I$21,0)),ROWS(F$8:F161))))</f>
        <v>Marlana  Huang</v>
      </c>
      <c r="M161" s="6">
        <f>IF(ROWS(G$8:G161)&gt;$G$5,"",INDEX(C$5:C$936,_xlfn.AGGREGATE(15,6,(ROW($B$5:$B$936)-ROW($B$5)+1)/ISNUMBER(MATCH($B$5:$B$936,$I$6:$I$21,0)),ROWS(G$8:G161))))</f>
        <v>34</v>
      </c>
    </row>
    <row r="162" spans="1:13" x14ac:dyDescent="0.25">
      <c r="A162" s="19">
        <v>41989</v>
      </c>
      <c r="B162" s="5" t="s">
        <v>670</v>
      </c>
      <c r="C162" s="5">
        <v>9</v>
      </c>
      <c r="E162" s="5">
        <v>155</v>
      </c>
      <c r="F162" s="6" t="str">
        <f t="array" ref="F162">IF(ROWS(F$8:F162)&gt;$G$5,"",INDEX(B$5:B$936,SMALL(IF(ISNUMBER(MATCH($B$5:$B$936,$I$6:$I$21,0)),ROW($B$5:$B$936)-ROW($B$5)+1),ROWS(F$8:F162))))</f>
        <v>Shandra  Rife</v>
      </c>
      <c r="G162" s="6">
        <f t="array" ref="G162">IF(ROWS(G$8:G162)&gt;$G$5,"",INDEX(C$5:C$936,SMALL(IF(ISNUMBER(MATCH($B$5:$B$936,$I$6:$I$21,0)),ROW($B$5:$B$936)-ROW($B$5)+1),ROWS(G$8:G162))))</f>
        <v>45</v>
      </c>
      <c r="K162" s="5">
        <v>155</v>
      </c>
      <c r="L162" s="6" t="str">
        <f>IF(ROWS(F$8:F162)&gt;$G$5,"",INDEX(B$5:B$936,_xlfn.AGGREGATE(15,6,(ROW($B$5:$B$936)-ROW($B$5)+1)/ISNUMBER(MATCH($B$5:$B$936,$I$6:$I$21,0)),ROWS(F$8:F162))))</f>
        <v>Shandra  Rife</v>
      </c>
      <c r="M162" s="6">
        <f>IF(ROWS(G$8:G162)&gt;$G$5,"",INDEX(C$5:C$936,_xlfn.AGGREGATE(15,6,(ROW($B$5:$B$936)-ROW($B$5)+1)/ISNUMBER(MATCH($B$5:$B$936,$I$6:$I$21,0)),ROWS(G$8:G162))))</f>
        <v>45</v>
      </c>
    </row>
    <row r="163" spans="1:13" x14ac:dyDescent="0.25">
      <c r="A163" s="19">
        <v>41934</v>
      </c>
      <c r="B163" s="5" t="s">
        <v>710</v>
      </c>
      <c r="C163" s="5">
        <v>68</v>
      </c>
      <c r="E163" s="5">
        <v>156</v>
      </c>
      <c r="F163" s="6" t="str">
        <f t="array" ref="F163">IF(ROWS(F$8:F163)&gt;$G$5,"",INDEX(B$5:B$936,SMALL(IF(ISNUMBER(MATCH($B$5:$B$936,$I$6:$I$21,0)),ROW($B$5:$B$936)-ROW($B$5)+1),ROWS(F$8:F163))))</f>
        <v>Rhett  Seymore</v>
      </c>
      <c r="G163" s="6">
        <f t="array" ref="G163">IF(ROWS(G$8:G163)&gt;$G$5,"",INDEX(C$5:C$936,SMALL(IF(ISNUMBER(MATCH($B$5:$B$936,$I$6:$I$21,0)),ROW($B$5:$B$936)-ROW($B$5)+1),ROWS(G$8:G163))))</f>
        <v>25</v>
      </c>
      <c r="K163" s="5">
        <v>156</v>
      </c>
      <c r="L163" s="6" t="str">
        <f>IF(ROWS(F$8:F163)&gt;$G$5,"",INDEX(B$5:B$936,_xlfn.AGGREGATE(15,6,(ROW($B$5:$B$936)-ROW($B$5)+1)/ISNUMBER(MATCH($B$5:$B$936,$I$6:$I$21,0)),ROWS(F$8:F163))))</f>
        <v>Rhett  Seymore</v>
      </c>
      <c r="M163" s="6">
        <f>IF(ROWS(G$8:G163)&gt;$G$5,"",INDEX(C$5:C$936,_xlfn.AGGREGATE(15,6,(ROW($B$5:$B$936)-ROW($B$5)+1)/ISNUMBER(MATCH($B$5:$B$936,$I$6:$I$21,0)),ROWS(G$8:G163))))</f>
        <v>25</v>
      </c>
    </row>
    <row r="164" spans="1:13" x14ac:dyDescent="0.25">
      <c r="A164" s="19">
        <v>41943</v>
      </c>
      <c r="B164" s="5" t="s">
        <v>661</v>
      </c>
      <c r="C164" s="5">
        <v>45</v>
      </c>
      <c r="E164" s="5">
        <v>157</v>
      </c>
      <c r="F164" s="6" t="str">
        <f t="array" ref="F164">IF(ROWS(F$8:F164)&gt;$G$5,"",INDEX(B$5:B$936,SMALL(IF(ISNUMBER(MATCH($B$5:$B$936,$I$6:$I$21,0)),ROW($B$5:$B$936)-ROW($B$5)+1),ROWS(F$8:F164))))</f>
        <v>Shandra  Rife</v>
      </c>
      <c r="G164" s="6">
        <f t="array" ref="G164">IF(ROWS(G$8:G164)&gt;$G$5,"",INDEX(C$5:C$936,SMALL(IF(ISNUMBER(MATCH($B$5:$B$936,$I$6:$I$21,0)),ROW($B$5:$B$936)-ROW($B$5)+1),ROWS(G$8:G164))))</f>
        <v>28</v>
      </c>
      <c r="K164" s="5">
        <v>157</v>
      </c>
      <c r="L164" s="6" t="str">
        <f>IF(ROWS(F$8:F164)&gt;$G$5,"",INDEX(B$5:B$936,_xlfn.AGGREGATE(15,6,(ROW($B$5:$B$936)-ROW($B$5)+1)/ISNUMBER(MATCH($B$5:$B$936,$I$6:$I$21,0)),ROWS(F$8:F164))))</f>
        <v>Shandra  Rife</v>
      </c>
      <c r="M164" s="6">
        <f>IF(ROWS(G$8:G164)&gt;$G$5,"",INDEX(C$5:C$936,_xlfn.AGGREGATE(15,6,(ROW($B$5:$B$936)-ROW($B$5)+1)/ISNUMBER(MATCH($B$5:$B$936,$I$6:$I$21,0)),ROWS(G$8:G164))))</f>
        <v>28</v>
      </c>
    </row>
    <row r="165" spans="1:13" x14ac:dyDescent="0.25">
      <c r="A165" s="19">
        <v>41871</v>
      </c>
      <c r="B165" s="5" t="s">
        <v>736</v>
      </c>
      <c r="C165" s="5">
        <v>72</v>
      </c>
      <c r="E165" s="5">
        <v>158</v>
      </c>
      <c r="F165" s="6" t="str">
        <f t="array" ref="F165">IF(ROWS(F$8:F165)&gt;$G$5,"",INDEX(B$5:B$936,SMALL(IF(ISNUMBER(MATCH($B$5:$B$936,$I$6:$I$21,0)),ROW($B$5:$B$936)-ROW($B$5)+1),ROWS(F$8:F165))))</f>
        <v>Marcelle  Raley</v>
      </c>
      <c r="G165" s="6">
        <f t="array" ref="G165">IF(ROWS(G$8:G165)&gt;$G$5,"",INDEX(C$5:C$936,SMALL(IF(ISNUMBER(MATCH($B$5:$B$936,$I$6:$I$21,0)),ROW($B$5:$B$936)-ROW($B$5)+1),ROWS(G$8:G165))))</f>
        <v>6</v>
      </c>
      <c r="K165" s="5">
        <v>158</v>
      </c>
      <c r="L165" s="6" t="str">
        <f>IF(ROWS(F$8:F165)&gt;$G$5,"",INDEX(B$5:B$936,_xlfn.AGGREGATE(15,6,(ROW($B$5:$B$936)-ROW($B$5)+1)/ISNUMBER(MATCH($B$5:$B$936,$I$6:$I$21,0)),ROWS(F$8:F165))))</f>
        <v>Marcelle  Raley</v>
      </c>
      <c r="M165" s="6">
        <f>IF(ROWS(G$8:G165)&gt;$G$5,"",INDEX(C$5:C$936,_xlfn.AGGREGATE(15,6,(ROW($B$5:$B$936)-ROW($B$5)+1)/ISNUMBER(MATCH($B$5:$B$936,$I$6:$I$21,0)),ROWS(G$8:G165))))</f>
        <v>6</v>
      </c>
    </row>
    <row r="166" spans="1:13" x14ac:dyDescent="0.25">
      <c r="A166" s="19">
        <v>41984</v>
      </c>
      <c r="B166" s="5" t="s">
        <v>726</v>
      </c>
      <c r="C166" s="5">
        <v>11</v>
      </c>
      <c r="E166" s="5">
        <v>159</v>
      </c>
      <c r="F166" s="6" t="str">
        <f t="array" ref="F166">IF(ROWS(F$8:F166)&gt;$G$5,"",INDEX(B$5:B$936,SMALL(IF(ISNUMBER(MATCH($B$5:$B$936,$I$6:$I$21,0)),ROW($B$5:$B$936)-ROW($B$5)+1),ROWS(F$8:F166))))</f>
        <v/>
      </c>
      <c r="G166" s="6" t="str">
        <f t="array" ref="G166">IF(ROWS(G$8:G166)&gt;$G$5,"",INDEX(C$5:C$936,SMALL(IF(ISNUMBER(MATCH($B$5:$B$936,$I$6:$I$21,0)),ROW($B$5:$B$936)-ROW($B$5)+1),ROWS(G$8:G166))))</f>
        <v/>
      </c>
      <c r="K166" s="5">
        <v>159</v>
      </c>
      <c r="L166" s="6" t="str">
        <f>IF(ROWS(F$8:F166)&gt;$G$5,"",INDEX(B$5:B$936,_xlfn.AGGREGATE(15,6,(ROW($B$5:$B$936)-ROW($B$5)+1)/ISNUMBER(MATCH($B$5:$B$936,$I$6:$I$21,0)),ROWS(F$8:F166))))</f>
        <v/>
      </c>
      <c r="M166" s="6" t="str">
        <f>IF(ROWS(G$8:G166)&gt;$G$5,"",INDEX(C$5:C$936,_xlfn.AGGREGATE(15,6,(ROW($B$5:$B$936)-ROW($B$5)+1)/ISNUMBER(MATCH($B$5:$B$936,$I$6:$I$21,0)),ROWS(G$8:G166))))</f>
        <v/>
      </c>
    </row>
    <row r="167" spans="1:13" x14ac:dyDescent="0.25">
      <c r="A167" s="19">
        <v>41839</v>
      </c>
      <c r="B167" s="5" t="s">
        <v>708</v>
      </c>
      <c r="C167" s="5">
        <v>65</v>
      </c>
      <c r="E167" s="5">
        <v>160</v>
      </c>
      <c r="F167" s="6" t="str">
        <f t="array" ref="F167">IF(ROWS(F$8:F167)&gt;$G$5,"",INDEX(B$5:B$936,SMALL(IF(ISNUMBER(MATCH($B$5:$B$936,$I$6:$I$21,0)),ROW($B$5:$B$936)-ROW($B$5)+1),ROWS(F$8:F167))))</f>
        <v/>
      </c>
      <c r="G167" s="6" t="str">
        <f t="array" ref="G167">IF(ROWS(G$8:G167)&gt;$G$5,"",INDEX(C$5:C$936,SMALL(IF(ISNUMBER(MATCH($B$5:$B$936,$I$6:$I$21,0)),ROW($B$5:$B$936)-ROW($B$5)+1),ROWS(G$8:G167))))</f>
        <v/>
      </c>
      <c r="K167" s="5">
        <v>160</v>
      </c>
      <c r="L167" s="6" t="str">
        <f>IF(ROWS(F$8:F167)&gt;$G$5,"",INDEX(B$5:B$936,_xlfn.AGGREGATE(15,6,(ROW($B$5:$B$936)-ROW($B$5)+1)/ISNUMBER(MATCH($B$5:$B$936,$I$6:$I$21,0)),ROWS(F$8:F167))))</f>
        <v/>
      </c>
      <c r="M167" s="6" t="str">
        <f>IF(ROWS(G$8:G167)&gt;$G$5,"",INDEX(C$5:C$936,_xlfn.AGGREGATE(15,6,(ROW($B$5:$B$936)-ROW($B$5)+1)/ISNUMBER(MATCH($B$5:$B$936,$I$6:$I$21,0)),ROWS(G$8:G167))))</f>
        <v/>
      </c>
    </row>
    <row r="168" spans="1:13" x14ac:dyDescent="0.25">
      <c r="A168" s="19">
        <v>41865</v>
      </c>
      <c r="B168" s="5" t="s">
        <v>722</v>
      </c>
      <c r="C168" s="5">
        <v>66</v>
      </c>
      <c r="E168" s="5">
        <v>161</v>
      </c>
      <c r="F168" s="6" t="str">
        <f t="array" ref="F168">IF(ROWS(F$8:F168)&gt;$G$5,"",INDEX(B$5:B$936,SMALL(IF(ISNUMBER(MATCH($B$5:$B$936,$I$6:$I$21,0)),ROW($B$5:$B$936)-ROW($B$5)+1),ROWS(F$8:F168))))</f>
        <v/>
      </c>
      <c r="G168" s="6" t="str">
        <f t="array" ref="G168">IF(ROWS(G$8:G168)&gt;$G$5,"",INDEX(C$5:C$936,SMALL(IF(ISNUMBER(MATCH($B$5:$B$936,$I$6:$I$21,0)),ROW($B$5:$B$936)-ROW($B$5)+1),ROWS(G$8:G168))))</f>
        <v/>
      </c>
      <c r="K168" s="5">
        <v>161</v>
      </c>
      <c r="L168" s="6" t="str">
        <f>IF(ROWS(F$8:F168)&gt;$G$5,"",INDEX(B$5:B$936,_xlfn.AGGREGATE(15,6,(ROW($B$5:$B$936)-ROW($B$5)+1)/ISNUMBER(MATCH($B$5:$B$936,$I$6:$I$21,0)),ROWS(F$8:F168))))</f>
        <v/>
      </c>
      <c r="M168" s="6" t="str">
        <f>IF(ROWS(G$8:G168)&gt;$G$5,"",INDEX(C$5:C$936,_xlfn.AGGREGATE(15,6,(ROW($B$5:$B$936)-ROW($B$5)+1)/ISNUMBER(MATCH($B$5:$B$936,$I$6:$I$21,0)),ROWS(G$8:G168))))</f>
        <v/>
      </c>
    </row>
    <row r="169" spans="1:13" x14ac:dyDescent="0.25">
      <c r="A169" s="19">
        <v>41963</v>
      </c>
      <c r="B169" s="5" t="s">
        <v>737</v>
      </c>
      <c r="C169" s="5">
        <v>16</v>
      </c>
      <c r="E169" s="5">
        <v>162</v>
      </c>
      <c r="F169" s="6" t="str">
        <f t="array" ref="F169">IF(ROWS(F$8:F169)&gt;$G$5,"",INDEX(B$5:B$936,SMALL(IF(ISNUMBER(MATCH($B$5:$B$936,$I$6:$I$21,0)),ROW($B$5:$B$936)-ROW($B$5)+1),ROWS(F$8:F169))))</f>
        <v/>
      </c>
      <c r="G169" s="6" t="str">
        <f t="array" ref="G169">IF(ROWS(G$8:G169)&gt;$G$5,"",INDEX(C$5:C$936,SMALL(IF(ISNUMBER(MATCH($B$5:$B$936,$I$6:$I$21,0)),ROW($B$5:$B$936)-ROW($B$5)+1),ROWS(G$8:G169))))</f>
        <v/>
      </c>
      <c r="K169" s="5">
        <v>162</v>
      </c>
      <c r="L169" s="6" t="str">
        <f>IF(ROWS(F$8:F169)&gt;$G$5,"",INDEX(B$5:B$936,_xlfn.AGGREGATE(15,6,(ROW($B$5:$B$936)-ROW($B$5)+1)/ISNUMBER(MATCH($B$5:$B$936,$I$6:$I$21,0)),ROWS(F$8:F169))))</f>
        <v/>
      </c>
      <c r="M169" s="6" t="str">
        <f>IF(ROWS(G$8:G169)&gt;$G$5,"",INDEX(C$5:C$936,_xlfn.AGGREGATE(15,6,(ROW($B$5:$B$936)-ROW($B$5)+1)/ISNUMBER(MATCH($B$5:$B$936,$I$6:$I$21,0)),ROWS(G$8:G169))))</f>
        <v/>
      </c>
    </row>
    <row r="170" spans="1:13" x14ac:dyDescent="0.25">
      <c r="A170" s="19">
        <v>41848</v>
      </c>
      <c r="B170" s="5" t="s">
        <v>723</v>
      </c>
      <c r="C170" s="5">
        <v>71</v>
      </c>
      <c r="E170" s="5">
        <v>163</v>
      </c>
      <c r="F170" s="6" t="str">
        <f t="array" ref="F170">IF(ROWS(F$8:F170)&gt;$G$5,"",INDEX(B$5:B$936,SMALL(IF(ISNUMBER(MATCH($B$5:$B$936,$I$6:$I$21,0)),ROW($B$5:$B$936)-ROW($B$5)+1),ROWS(F$8:F170))))</f>
        <v/>
      </c>
      <c r="G170" s="6" t="str">
        <f t="array" ref="G170">IF(ROWS(G$8:G170)&gt;$G$5,"",INDEX(C$5:C$936,SMALL(IF(ISNUMBER(MATCH($B$5:$B$936,$I$6:$I$21,0)),ROW($B$5:$B$936)-ROW($B$5)+1),ROWS(G$8:G170))))</f>
        <v/>
      </c>
      <c r="K170" s="5">
        <v>163</v>
      </c>
      <c r="L170" s="6" t="str">
        <f>IF(ROWS(F$8:F170)&gt;$G$5,"",INDEX(B$5:B$936,_xlfn.AGGREGATE(15,6,(ROW($B$5:$B$936)-ROW($B$5)+1)/ISNUMBER(MATCH($B$5:$B$936,$I$6:$I$21,0)),ROWS(F$8:F170))))</f>
        <v/>
      </c>
      <c r="M170" s="6" t="str">
        <f>IF(ROWS(G$8:G170)&gt;$G$5,"",INDEX(C$5:C$936,_xlfn.AGGREGATE(15,6,(ROW($B$5:$B$936)-ROW($B$5)+1)/ISNUMBER(MATCH($B$5:$B$936,$I$6:$I$21,0)),ROWS(G$8:G170))))</f>
        <v/>
      </c>
    </row>
    <row r="171" spans="1:13" x14ac:dyDescent="0.25">
      <c r="A171" s="19">
        <v>41844</v>
      </c>
      <c r="B171" s="5" t="s">
        <v>719</v>
      </c>
      <c r="C171" s="5">
        <v>48</v>
      </c>
      <c r="E171" s="5">
        <v>164</v>
      </c>
      <c r="F171" s="6" t="str">
        <f t="array" ref="F171">IF(ROWS(F$8:F171)&gt;$G$5,"",INDEX(B$5:B$936,SMALL(IF(ISNUMBER(MATCH($B$5:$B$936,$I$6:$I$21,0)),ROW($B$5:$B$936)-ROW($B$5)+1),ROWS(F$8:F171))))</f>
        <v/>
      </c>
      <c r="G171" s="6" t="str">
        <f t="array" ref="G171">IF(ROWS(G$8:G171)&gt;$G$5,"",INDEX(C$5:C$936,SMALL(IF(ISNUMBER(MATCH($B$5:$B$936,$I$6:$I$21,0)),ROW($B$5:$B$936)-ROW($B$5)+1),ROWS(G$8:G171))))</f>
        <v/>
      </c>
      <c r="K171" s="5">
        <v>164</v>
      </c>
      <c r="L171" s="6" t="str">
        <f>IF(ROWS(F$8:F171)&gt;$G$5,"",INDEX(B$5:B$936,_xlfn.AGGREGATE(15,6,(ROW($B$5:$B$936)-ROW($B$5)+1)/ISNUMBER(MATCH($B$5:$B$936,$I$6:$I$21,0)),ROWS(F$8:F171))))</f>
        <v/>
      </c>
      <c r="M171" s="6" t="str">
        <f>IF(ROWS(G$8:G171)&gt;$G$5,"",INDEX(C$5:C$936,_xlfn.AGGREGATE(15,6,(ROW($B$5:$B$936)-ROW($B$5)+1)/ISNUMBER(MATCH($B$5:$B$936,$I$6:$I$21,0)),ROWS(G$8:G171))))</f>
        <v/>
      </c>
    </row>
    <row r="172" spans="1:13" x14ac:dyDescent="0.25">
      <c r="A172" s="19">
        <v>41836</v>
      </c>
      <c r="B172" s="5" t="s">
        <v>737</v>
      </c>
      <c r="C172" s="5">
        <v>66</v>
      </c>
      <c r="E172" s="5">
        <v>165</v>
      </c>
      <c r="F172" s="6" t="str">
        <f t="array" ref="F172">IF(ROWS(F$8:F172)&gt;$G$5,"",INDEX(B$5:B$936,SMALL(IF(ISNUMBER(MATCH($B$5:$B$936,$I$6:$I$21,0)),ROW($B$5:$B$936)-ROW($B$5)+1),ROWS(F$8:F172))))</f>
        <v/>
      </c>
      <c r="G172" s="6" t="str">
        <f t="array" ref="G172">IF(ROWS(G$8:G172)&gt;$G$5,"",INDEX(C$5:C$936,SMALL(IF(ISNUMBER(MATCH($B$5:$B$936,$I$6:$I$21,0)),ROW($B$5:$B$936)-ROW($B$5)+1),ROWS(G$8:G172))))</f>
        <v/>
      </c>
      <c r="K172" s="5">
        <v>165</v>
      </c>
      <c r="L172" s="6" t="str">
        <f>IF(ROWS(F$8:F172)&gt;$G$5,"",INDEX(B$5:B$936,_xlfn.AGGREGATE(15,6,(ROW($B$5:$B$936)-ROW($B$5)+1)/ISNUMBER(MATCH($B$5:$B$936,$I$6:$I$21,0)),ROWS(F$8:F172))))</f>
        <v/>
      </c>
      <c r="M172" s="6" t="str">
        <f>IF(ROWS(G$8:G172)&gt;$G$5,"",INDEX(C$5:C$936,_xlfn.AGGREGATE(15,6,(ROW($B$5:$B$936)-ROW($B$5)+1)/ISNUMBER(MATCH($B$5:$B$936,$I$6:$I$21,0)),ROWS(G$8:G172))))</f>
        <v/>
      </c>
    </row>
    <row r="173" spans="1:13" x14ac:dyDescent="0.25">
      <c r="A173" s="19">
        <v>41864</v>
      </c>
      <c r="B173" s="5" t="s">
        <v>688</v>
      </c>
      <c r="C173" s="5">
        <v>32</v>
      </c>
      <c r="E173" s="5">
        <v>166</v>
      </c>
      <c r="F173" s="6" t="str">
        <f t="array" ref="F173">IF(ROWS(F$8:F173)&gt;$G$5,"",INDEX(B$5:B$936,SMALL(IF(ISNUMBER(MATCH($B$5:$B$936,$I$6:$I$21,0)),ROW($B$5:$B$936)-ROW($B$5)+1),ROWS(F$8:F173))))</f>
        <v/>
      </c>
      <c r="G173" s="6" t="str">
        <f t="array" ref="G173">IF(ROWS(G$8:G173)&gt;$G$5,"",INDEX(C$5:C$936,SMALL(IF(ISNUMBER(MATCH($B$5:$B$936,$I$6:$I$21,0)),ROW($B$5:$B$936)-ROW($B$5)+1),ROWS(G$8:G173))))</f>
        <v/>
      </c>
      <c r="K173" s="5">
        <v>166</v>
      </c>
      <c r="L173" s="6" t="str">
        <f>IF(ROWS(F$8:F173)&gt;$G$5,"",INDEX(B$5:B$936,_xlfn.AGGREGATE(15,6,(ROW($B$5:$B$936)-ROW($B$5)+1)/ISNUMBER(MATCH($B$5:$B$936,$I$6:$I$21,0)),ROWS(F$8:F173))))</f>
        <v/>
      </c>
      <c r="M173" s="6" t="str">
        <f>IF(ROWS(G$8:G173)&gt;$G$5,"",INDEX(C$5:C$936,_xlfn.AGGREGATE(15,6,(ROW($B$5:$B$936)-ROW($B$5)+1)/ISNUMBER(MATCH($B$5:$B$936,$I$6:$I$21,0)),ROWS(G$8:G173))))</f>
        <v/>
      </c>
    </row>
    <row r="174" spans="1:13" x14ac:dyDescent="0.25">
      <c r="A174" s="19">
        <v>41962</v>
      </c>
      <c r="B174" s="5" t="s">
        <v>692</v>
      </c>
      <c r="C174" s="5">
        <v>34</v>
      </c>
      <c r="E174" s="5">
        <v>167</v>
      </c>
      <c r="F174" s="6" t="str">
        <f t="array" ref="F174">IF(ROWS(F$8:F174)&gt;$G$5,"",INDEX(B$5:B$936,SMALL(IF(ISNUMBER(MATCH($B$5:$B$936,$I$6:$I$21,0)),ROW($B$5:$B$936)-ROW($B$5)+1),ROWS(F$8:F174))))</f>
        <v/>
      </c>
      <c r="G174" s="6" t="str">
        <f t="array" ref="G174">IF(ROWS(G$8:G174)&gt;$G$5,"",INDEX(C$5:C$936,SMALL(IF(ISNUMBER(MATCH($B$5:$B$936,$I$6:$I$21,0)),ROW($B$5:$B$936)-ROW($B$5)+1),ROWS(G$8:G174))))</f>
        <v/>
      </c>
      <c r="K174" s="5">
        <v>167</v>
      </c>
      <c r="L174" s="6" t="str">
        <f>IF(ROWS(F$8:F174)&gt;$G$5,"",INDEX(B$5:B$936,_xlfn.AGGREGATE(15,6,(ROW($B$5:$B$936)-ROW($B$5)+1)/ISNUMBER(MATCH($B$5:$B$936,$I$6:$I$21,0)),ROWS(F$8:F174))))</f>
        <v/>
      </c>
      <c r="M174" s="6" t="str">
        <f>IF(ROWS(G$8:G174)&gt;$G$5,"",INDEX(C$5:C$936,_xlfn.AGGREGATE(15,6,(ROW($B$5:$B$936)-ROW($B$5)+1)/ISNUMBER(MATCH($B$5:$B$936,$I$6:$I$21,0)),ROWS(G$8:G174))))</f>
        <v/>
      </c>
    </row>
    <row r="175" spans="1:13" x14ac:dyDescent="0.25">
      <c r="A175" s="19">
        <v>41945</v>
      </c>
      <c r="B175" s="5" t="s">
        <v>719</v>
      </c>
      <c r="C175" s="5">
        <v>24</v>
      </c>
      <c r="E175" s="5">
        <v>168</v>
      </c>
      <c r="F175" s="6" t="str">
        <f t="array" ref="F175">IF(ROWS(F$8:F175)&gt;$G$5,"",INDEX(B$5:B$936,SMALL(IF(ISNUMBER(MATCH($B$5:$B$936,$I$6:$I$21,0)),ROW($B$5:$B$936)-ROW($B$5)+1),ROWS(F$8:F175))))</f>
        <v/>
      </c>
      <c r="G175" s="6" t="str">
        <f t="array" ref="G175">IF(ROWS(G$8:G175)&gt;$G$5,"",INDEX(C$5:C$936,SMALL(IF(ISNUMBER(MATCH($B$5:$B$936,$I$6:$I$21,0)),ROW($B$5:$B$936)-ROW($B$5)+1),ROWS(G$8:G175))))</f>
        <v/>
      </c>
      <c r="K175" s="5">
        <v>168</v>
      </c>
      <c r="L175" s="6" t="str">
        <f>IF(ROWS(F$8:F175)&gt;$G$5,"",INDEX(B$5:B$936,_xlfn.AGGREGATE(15,6,(ROW($B$5:$B$936)-ROW($B$5)+1)/ISNUMBER(MATCH($B$5:$B$936,$I$6:$I$21,0)),ROWS(F$8:F175))))</f>
        <v/>
      </c>
      <c r="M175" s="6" t="str">
        <f>IF(ROWS(G$8:G175)&gt;$G$5,"",INDEX(C$5:C$936,_xlfn.AGGREGATE(15,6,(ROW($B$5:$B$936)-ROW($B$5)+1)/ISNUMBER(MATCH($B$5:$B$936,$I$6:$I$21,0)),ROWS(G$8:G175))))</f>
        <v/>
      </c>
    </row>
    <row r="176" spans="1:13" x14ac:dyDescent="0.25">
      <c r="A176" s="19">
        <v>41915</v>
      </c>
      <c r="B176" s="5" t="s">
        <v>716</v>
      </c>
      <c r="C176" s="5">
        <v>72</v>
      </c>
      <c r="E176" s="5">
        <v>169</v>
      </c>
      <c r="F176" s="6" t="str">
        <f t="array" ref="F176">IF(ROWS(F$8:F176)&gt;$G$5,"",INDEX(B$5:B$936,SMALL(IF(ISNUMBER(MATCH($B$5:$B$936,$I$6:$I$21,0)),ROW($B$5:$B$936)-ROW($B$5)+1),ROWS(F$8:F176))))</f>
        <v/>
      </c>
      <c r="G176" s="6" t="str">
        <f t="array" ref="G176">IF(ROWS(G$8:G176)&gt;$G$5,"",INDEX(C$5:C$936,SMALL(IF(ISNUMBER(MATCH($B$5:$B$936,$I$6:$I$21,0)),ROW($B$5:$B$936)-ROW($B$5)+1),ROWS(G$8:G176))))</f>
        <v/>
      </c>
      <c r="K176" s="5">
        <v>169</v>
      </c>
      <c r="L176" s="6" t="str">
        <f>IF(ROWS(F$8:F176)&gt;$G$5,"",INDEX(B$5:B$936,_xlfn.AGGREGATE(15,6,(ROW($B$5:$B$936)-ROW($B$5)+1)/ISNUMBER(MATCH($B$5:$B$936,$I$6:$I$21,0)),ROWS(F$8:F176))))</f>
        <v/>
      </c>
      <c r="M176" s="6" t="str">
        <f>IF(ROWS(G$8:G176)&gt;$G$5,"",INDEX(C$5:C$936,_xlfn.AGGREGATE(15,6,(ROW($B$5:$B$936)-ROW($B$5)+1)/ISNUMBER(MATCH($B$5:$B$936,$I$6:$I$21,0)),ROWS(G$8:G176))))</f>
        <v/>
      </c>
    </row>
    <row r="177" spans="1:13" x14ac:dyDescent="0.25">
      <c r="A177" s="19">
        <v>41960</v>
      </c>
      <c r="B177" s="5" t="s">
        <v>682</v>
      </c>
      <c r="C177" s="5">
        <v>19</v>
      </c>
      <c r="E177" s="5">
        <v>170</v>
      </c>
      <c r="F177" s="6" t="str">
        <f t="array" ref="F177">IF(ROWS(F$8:F177)&gt;$G$5,"",INDEX(B$5:B$936,SMALL(IF(ISNUMBER(MATCH($B$5:$B$936,$I$6:$I$21,0)),ROW($B$5:$B$936)-ROW($B$5)+1),ROWS(F$8:F177))))</f>
        <v/>
      </c>
      <c r="G177" s="6" t="str">
        <f t="array" ref="G177">IF(ROWS(G$8:G177)&gt;$G$5,"",INDEX(C$5:C$936,SMALL(IF(ISNUMBER(MATCH($B$5:$B$936,$I$6:$I$21,0)),ROW($B$5:$B$936)-ROW($B$5)+1),ROWS(G$8:G177))))</f>
        <v/>
      </c>
      <c r="K177" s="5">
        <v>170</v>
      </c>
      <c r="L177" s="6" t="str">
        <f>IF(ROWS(F$8:F177)&gt;$G$5,"",INDEX(B$5:B$936,_xlfn.AGGREGATE(15,6,(ROW($B$5:$B$936)-ROW($B$5)+1)/ISNUMBER(MATCH($B$5:$B$936,$I$6:$I$21,0)),ROWS(F$8:F177))))</f>
        <v/>
      </c>
      <c r="M177" s="6" t="str">
        <f>IF(ROWS(G$8:G177)&gt;$G$5,"",INDEX(C$5:C$936,_xlfn.AGGREGATE(15,6,(ROW($B$5:$B$936)-ROW($B$5)+1)/ISNUMBER(MATCH($B$5:$B$936,$I$6:$I$21,0)),ROWS(G$8:G177))))</f>
        <v/>
      </c>
    </row>
    <row r="178" spans="1:13" x14ac:dyDescent="0.25">
      <c r="A178" s="19">
        <v>41990</v>
      </c>
      <c r="B178" s="5" t="s">
        <v>683</v>
      </c>
      <c r="C178" s="5">
        <v>9</v>
      </c>
      <c r="E178" s="5">
        <v>171</v>
      </c>
      <c r="F178" s="6" t="str">
        <f t="array" ref="F178">IF(ROWS(F$8:F178)&gt;$G$5,"",INDEX(B$5:B$936,SMALL(IF(ISNUMBER(MATCH($B$5:$B$936,$I$6:$I$21,0)),ROW($B$5:$B$936)-ROW($B$5)+1),ROWS(F$8:F178))))</f>
        <v/>
      </c>
      <c r="G178" s="6" t="str">
        <f t="array" ref="G178">IF(ROWS(G$8:G178)&gt;$G$5,"",INDEX(C$5:C$936,SMALL(IF(ISNUMBER(MATCH($B$5:$B$936,$I$6:$I$21,0)),ROW($B$5:$B$936)-ROW($B$5)+1),ROWS(G$8:G178))))</f>
        <v/>
      </c>
      <c r="K178" s="5">
        <v>171</v>
      </c>
      <c r="L178" s="6" t="str">
        <f>IF(ROWS(F$8:F178)&gt;$G$5,"",INDEX(B$5:B$936,_xlfn.AGGREGATE(15,6,(ROW($B$5:$B$936)-ROW($B$5)+1)/ISNUMBER(MATCH($B$5:$B$936,$I$6:$I$21,0)),ROWS(F$8:F178))))</f>
        <v/>
      </c>
      <c r="M178" s="6" t="str">
        <f>IF(ROWS(G$8:G178)&gt;$G$5,"",INDEX(C$5:C$936,_xlfn.AGGREGATE(15,6,(ROW($B$5:$B$936)-ROW($B$5)+1)/ISNUMBER(MATCH($B$5:$B$936,$I$6:$I$21,0)),ROWS(G$8:G178))))</f>
        <v/>
      </c>
    </row>
    <row r="179" spans="1:13" x14ac:dyDescent="0.25">
      <c r="A179" s="19">
        <v>41939</v>
      </c>
      <c r="B179" s="5" t="s">
        <v>726</v>
      </c>
      <c r="C179" s="5">
        <v>2</v>
      </c>
      <c r="E179" s="5">
        <v>172</v>
      </c>
      <c r="F179" s="6" t="str">
        <f t="array" ref="F179">IF(ROWS(F$8:F179)&gt;$G$5,"",INDEX(B$5:B$936,SMALL(IF(ISNUMBER(MATCH($B$5:$B$936,$I$6:$I$21,0)),ROW($B$5:$B$936)-ROW($B$5)+1),ROWS(F$8:F179))))</f>
        <v/>
      </c>
      <c r="G179" s="6" t="str">
        <f t="array" ref="G179">IF(ROWS(G$8:G179)&gt;$G$5,"",INDEX(C$5:C$936,SMALL(IF(ISNUMBER(MATCH($B$5:$B$936,$I$6:$I$21,0)),ROW($B$5:$B$936)-ROW($B$5)+1),ROWS(G$8:G179))))</f>
        <v/>
      </c>
      <c r="K179" s="5">
        <v>172</v>
      </c>
      <c r="L179" s="6" t="str">
        <f>IF(ROWS(F$8:F179)&gt;$G$5,"",INDEX(B$5:B$936,_xlfn.AGGREGATE(15,6,(ROW($B$5:$B$936)-ROW($B$5)+1)/ISNUMBER(MATCH($B$5:$B$936,$I$6:$I$21,0)),ROWS(F$8:F179))))</f>
        <v/>
      </c>
      <c r="M179" s="6" t="str">
        <f>IF(ROWS(G$8:G179)&gt;$G$5,"",INDEX(C$5:C$936,_xlfn.AGGREGATE(15,6,(ROW($B$5:$B$936)-ROW($B$5)+1)/ISNUMBER(MATCH($B$5:$B$936,$I$6:$I$21,0)),ROWS(G$8:G179))))</f>
        <v/>
      </c>
    </row>
    <row r="180" spans="1:13" x14ac:dyDescent="0.25">
      <c r="A180" s="19">
        <v>41975</v>
      </c>
      <c r="B180" s="5" t="s">
        <v>659</v>
      </c>
      <c r="C180" s="5">
        <v>53</v>
      </c>
      <c r="E180" s="5">
        <v>173</v>
      </c>
      <c r="F180" s="6" t="str">
        <f t="array" ref="F180">IF(ROWS(F$8:F180)&gt;$G$5,"",INDEX(B$5:B$936,SMALL(IF(ISNUMBER(MATCH($B$5:$B$936,$I$6:$I$21,0)),ROW($B$5:$B$936)-ROW($B$5)+1),ROWS(F$8:F180))))</f>
        <v/>
      </c>
      <c r="G180" s="6" t="str">
        <f t="array" ref="G180">IF(ROWS(G$8:G180)&gt;$G$5,"",INDEX(C$5:C$936,SMALL(IF(ISNUMBER(MATCH($B$5:$B$936,$I$6:$I$21,0)),ROW($B$5:$B$936)-ROW($B$5)+1),ROWS(G$8:G180))))</f>
        <v/>
      </c>
      <c r="K180" s="5">
        <v>173</v>
      </c>
      <c r="L180" s="6" t="str">
        <f>IF(ROWS(F$8:F180)&gt;$G$5,"",INDEX(B$5:B$936,_xlfn.AGGREGATE(15,6,(ROW($B$5:$B$936)-ROW($B$5)+1)/ISNUMBER(MATCH($B$5:$B$936,$I$6:$I$21,0)),ROWS(F$8:F180))))</f>
        <v/>
      </c>
      <c r="M180" s="6" t="str">
        <f>IF(ROWS(G$8:G180)&gt;$G$5,"",INDEX(C$5:C$936,_xlfn.AGGREGATE(15,6,(ROW($B$5:$B$936)-ROW($B$5)+1)/ISNUMBER(MATCH($B$5:$B$936,$I$6:$I$21,0)),ROWS(G$8:G180))))</f>
        <v/>
      </c>
    </row>
    <row r="181" spans="1:13" x14ac:dyDescent="0.25">
      <c r="A181" s="19">
        <v>41839</v>
      </c>
      <c r="B181" s="5" t="s">
        <v>672</v>
      </c>
      <c r="C181" s="5">
        <v>44</v>
      </c>
      <c r="E181" s="5">
        <v>174</v>
      </c>
      <c r="F181" s="6" t="str">
        <f t="array" ref="F181">IF(ROWS(F$8:F181)&gt;$G$5,"",INDEX(B$5:B$936,SMALL(IF(ISNUMBER(MATCH($B$5:$B$936,$I$6:$I$21,0)),ROW($B$5:$B$936)-ROW($B$5)+1),ROWS(F$8:F181))))</f>
        <v/>
      </c>
      <c r="G181" s="6" t="str">
        <f t="array" ref="G181">IF(ROWS(G$8:G181)&gt;$G$5,"",INDEX(C$5:C$936,SMALL(IF(ISNUMBER(MATCH($B$5:$B$936,$I$6:$I$21,0)),ROW($B$5:$B$936)-ROW($B$5)+1),ROWS(G$8:G181))))</f>
        <v/>
      </c>
      <c r="K181" s="5">
        <v>174</v>
      </c>
      <c r="L181" s="6" t="str">
        <f>IF(ROWS(F$8:F181)&gt;$G$5,"",INDEX(B$5:B$936,_xlfn.AGGREGATE(15,6,(ROW($B$5:$B$936)-ROW($B$5)+1)/ISNUMBER(MATCH($B$5:$B$936,$I$6:$I$21,0)),ROWS(F$8:F181))))</f>
        <v/>
      </c>
      <c r="M181" s="6" t="str">
        <f>IF(ROWS(G$8:G181)&gt;$G$5,"",INDEX(C$5:C$936,_xlfn.AGGREGATE(15,6,(ROW($B$5:$B$936)-ROW($B$5)+1)/ISNUMBER(MATCH($B$5:$B$936,$I$6:$I$21,0)),ROWS(G$8:G181))))</f>
        <v/>
      </c>
    </row>
    <row r="182" spans="1:13" x14ac:dyDescent="0.25">
      <c r="A182" s="19">
        <v>41983</v>
      </c>
      <c r="B182" s="5" t="s">
        <v>709</v>
      </c>
      <c r="C182" s="5">
        <v>15</v>
      </c>
      <c r="E182" s="5">
        <v>175</v>
      </c>
      <c r="F182" s="6" t="str">
        <f t="array" ref="F182">IF(ROWS(F$8:F182)&gt;$G$5,"",INDEX(B$5:B$936,SMALL(IF(ISNUMBER(MATCH($B$5:$B$936,$I$6:$I$21,0)),ROW($B$5:$B$936)-ROW($B$5)+1),ROWS(F$8:F182))))</f>
        <v/>
      </c>
      <c r="G182" s="6" t="str">
        <f t="array" ref="G182">IF(ROWS(G$8:G182)&gt;$G$5,"",INDEX(C$5:C$936,SMALL(IF(ISNUMBER(MATCH($B$5:$B$936,$I$6:$I$21,0)),ROW($B$5:$B$936)-ROW($B$5)+1),ROWS(G$8:G182))))</f>
        <v/>
      </c>
      <c r="K182" s="5">
        <v>175</v>
      </c>
      <c r="L182" s="6" t="str">
        <f>IF(ROWS(F$8:F182)&gt;$G$5,"",INDEX(B$5:B$936,_xlfn.AGGREGATE(15,6,(ROW($B$5:$B$936)-ROW($B$5)+1)/ISNUMBER(MATCH($B$5:$B$936,$I$6:$I$21,0)),ROWS(F$8:F182))))</f>
        <v/>
      </c>
      <c r="M182" s="6" t="str">
        <f>IF(ROWS(G$8:G182)&gt;$G$5,"",INDEX(C$5:C$936,_xlfn.AGGREGATE(15,6,(ROW($B$5:$B$936)-ROW($B$5)+1)/ISNUMBER(MATCH($B$5:$B$936,$I$6:$I$21,0)),ROWS(G$8:G182))))</f>
        <v/>
      </c>
    </row>
    <row r="183" spans="1:13" x14ac:dyDescent="0.25">
      <c r="A183" s="19">
        <v>41922</v>
      </c>
      <c r="B183" s="5" t="s">
        <v>673</v>
      </c>
      <c r="C183" s="5">
        <v>13</v>
      </c>
      <c r="E183" s="5">
        <v>176</v>
      </c>
      <c r="F183" s="6" t="str">
        <f t="array" ref="F183">IF(ROWS(F$8:F183)&gt;$G$5,"",INDEX(B$5:B$936,SMALL(IF(ISNUMBER(MATCH($B$5:$B$936,$I$6:$I$21,0)),ROW($B$5:$B$936)-ROW($B$5)+1),ROWS(F$8:F183))))</f>
        <v/>
      </c>
      <c r="G183" s="6" t="str">
        <f t="array" ref="G183">IF(ROWS(G$8:G183)&gt;$G$5,"",INDEX(C$5:C$936,SMALL(IF(ISNUMBER(MATCH($B$5:$B$936,$I$6:$I$21,0)),ROW($B$5:$B$936)-ROW($B$5)+1),ROWS(G$8:G183))))</f>
        <v/>
      </c>
      <c r="K183" s="5">
        <v>176</v>
      </c>
      <c r="L183" s="6" t="str">
        <f>IF(ROWS(F$8:F183)&gt;$G$5,"",INDEX(B$5:B$936,_xlfn.AGGREGATE(15,6,(ROW($B$5:$B$936)-ROW($B$5)+1)/ISNUMBER(MATCH($B$5:$B$936,$I$6:$I$21,0)),ROWS(F$8:F183))))</f>
        <v/>
      </c>
      <c r="M183" s="6" t="str">
        <f>IF(ROWS(G$8:G183)&gt;$G$5,"",INDEX(C$5:C$936,_xlfn.AGGREGATE(15,6,(ROW($B$5:$B$936)-ROW($B$5)+1)/ISNUMBER(MATCH($B$5:$B$936,$I$6:$I$21,0)),ROWS(G$8:G183))))</f>
        <v/>
      </c>
    </row>
    <row r="184" spans="1:13" x14ac:dyDescent="0.25">
      <c r="A184" s="19">
        <v>41921</v>
      </c>
      <c r="B184" s="5" t="s">
        <v>691</v>
      </c>
      <c r="C184" s="5">
        <v>6</v>
      </c>
      <c r="E184" s="5">
        <v>177</v>
      </c>
      <c r="F184" s="6" t="str">
        <f t="array" ref="F184">IF(ROWS(F$8:F184)&gt;$G$5,"",INDEX(B$5:B$936,SMALL(IF(ISNUMBER(MATCH($B$5:$B$936,$I$6:$I$21,0)),ROW($B$5:$B$936)-ROW($B$5)+1),ROWS(F$8:F184))))</f>
        <v/>
      </c>
      <c r="G184" s="6" t="str">
        <f t="array" ref="G184">IF(ROWS(G$8:G184)&gt;$G$5,"",INDEX(C$5:C$936,SMALL(IF(ISNUMBER(MATCH($B$5:$B$936,$I$6:$I$21,0)),ROW($B$5:$B$936)-ROW($B$5)+1),ROWS(G$8:G184))))</f>
        <v/>
      </c>
      <c r="K184" s="5">
        <v>177</v>
      </c>
      <c r="L184" s="6" t="str">
        <f>IF(ROWS(F$8:F184)&gt;$G$5,"",INDEX(B$5:B$936,_xlfn.AGGREGATE(15,6,(ROW($B$5:$B$936)-ROW($B$5)+1)/ISNUMBER(MATCH($B$5:$B$936,$I$6:$I$21,0)),ROWS(F$8:F184))))</f>
        <v/>
      </c>
      <c r="M184" s="6" t="str">
        <f>IF(ROWS(G$8:G184)&gt;$G$5,"",INDEX(C$5:C$936,_xlfn.AGGREGATE(15,6,(ROW($B$5:$B$936)-ROW($B$5)+1)/ISNUMBER(MATCH($B$5:$B$936,$I$6:$I$21,0)),ROWS(G$8:G184))))</f>
        <v/>
      </c>
    </row>
    <row r="185" spans="1:13" x14ac:dyDescent="0.25">
      <c r="A185" s="19">
        <v>41837</v>
      </c>
      <c r="B185" s="5" t="s">
        <v>694</v>
      </c>
      <c r="C185" s="5">
        <v>8</v>
      </c>
      <c r="E185" s="5">
        <v>178</v>
      </c>
      <c r="F185" s="6" t="str">
        <f t="array" ref="F185">IF(ROWS(F$8:F185)&gt;$G$5,"",INDEX(B$5:B$936,SMALL(IF(ISNUMBER(MATCH($B$5:$B$936,$I$6:$I$21,0)),ROW($B$5:$B$936)-ROW($B$5)+1),ROWS(F$8:F185))))</f>
        <v/>
      </c>
      <c r="G185" s="6" t="str">
        <f t="array" ref="G185">IF(ROWS(G$8:G185)&gt;$G$5,"",INDEX(C$5:C$936,SMALL(IF(ISNUMBER(MATCH($B$5:$B$936,$I$6:$I$21,0)),ROW($B$5:$B$936)-ROW($B$5)+1),ROWS(G$8:G185))))</f>
        <v/>
      </c>
      <c r="K185" s="5">
        <v>178</v>
      </c>
      <c r="L185" s="6" t="str">
        <f>IF(ROWS(F$8:F185)&gt;$G$5,"",INDEX(B$5:B$936,_xlfn.AGGREGATE(15,6,(ROW($B$5:$B$936)-ROW($B$5)+1)/ISNUMBER(MATCH($B$5:$B$936,$I$6:$I$21,0)),ROWS(F$8:F185))))</f>
        <v/>
      </c>
      <c r="M185" s="6" t="str">
        <f>IF(ROWS(G$8:G185)&gt;$G$5,"",INDEX(C$5:C$936,_xlfn.AGGREGATE(15,6,(ROW($B$5:$B$936)-ROW($B$5)+1)/ISNUMBER(MATCH($B$5:$B$936,$I$6:$I$21,0)),ROWS(G$8:G185))))</f>
        <v/>
      </c>
    </row>
    <row r="186" spans="1:13" x14ac:dyDescent="0.25">
      <c r="A186" s="19">
        <v>41891</v>
      </c>
      <c r="B186" s="5" t="s">
        <v>701</v>
      </c>
      <c r="C186" s="5">
        <v>37</v>
      </c>
      <c r="E186" s="5">
        <v>179</v>
      </c>
      <c r="F186" s="6" t="str">
        <f t="array" ref="F186">IF(ROWS(F$8:F186)&gt;$G$5,"",INDEX(B$5:B$936,SMALL(IF(ISNUMBER(MATCH($B$5:$B$936,$I$6:$I$21,0)),ROW($B$5:$B$936)-ROW($B$5)+1),ROWS(F$8:F186))))</f>
        <v/>
      </c>
      <c r="G186" s="6" t="str">
        <f t="array" ref="G186">IF(ROWS(G$8:G186)&gt;$G$5,"",INDEX(C$5:C$936,SMALL(IF(ISNUMBER(MATCH($B$5:$B$936,$I$6:$I$21,0)),ROW($B$5:$B$936)-ROW($B$5)+1),ROWS(G$8:G186))))</f>
        <v/>
      </c>
      <c r="K186" s="5">
        <v>179</v>
      </c>
      <c r="L186" s="6" t="str">
        <f>IF(ROWS(F$8:F186)&gt;$G$5,"",INDEX(B$5:B$936,_xlfn.AGGREGATE(15,6,(ROW($B$5:$B$936)-ROW($B$5)+1)/ISNUMBER(MATCH($B$5:$B$936,$I$6:$I$21,0)),ROWS(F$8:F186))))</f>
        <v/>
      </c>
      <c r="M186" s="6" t="str">
        <f>IF(ROWS(G$8:G186)&gt;$G$5,"",INDEX(C$5:C$936,_xlfn.AGGREGATE(15,6,(ROW($B$5:$B$936)-ROW($B$5)+1)/ISNUMBER(MATCH($B$5:$B$936,$I$6:$I$21,0)),ROWS(G$8:G186))))</f>
        <v/>
      </c>
    </row>
    <row r="187" spans="1:13" x14ac:dyDescent="0.25">
      <c r="A187" s="19">
        <v>41991</v>
      </c>
      <c r="B187" s="5" t="s">
        <v>646</v>
      </c>
      <c r="C187" s="5">
        <v>3</v>
      </c>
      <c r="E187" s="5">
        <v>180</v>
      </c>
      <c r="F187" s="6" t="str">
        <f t="array" ref="F187">IF(ROWS(F$8:F187)&gt;$G$5,"",INDEX(B$5:B$936,SMALL(IF(ISNUMBER(MATCH($B$5:$B$936,$I$6:$I$21,0)),ROW($B$5:$B$936)-ROW($B$5)+1),ROWS(F$8:F187))))</f>
        <v/>
      </c>
      <c r="G187" s="6" t="str">
        <f t="array" ref="G187">IF(ROWS(G$8:G187)&gt;$G$5,"",INDEX(C$5:C$936,SMALL(IF(ISNUMBER(MATCH($B$5:$B$936,$I$6:$I$21,0)),ROW($B$5:$B$936)-ROW($B$5)+1),ROWS(G$8:G187))))</f>
        <v/>
      </c>
      <c r="K187" s="5">
        <v>180</v>
      </c>
      <c r="L187" s="6" t="str">
        <f>IF(ROWS(F$8:F187)&gt;$G$5,"",INDEX(B$5:B$936,_xlfn.AGGREGATE(15,6,(ROW($B$5:$B$936)-ROW($B$5)+1)/ISNUMBER(MATCH($B$5:$B$936,$I$6:$I$21,0)),ROWS(F$8:F187))))</f>
        <v/>
      </c>
      <c r="M187" s="6" t="str">
        <f>IF(ROWS(G$8:G187)&gt;$G$5,"",INDEX(C$5:C$936,_xlfn.AGGREGATE(15,6,(ROW($B$5:$B$936)-ROW($B$5)+1)/ISNUMBER(MATCH($B$5:$B$936,$I$6:$I$21,0)),ROWS(G$8:G187))))</f>
        <v/>
      </c>
    </row>
    <row r="188" spans="1:13" x14ac:dyDescent="0.25">
      <c r="A188" s="19">
        <v>41873</v>
      </c>
      <c r="B188" s="5" t="s">
        <v>652</v>
      </c>
      <c r="C188" s="5">
        <v>45</v>
      </c>
      <c r="E188" s="5">
        <v>181</v>
      </c>
      <c r="F188" s="6" t="str">
        <f t="array" ref="F188">IF(ROWS(F$8:F188)&gt;$G$5,"",INDEX(B$5:B$936,SMALL(IF(ISNUMBER(MATCH($B$5:$B$936,$I$6:$I$21,0)),ROW($B$5:$B$936)-ROW($B$5)+1),ROWS(F$8:F188))))</f>
        <v/>
      </c>
      <c r="G188" s="6" t="str">
        <f t="array" ref="G188">IF(ROWS(G$8:G188)&gt;$G$5,"",INDEX(C$5:C$936,SMALL(IF(ISNUMBER(MATCH($B$5:$B$936,$I$6:$I$21,0)),ROW($B$5:$B$936)-ROW($B$5)+1),ROWS(G$8:G188))))</f>
        <v/>
      </c>
      <c r="K188" s="5">
        <v>181</v>
      </c>
      <c r="L188" s="6" t="str">
        <f>IF(ROWS(F$8:F188)&gt;$G$5,"",INDEX(B$5:B$936,_xlfn.AGGREGATE(15,6,(ROW($B$5:$B$936)-ROW($B$5)+1)/ISNUMBER(MATCH($B$5:$B$936,$I$6:$I$21,0)),ROWS(F$8:F188))))</f>
        <v/>
      </c>
      <c r="M188" s="6" t="str">
        <f>IF(ROWS(G$8:G188)&gt;$G$5,"",INDEX(C$5:C$936,_xlfn.AGGREGATE(15,6,(ROW($B$5:$B$936)-ROW($B$5)+1)/ISNUMBER(MATCH($B$5:$B$936,$I$6:$I$21,0)),ROWS(G$8:G188))))</f>
        <v/>
      </c>
    </row>
    <row r="189" spans="1:13" x14ac:dyDescent="0.25">
      <c r="A189" s="19">
        <v>41987</v>
      </c>
      <c r="B189" s="5" t="s">
        <v>693</v>
      </c>
      <c r="C189" s="5">
        <v>3</v>
      </c>
      <c r="E189" s="5">
        <v>182</v>
      </c>
      <c r="F189" s="6" t="str">
        <f t="array" ref="F189">IF(ROWS(F$8:F189)&gt;$G$5,"",INDEX(B$5:B$936,SMALL(IF(ISNUMBER(MATCH($B$5:$B$936,$I$6:$I$21,0)),ROW($B$5:$B$936)-ROW($B$5)+1),ROWS(F$8:F189))))</f>
        <v/>
      </c>
      <c r="G189" s="6" t="str">
        <f t="array" ref="G189">IF(ROWS(G$8:G189)&gt;$G$5,"",INDEX(C$5:C$936,SMALL(IF(ISNUMBER(MATCH($B$5:$B$936,$I$6:$I$21,0)),ROW($B$5:$B$936)-ROW($B$5)+1),ROWS(G$8:G189))))</f>
        <v/>
      </c>
      <c r="K189" s="5">
        <v>182</v>
      </c>
      <c r="L189" s="6" t="str">
        <f>IF(ROWS(F$8:F189)&gt;$G$5,"",INDEX(B$5:B$936,_xlfn.AGGREGATE(15,6,(ROW($B$5:$B$936)-ROW($B$5)+1)/ISNUMBER(MATCH($B$5:$B$936,$I$6:$I$21,0)),ROWS(F$8:F189))))</f>
        <v/>
      </c>
      <c r="M189" s="6" t="str">
        <f>IF(ROWS(G$8:G189)&gt;$G$5,"",INDEX(C$5:C$936,_xlfn.AGGREGATE(15,6,(ROW($B$5:$B$936)-ROW($B$5)+1)/ISNUMBER(MATCH($B$5:$B$936,$I$6:$I$21,0)),ROWS(G$8:G189))))</f>
        <v/>
      </c>
    </row>
    <row r="190" spans="1:13" x14ac:dyDescent="0.25">
      <c r="A190" s="19">
        <v>41960</v>
      </c>
      <c r="B190" s="5" t="s">
        <v>670</v>
      </c>
      <c r="C190" s="5">
        <v>27</v>
      </c>
      <c r="E190" s="5">
        <v>183</v>
      </c>
      <c r="F190" s="6" t="str">
        <f t="array" ref="F190">IF(ROWS(F$8:F190)&gt;$G$5,"",INDEX(B$5:B$936,SMALL(IF(ISNUMBER(MATCH($B$5:$B$936,$I$6:$I$21,0)),ROW($B$5:$B$936)-ROW($B$5)+1),ROWS(F$8:F190))))</f>
        <v/>
      </c>
      <c r="G190" s="6" t="str">
        <f t="array" ref="G190">IF(ROWS(G$8:G190)&gt;$G$5,"",INDEX(C$5:C$936,SMALL(IF(ISNUMBER(MATCH($B$5:$B$936,$I$6:$I$21,0)),ROW($B$5:$B$936)-ROW($B$5)+1),ROWS(G$8:G190))))</f>
        <v/>
      </c>
      <c r="K190" s="5">
        <v>183</v>
      </c>
      <c r="L190" s="6" t="str">
        <f>IF(ROWS(F$8:F190)&gt;$G$5,"",INDEX(B$5:B$936,_xlfn.AGGREGATE(15,6,(ROW($B$5:$B$936)-ROW($B$5)+1)/ISNUMBER(MATCH($B$5:$B$936,$I$6:$I$21,0)),ROWS(F$8:F190))))</f>
        <v/>
      </c>
      <c r="M190" s="6" t="str">
        <f>IF(ROWS(G$8:G190)&gt;$G$5,"",INDEX(C$5:C$936,_xlfn.AGGREGATE(15,6,(ROW($B$5:$B$936)-ROW($B$5)+1)/ISNUMBER(MATCH($B$5:$B$936,$I$6:$I$21,0)),ROWS(G$8:G190))))</f>
        <v/>
      </c>
    </row>
    <row r="191" spans="1:13" x14ac:dyDescent="0.25">
      <c r="A191" s="19">
        <v>41826</v>
      </c>
      <c r="B191" s="5" t="s">
        <v>692</v>
      </c>
      <c r="C191" s="5">
        <v>29</v>
      </c>
      <c r="E191" s="5">
        <v>184</v>
      </c>
      <c r="F191" s="6" t="str">
        <f t="array" ref="F191">IF(ROWS(F$8:F191)&gt;$G$5,"",INDEX(B$5:B$936,SMALL(IF(ISNUMBER(MATCH($B$5:$B$936,$I$6:$I$21,0)),ROW($B$5:$B$936)-ROW($B$5)+1),ROWS(F$8:F191))))</f>
        <v/>
      </c>
      <c r="G191" s="6" t="str">
        <f t="array" ref="G191">IF(ROWS(G$8:G191)&gt;$G$5,"",INDEX(C$5:C$936,SMALL(IF(ISNUMBER(MATCH($B$5:$B$936,$I$6:$I$21,0)),ROW($B$5:$B$936)-ROW($B$5)+1),ROWS(G$8:G191))))</f>
        <v/>
      </c>
      <c r="K191" s="5">
        <v>184</v>
      </c>
      <c r="L191" s="6" t="str">
        <f>IF(ROWS(F$8:F191)&gt;$G$5,"",INDEX(B$5:B$936,_xlfn.AGGREGATE(15,6,(ROW($B$5:$B$936)-ROW($B$5)+1)/ISNUMBER(MATCH($B$5:$B$936,$I$6:$I$21,0)),ROWS(F$8:F191))))</f>
        <v/>
      </c>
      <c r="M191" s="6" t="str">
        <f>IF(ROWS(G$8:G191)&gt;$G$5,"",INDEX(C$5:C$936,_xlfn.AGGREGATE(15,6,(ROW($B$5:$B$936)-ROW($B$5)+1)/ISNUMBER(MATCH($B$5:$B$936,$I$6:$I$21,0)),ROWS(G$8:G191))))</f>
        <v/>
      </c>
    </row>
    <row r="192" spans="1:13" x14ac:dyDescent="0.25">
      <c r="A192" s="19">
        <v>41884</v>
      </c>
      <c r="B192" s="5" t="s">
        <v>702</v>
      </c>
      <c r="C192" s="5">
        <v>30</v>
      </c>
      <c r="E192" s="5">
        <v>185</v>
      </c>
      <c r="F192" s="6" t="str">
        <f t="array" ref="F192">IF(ROWS(F$8:F192)&gt;$G$5,"",INDEX(B$5:B$936,SMALL(IF(ISNUMBER(MATCH($B$5:$B$936,$I$6:$I$21,0)),ROW($B$5:$B$936)-ROW($B$5)+1),ROWS(F$8:F192))))</f>
        <v/>
      </c>
      <c r="G192" s="6" t="str">
        <f t="array" ref="G192">IF(ROWS(G$8:G192)&gt;$G$5,"",INDEX(C$5:C$936,SMALL(IF(ISNUMBER(MATCH($B$5:$B$936,$I$6:$I$21,0)),ROW($B$5:$B$936)-ROW($B$5)+1),ROWS(G$8:G192))))</f>
        <v/>
      </c>
      <c r="K192" s="5">
        <v>185</v>
      </c>
      <c r="L192" s="6" t="str">
        <f>IF(ROWS(F$8:F192)&gt;$G$5,"",INDEX(B$5:B$936,_xlfn.AGGREGATE(15,6,(ROW($B$5:$B$936)-ROW($B$5)+1)/ISNUMBER(MATCH($B$5:$B$936,$I$6:$I$21,0)),ROWS(F$8:F192))))</f>
        <v/>
      </c>
      <c r="M192" s="6" t="str">
        <f>IF(ROWS(G$8:G192)&gt;$G$5,"",INDEX(C$5:C$936,_xlfn.AGGREGATE(15,6,(ROW($B$5:$B$936)-ROW($B$5)+1)/ISNUMBER(MATCH($B$5:$B$936,$I$6:$I$21,0)),ROWS(G$8:G192))))</f>
        <v/>
      </c>
    </row>
    <row r="193" spans="1:13" x14ac:dyDescent="0.25">
      <c r="A193" s="19">
        <v>41944</v>
      </c>
      <c r="B193" s="5" t="s">
        <v>734</v>
      </c>
      <c r="C193" s="5">
        <v>28</v>
      </c>
      <c r="E193" s="5">
        <v>186</v>
      </c>
      <c r="F193" s="6" t="str">
        <f t="array" ref="F193">IF(ROWS(F$8:F193)&gt;$G$5,"",INDEX(B$5:B$936,SMALL(IF(ISNUMBER(MATCH($B$5:$B$936,$I$6:$I$21,0)),ROW($B$5:$B$936)-ROW($B$5)+1),ROWS(F$8:F193))))</f>
        <v/>
      </c>
      <c r="G193" s="6" t="str">
        <f t="array" ref="G193">IF(ROWS(G$8:G193)&gt;$G$5,"",INDEX(C$5:C$936,SMALL(IF(ISNUMBER(MATCH($B$5:$B$936,$I$6:$I$21,0)),ROW($B$5:$B$936)-ROW($B$5)+1),ROWS(G$8:G193))))</f>
        <v/>
      </c>
      <c r="K193" s="5">
        <v>186</v>
      </c>
      <c r="L193" s="6" t="str">
        <f>IF(ROWS(F$8:F193)&gt;$G$5,"",INDEX(B$5:B$936,_xlfn.AGGREGATE(15,6,(ROW($B$5:$B$936)-ROW($B$5)+1)/ISNUMBER(MATCH($B$5:$B$936,$I$6:$I$21,0)),ROWS(F$8:F193))))</f>
        <v/>
      </c>
      <c r="M193" s="6" t="str">
        <f>IF(ROWS(G$8:G193)&gt;$G$5,"",INDEX(C$5:C$936,_xlfn.AGGREGATE(15,6,(ROW($B$5:$B$936)-ROW($B$5)+1)/ISNUMBER(MATCH($B$5:$B$936,$I$6:$I$21,0)),ROWS(G$8:G193))))</f>
        <v/>
      </c>
    </row>
    <row r="194" spans="1:13" x14ac:dyDescent="0.25">
      <c r="A194" s="19">
        <v>41934</v>
      </c>
      <c r="B194" s="5" t="s">
        <v>649</v>
      </c>
      <c r="C194" s="5">
        <v>66</v>
      </c>
      <c r="E194" s="5">
        <v>187</v>
      </c>
      <c r="F194" s="6" t="str">
        <f t="array" ref="F194">IF(ROWS(F$8:F194)&gt;$G$5,"",INDEX(B$5:B$936,SMALL(IF(ISNUMBER(MATCH($B$5:$B$936,$I$6:$I$21,0)),ROW($B$5:$B$936)-ROW($B$5)+1),ROWS(F$8:F194))))</f>
        <v/>
      </c>
      <c r="G194" s="6" t="str">
        <f t="array" ref="G194">IF(ROWS(G$8:G194)&gt;$G$5,"",INDEX(C$5:C$936,SMALL(IF(ISNUMBER(MATCH($B$5:$B$936,$I$6:$I$21,0)),ROW($B$5:$B$936)-ROW($B$5)+1),ROWS(G$8:G194))))</f>
        <v/>
      </c>
      <c r="K194" s="5">
        <v>187</v>
      </c>
      <c r="L194" s="6" t="str">
        <f>IF(ROWS(F$8:F194)&gt;$G$5,"",INDEX(B$5:B$936,_xlfn.AGGREGATE(15,6,(ROW($B$5:$B$936)-ROW($B$5)+1)/ISNUMBER(MATCH($B$5:$B$936,$I$6:$I$21,0)),ROWS(F$8:F194))))</f>
        <v/>
      </c>
      <c r="M194" s="6" t="str">
        <f>IF(ROWS(G$8:G194)&gt;$G$5,"",INDEX(C$5:C$936,_xlfn.AGGREGATE(15,6,(ROW($B$5:$B$936)-ROW($B$5)+1)/ISNUMBER(MATCH($B$5:$B$936,$I$6:$I$21,0)),ROWS(G$8:G194))))</f>
        <v/>
      </c>
    </row>
    <row r="195" spans="1:13" x14ac:dyDescent="0.25">
      <c r="A195" s="19">
        <v>41946</v>
      </c>
      <c r="B195" s="5" t="s">
        <v>745</v>
      </c>
      <c r="C195" s="5">
        <v>62</v>
      </c>
      <c r="E195" s="5">
        <v>188</v>
      </c>
      <c r="F195" s="6" t="str">
        <f t="array" ref="F195">IF(ROWS(F$8:F195)&gt;$G$5,"",INDEX(B$5:B$936,SMALL(IF(ISNUMBER(MATCH($B$5:$B$936,$I$6:$I$21,0)),ROW($B$5:$B$936)-ROW($B$5)+1),ROWS(F$8:F195))))</f>
        <v/>
      </c>
      <c r="G195" s="6" t="str">
        <f t="array" ref="G195">IF(ROWS(G$8:G195)&gt;$G$5,"",INDEX(C$5:C$936,SMALL(IF(ISNUMBER(MATCH($B$5:$B$936,$I$6:$I$21,0)),ROW($B$5:$B$936)-ROW($B$5)+1),ROWS(G$8:G195))))</f>
        <v/>
      </c>
      <c r="K195" s="5">
        <v>188</v>
      </c>
      <c r="L195" s="6" t="str">
        <f>IF(ROWS(F$8:F195)&gt;$G$5,"",INDEX(B$5:B$936,_xlfn.AGGREGATE(15,6,(ROW($B$5:$B$936)-ROW($B$5)+1)/ISNUMBER(MATCH($B$5:$B$936,$I$6:$I$21,0)),ROWS(F$8:F195))))</f>
        <v/>
      </c>
      <c r="M195" s="6" t="str">
        <f>IF(ROWS(G$8:G195)&gt;$G$5,"",INDEX(C$5:C$936,_xlfn.AGGREGATE(15,6,(ROW($B$5:$B$936)-ROW($B$5)+1)/ISNUMBER(MATCH($B$5:$B$936,$I$6:$I$21,0)),ROWS(G$8:G195))))</f>
        <v/>
      </c>
    </row>
    <row r="196" spans="1:13" x14ac:dyDescent="0.25">
      <c r="A196" s="19">
        <v>41984</v>
      </c>
      <c r="B196" s="5" t="s">
        <v>651</v>
      </c>
      <c r="C196" s="5">
        <v>30</v>
      </c>
      <c r="E196" s="5">
        <v>189</v>
      </c>
      <c r="F196" s="6" t="str">
        <f t="array" ref="F196">IF(ROWS(F$8:F196)&gt;$G$5,"",INDEX(B$5:B$936,SMALL(IF(ISNUMBER(MATCH($B$5:$B$936,$I$6:$I$21,0)),ROW($B$5:$B$936)-ROW($B$5)+1),ROWS(F$8:F196))))</f>
        <v/>
      </c>
      <c r="G196" s="6" t="str">
        <f t="array" ref="G196">IF(ROWS(G$8:G196)&gt;$G$5,"",INDEX(C$5:C$936,SMALL(IF(ISNUMBER(MATCH($B$5:$B$936,$I$6:$I$21,0)),ROW($B$5:$B$936)-ROW($B$5)+1),ROWS(G$8:G196))))</f>
        <v/>
      </c>
      <c r="K196" s="5">
        <v>189</v>
      </c>
      <c r="L196" s="6" t="str">
        <f>IF(ROWS(F$8:F196)&gt;$G$5,"",INDEX(B$5:B$936,_xlfn.AGGREGATE(15,6,(ROW($B$5:$B$936)-ROW($B$5)+1)/ISNUMBER(MATCH($B$5:$B$936,$I$6:$I$21,0)),ROWS(F$8:F196))))</f>
        <v/>
      </c>
      <c r="M196" s="6" t="str">
        <f>IF(ROWS(G$8:G196)&gt;$G$5,"",INDEX(C$5:C$936,_xlfn.AGGREGATE(15,6,(ROW($B$5:$B$936)-ROW($B$5)+1)/ISNUMBER(MATCH($B$5:$B$936,$I$6:$I$21,0)),ROWS(G$8:G196))))</f>
        <v/>
      </c>
    </row>
    <row r="197" spans="1:13" x14ac:dyDescent="0.25">
      <c r="A197" s="19">
        <v>41836</v>
      </c>
      <c r="B197" s="5" t="s">
        <v>742</v>
      </c>
      <c r="C197" s="5">
        <v>44</v>
      </c>
      <c r="E197" s="5">
        <v>190</v>
      </c>
      <c r="F197" s="6" t="str">
        <f t="array" ref="F197">IF(ROWS(F$8:F197)&gt;$G$5,"",INDEX(B$5:B$936,SMALL(IF(ISNUMBER(MATCH($B$5:$B$936,$I$6:$I$21,0)),ROW($B$5:$B$936)-ROW($B$5)+1),ROWS(F$8:F197))))</f>
        <v/>
      </c>
      <c r="G197" s="6" t="str">
        <f t="array" ref="G197">IF(ROWS(G$8:G197)&gt;$G$5,"",INDEX(C$5:C$936,SMALL(IF(ISNUMBER(MATCH($B$5:$B$936,$I$6:$I$21,0)),ROW($B$5:$B$936)-ROW($B$5)+1),ROWS(G$8:G197))))</f>
        <v/>
      </c>
      <c r="K197" s="5">
        <v>190</v>
      </c>
      <c r="L197" s="6" t="str">
        <f>IF(ROWS(F$8:F197)&gt;$G$5,"",INDEX(B$5:B$936,_xlfn.AGGREGATE(15,6,(ROW($B$5:$B$936)-ROW($B$5)+1)/ISNUMBER(MATCH($B$5:$B$936,$I$6:$I$21,0)),ROWS(F$8:F197))))</f>
        <v/>
      </c>
      <c r="M197" s="6" t="str">
        <f>IF(ROWS(G$8:G197)&gt;$G$5,"",INDEX(C$5:C$936,_xlfn.AGGREGATE(15,6,(ROW($B$5:$B$936)-ROW($B$5)+1)/ISNUMBER(MATCH($B$5:$B$936,$I$6:$I$21,0)),ROWS(G$8:G197))))</f>
        <v/>
      </c>
    </row>
    <row r="198" spans="1:13" x14ac:dyDescent="0.25">
      <c r="A198" s="19">
        <v>41954</v>
      </c>
      <c r="B198" s="5" t="s">
        <v>714</v>
      </c>
      <c r="C198" s="5">
        <v>5</v>
      </c>
      <c r="E198" s="5">
        <v>191</v>
      </c>
      <c r="F198" s="6" t="str">
        <f t="array" ref="F198">IF(ROWS(F$8:F198)&gt;$G$5,"",INDEX(B$5:B$936,SMALL(IF(ISNUMBER(MATCH($B$5:$B$936,$I$6:$I$21,0)),ROW($B$5:$B$936)-ROW($B$5)+1),ROWS(F$8:F198))))</f>
        <v/>
      </c>
      <c r="G198" s="6" t="str">
        <f t="array" ref="G198">IF(ROWS(G$8:G198)&gt;$G$5,"",INDEX(C$5:C$936,SMALL(IF(ISNUMBER(MATCH($B$5:$B$936,$I$6:$I$21,0)),ROW($B$5:$B$936)-ROW($B$5)+1),ROWS(G$8:G198))))</f>
        <v/>
      </c>
      <c r="K198" s="5">
        <v>191</v>
      </c>
      <c r="L198" s="6" t="str">
        <f>IF(ROWS(F$8:F198)&gt;$G$5,"",INDEX(B$5:B$936,_xlfn.AGGREGATE(15,6,(ROW($B$5:$B$936)-ROW($B$5)+1)/ISNUMBER(MATCH($B$5:$B$936,$I$6:$I$21,0)),ROWS(F$8:F198))))</f>
        <v/>
      </c>
      <c r="M198" s="6" t="str">
        <f>IF(ROWS(G$8:G198)&gt;$G$5,"",INDEX(C$5:C$936,_xlfn.AGGREGATE(15,6,(ROW($B$5:$B$936)-ROW($B$5)+1)/ISNUMBER(MATCH($B$5:$B$936,$I$6:$I$21,0)),ROWS(G$8:G198))))</f>
        <v/>
      </c>
    </row>
    <row r="199" spans="1:13" x14ac:dyDescent="0.25">
      <c r="A199" s="19">
        <v>41867</v>
      </c>
      <c r="B199" s="5" t="s">
        <v>690</v>
      </c>
      <c r="C199" s="5">
        <v>19</v>
      </c>
      <c r="E199" s="5">
        <v>192</v>
      </c>
      <c r="F199" s="6" t="str">
        <f t="array" ref="F199">IF(ROWS(F$8:F199)&gt;$G$5,"",INDEX(B$5:B$936,SMALL(IF(ISNUMBER(MATCH($B$5:$B$936,$I$6:$I$21,0)),ROW($B$5:$B$936)-ROW($B$5)+1),ROWS(F$8:F199))))</f>
        <v/>
      </c>
      <c r="G199" s="6" t="str">
        <f t="array" ref="G199">IF(ROWS(G$8:G199)&gt;$G$5,"",INDEX(C$5:C$936,SMALL(IF(ISNUMBER(MATCH($B$5:$B$936,$I$6:$I$21,0)),ROW($B$5:$B$936)-ROW($B$5)+1),ROWS(G$8:G199))))</f>
        <v/>
      </c>
      <c r="K199" s="5">
        <v>192</v>
      </c>
      <c r="L199" s="6" t="str">
        <f>IF(ROWS(F$8:F199)&gt;$G$5,"",INDEX(B$5:B$936,_xlfn.AGGREGATE(15,6,(ROW($B$5:$B$936)-ROW($B$5)+1)/ISNUMBER(MATCH($B$5:$B$936,$I$6:$I$21,0)),ROWS(F$8:F199))))</f>
        <v/>
      </c>
      <c r="M199" s="6" t="str">
        <f>IF(ROWS(G$8:G199)&gt;$G$5,"",INDEX(C$5:C$936,_xlfn.AGGREGATE(15,6,(ROW($B$5:$B$936)-ROW($B$5)+1)/ISNUMBER(MATCH($B$5:$B$936,$I$6:$I$21,0)),ROWS(G$8:G199))))</f>
        <v/>
      </c>
    </row>
    <row r="200" spans="1:13" x14ac:dyDescent="0.25">
      <c r="A200" s="19">
        <v>41948</v>
      </c>
      <c r="B200" s="5" t="s">
        <v>660</v>
      </c>
      <c r="C200" s="5">
        <v>61</v>
      </c>
      <c r="E200" s="5">
        <v>193</v>
      </c>
      <c r="F200" s="6" t="str">
        <f t="array" ref="F200">IF(ROWS(F$8:F200)&gt;$G$5,"",INDEX(B$5:B$936,SMALL(IF(ISNUMBER(MATCH($B$5:$B$936,$I$6:$I$21,0)),ROW($B$5:$B$936)-ROW($B$5)+1),ROWS(F$8:F200))))</f>
        <v/>
      </c>
      <c r="G200" s="6" t="str">
        <f t="array" ref="G200">IF(ROWS(G$8:G200)&gt;$G$5,"",INDEX(C$5:C$936,SMALL(IF(ISNUMBER(MATCH($B$5:$B$936,$I$6:$I$21,0)),ROW($B$5:$B$936)-ROW($B$5)+1),ROWS(G$8:G200))))</f>
        <v/>
      </c>
      <c r="K200" s="5">
        <v>193</v>
      </c>
      <c r="L200" s="6" t="str">
        <f>IF(ROWS(F$8:F200)&gt;$G$5,"",INDEX(B$5:B$936,_xlfn.AGGREGATE(15,6,(ROW($B$5:$B$936)-ROW($B$5)+1)/ISNUMBER(MATCH($B$5:$B$936,$I$6:$I$21,0)),ROWS(F$8:F200))))</f>
        <v/>
      </c>
      <c r="M200" s="6" t="str">
        <f>IF(ROWS(G$8:G200)&gt;$G$5,"",INDEX(C$5:C$936,_xlfn.AGGREGATE(15,6,(ROW($B$5:$B$936)-ROW($B$5)+1)/ISNUMBER(MATCH($B$5:$B$936,$I$6:$I$21,0)),ROWS(G$8:G200))))</f>
        <v/>
      </c>
    </row>
    <row r="201" spans="1:13" x14ac:dyDescent="0.25">
      <c r="A201" s="19">
        <v>41846</v>
      </c>
      <c r="B201" s="5" t="s">
        <v>694</v>
      </c>
      <c r="C201" s="5">
        <v>49</v>
      </c>
      <c r="E201" s="5">
        <v>194</v>
      </c>
      <c r="F201" s="6" t="str">
        <f t="array" ref="F201">IF(ROWS(F$8:F201)&gt;$G$5,"",INDEX(B$5:B$936,SMALL(IF(ISNUMBER(MATCH($B$5:$B$936,$I$6:$I$21,0)),ROW($B$5:$B$936)-ROW($B$5)+1),ROWS(F$8:F201))))</f>
        <v/>
      </c>
      <c r="G201" s="6" t="str">
        <f t="array" ref="G201">IF(ROWS(G$8:G201)&gt;$G$5,"",INDEX(C$5:C$936,SMALL(IF(ISNUMBER(MATCH($B$5:$B$936,$I$6:$I$21,0)),ROW($B$5:$B$936)-ROW($B$5)+1),ROWS(G$8:G201))))</f>
        <v/>
      </c>
      <c r="K201" s="5">
        <v>194</v>
      </c>
      <c r="L201" s="6" t="str">
        <f>IF(ROWS(F$8:F201)&gt;$G$5,"",INDEX(B$5:B$936,_xlfn.AGGREGATE(15,6,(ROW($B$5:$B$936)-ROW($B$5)+1)/ISNUMBER(MATCH($B$5:$B$936,$I$6:$I$21,0)),ROWS(F$8:F201))))</f>
        <v/>
      </c>
      <c r="M201" s="6" t="str">
        <f>IF(ROWS(G$8:G201)&gt;$G$5,"",INDEX(C$5:C$936,_xlfn.AGGREGATE(15,6,(ROW($B$5:$B$936)-ROW($B$5)+1)/ISNUMBER(MATCH($B$5:$B$936,$I$6:$I$21,0)),ROWS(G$8:G201))))</f>
        <v/>
      </c>
    </row>
    <row r="202" spans="1:13" x14ac:dyDescent="0.25">
      <c r="A202" s="19">
        <v>41921</v>
      </c>
      <c r="B202" s="5" t="s">
        <v>649</v>
      </c>
      <c r="C202" s="5">
        <v>3</v>
      </c>
      <c r="E202" s="5">
        <v>195</v>
      </c>
      <c r="F202" s="6" t="str">
        <f t="array" ref="F202">IF(ROWS(F$8:F202)&gt;$G$5,"",INDEX(B$5:B$936,SMALL(IF(ISNUMBER(MATCH($B$5:$B$936,$I$6:$I$21,0)),ROW($B$5:$B$936)-ROW($B$5)+1),ROWS(F$8:F202))))</f>
        <v/>
      </c>
      <c r="G202" s="6" t="str">
        <f t="array" ref="G202">IF(ROWS(G$8:G202)&gt;$G$5,"",INDEX(C$5:C$936,SMALL(IF(ISNUMBER(MATCH($B$5:$B$936,$I$6:$I$21,0)),ROW($B$5:$B$936)-ROW($B$5)+1),ROWS(G$8:G202))))</f>
        <v/>
      </c>
      <c r="K202" s="5">
        <v>195</v>
      </c>
      <c r="L202" s="6" t="str">
        <f>IF(ROWS(F$8:F202)&gt;$G$5,"",INDEX(B$5:B$936,_xlfn.AGGREGATE(15,6,(ROW($B$5:$B$936)-ROW($B$5)+1)/ISNUMBER(MATCH($B$5:$B$936,$I$6:$I$21,0)),ROWS(F$8:F202))))</f>
        <v/>
      </c>
      <c r="M202" s="6" t="str">
        <f>IF(ROWS(G$8:G202)&gt;$G$5,"",INDEX(C$5:C$936,_xlfn.AGGREGATE(15,6,(ROW($B$5:$B$936)-ROW($B$5)+1)/ISNUMBER(MATCH($B$5:$B$936,$I$6:$I$21,0)),ROWS(G$8:G202))))</f>
        <v/>
      </c>
    </row>
    <row r="203" spans="1:13" x14ac:dyDescent="0.25">
      <c r="A203" s="19">
        <v>41836</v>
      </c>
      <c r="B203" s="5" t="s">
        <v>711</v>
      </c>
      <c r="C203" s="5">
        <v>21</v>
      </c>
      <c r="E203" s="5">
        <v>196</v>
      </c>
      <c r="F203" s="6" t="str">
        <f t="array" ref="F203">IF(ROWS(F$8:F203)&gt;$G$5,"",INDEX(B$5:B$936,SMALL(IF(ISNUMBER(MATCH($B$5:$B$936,$I$6:$I$21,0)),ROW($B$5:$B$936)-ROW($B$5)+1),ROWS(F$8:F203))))</f>
        <v/>
      </c>
      <c r="G203" s="6" t="str">
        <f t="array" ref="G203">IF(ROWS(G$8:G203)&gt;$G$5,"",INDEX(C$5:C$936,SMALL(IF(ISNUMBER(MATCH($B$5:$B$936,$I$6:$I$21,0)),ROW($B$5:$B$936)-ROW($B$5)+1),ROWS(G$8:G203))))</f>
        <v/>
      </c>
      <c r="K203" s="5">
        <v>196</v>
      </c>
      <c r="L203" s="6" t="str">
        <f>IF(ROWS(F$8:F203)&gt;$G$5,"",INDEX(B$5:B$936,_xlfn.AGGREGATE(15,6,(ROW($B$5:$B$936)-ROW($B$5)+1)/ISNUMBER(MATCH($B$5:$B$936,$I$6:$I$21,0)),ROWS(F$8:F203))))</f>
        <v/>
      </c>
      <c r="M203" s="6" t="str">
        <f>IF(ROWS(G$8:G203)&gt;$G$5,"",INDEX(C$5:C$936,_xlfn.AGGREGATE(15,6,(ROW($B$5:$B$936)-ROW($B$5)+1)/ISNUMBER(MATCH($B$5:$B$936,$I$6:$I$21,0)),ROWS(G$8:G203))))</f>
        <v/>
      </c>
    </row>
    <row r="204" spans="1:13" x14ac:dyDescent="0.25">
      <c r="A204" s="19">
        <v>41886</v>
      </c>
      <c r="B204" s="5" t="s">
        <v>664</v>
      </c>
      <c r="C204" s="5">
        <v>60</v>
      </c>
      <c r="E204" s="5">
        <v>197</v>
      </c>
      <c r="F204" s="6" t="str">
        <f t="array" ref="F204">IF(ROWS(F$8:F204)&gt;$G$5,"",INDEX(B$5:B$936,SMALL(IF(ISNUMBER(MATCH($B$5:$B$936,$I$6:$I$21,0)),ROW($B$5:$B$936)-ROW($B$5)+1),ROWS(F$8:F204))))</f>
        <v/>
      </c>
      <c r="G204" s="6" t="str">
        <f t="array" ref="G204">IF(ROWS(G$8:G204)&gt;$G$5,"",INDEX(C$5:C$936,SMALL(IF(ISNUMBER(MATCH($B$5:$B$936,$I$6:$I$21,0)),ROW($B$5:$B$936)-ROW($B$5)+1),ROWS(G$8:G204))))</f>
        <v/>
      </c>
      <c r="K204" s="5">
        <v>197</v>
      </c>
      <c r="L204" s="6" t="str">
        <f>IF(ROWS(F$8:F204)&gt;$G$5,"",INDEX(B$5:B$936,_xlfn.AGGREGATE(15,6,(ROW($B$5:$B$936)-ROW($B$5)+1)/ISNUMBER(MATCH($B$5:$B$936,$I$6:$I$21,0)),ROWS(F$8:F204))))</f>
        <v/>
      </c>
      <c r="M204" s="6" t="str">
        <f>IF(ROWS(G$8:G204)&gt;$G$5,"",INDEX(C$5:C$936,_xlfn.AGGREGATE(15,6,(ROW($B$5:$B$936)-ROW($B$5)+1)/ISNUMBER(MATCH($B$5:$B$936,$I$6:$I$21,0)),ROWS(G$8:G204))))</f>
        <v/>
      </c>
    </row>
    <row r="205" spans="1:13" x14ac:dyDescent="0.25">
      <c r="A205" s="19">
        <v>41891</v>
      </c>
      <c r="B205" s="5" t="s">
        <v>704</v>
      </c>
      <c r="C205" s="5">
        <v>33</v>
      </c>
      <c r="E205" s="5">
        <v>198</v>
      </c>
      <c r="F205" s="6" t="str">
        <f t="array" ref="F205">IF(ROWS(F$8:F205)&gt;$G$5,"",INDEX(B$5:B$936,SMALL(IF(ISNUMBER(MATCH($B$5:$B$936,$I$6:$I$21,0)),ROW($B$5:$B$936)-ROW($B$5)+1),ROWS(F$8:F205))))</f>
        <v/>
      </c>
      <c r="G205" s="6" t="str">
        <f t="array" ref="G205">IF(ROWS(G$8:G205)&gt;$G$5,"",INDEX(C$5:C$936,SMALL(IF(ISNUMBER(MATCH($B$5:$B$936,$I$6:$I$21,0)),ROW($B$5:$B$936)-ROW($B$5)+1),ROWS(G$8:G205))))</f>
        <v/>
      </c>
      <c r="K205" s="5">
        <v>198</v>
      </c>
      <c r="L205" s="6" t="str">
        <f>IF(ROWS(F$8:F205)&gt;$G$5,"",INDEX(B$5:B$936,_xlfn.AGGREGATE(15,6,(ROW($B$5:$B$936)-ROW($B$5)+1)/ISNUMBER(MATCH($B$5:$B$936,$I$6:$I$21,0)),ROWS(F$8:F205))))</f>
        <v/>
      </c>
      <c r="M205" s="6" t="str">
        <f>IF(ROWS(G$8:G205)&gt;$G$5,"",INDEX(C$5:C$936,_xlfn.AGGREGATE(15,6,(ROW($B$5:$B$936)-ROW($B$5)+1)/ISNUMBER(MATCH($B$5:$B$936,$I$6:$I$21,0)),ROWS(G$8:G205))))</f>
        <v/>
      </c>
    </row>
    <row r="206" spans="1:13" x14ac:dyDescent="0.25">
      <c r="A206" s="19">
        <v>41992</v>
      </c>
      <c r="B206" s="5" t="s">
        <v>672</v>
      </c>
      <c r="C206" s="5">
        <v>56</v>
      </c>
      <c r="E206" s="5">
        <v>199</v>
      </c>
      <c r="F206" s="6" t="str">
        <f t="array" ref="F206">IF(ROWS(F$8:F206)&gt;$G$5,"",INDEX(B$5:B$936,SMALL(IF(ISNUMBER(MATCH($B$5:$B$936,$I$6:$I$21,0)),ROW($B$5:$B$936)-ROW($B$5)+1),ROWS(F$8:F206))))</f>
        <v/>
      </c>
      <c r="G206" s="6" t="str">
        <f t="array" ref="G206">IF(ROWS(G$8:G206)&gt;$G$5,"",INDEX(C$5:C$936,SMALL(IF(ISNUMBER(MATCH($B$5:$B$936,$I$6:$I$21,0)),ROW($B$5:$B$936)-ROW($B$5)+1),ROWS(G$8:G206))))</f>
        <v/>
      </c>
      <c r="K206" s="5">
        <v>199</v>
      </c>
      <c r="L206" s="6" t="str">
        <f>IF(ROWS(F$8:F206)&gt;$G$5,"",INDEX(B$5:B$936,_xlfn.AGGREGATE(15,6,(ROW($B$5:$B$936)-ROW($B$5)+1)/ISNUMBER(MATCH($B$5:$B$936,$I$6:$I$21,0)),ROWS(F$8:F206))))</f>
        <v/>
      </c>
      <c r="M206" s="6" t="str">
        <f>IF(ROWS(G$8:G206)&gt;$G$5,"",INDEX(C$5:C$936,_xlfn.AGGREGATE(15,6,(ROW($B$5:$B$936)-ROW($B$5)+1)/ISNUMBER(MATCH($B$5:$B$936,$I$6:$I$21,0)),ROWS(G$8:G206))))</f>
        <v/>
      </c>
    </row>
    <row r="207" spans="1:13" x14ac:dyDescent="0.25">
      <c r="A207" s="19">
        <v>41856</v>
      </c>
      <c r="B207" s="5" t="s">
        <v>746</v>
      </c>
      <c r="C207" s="5">
        <v>10</v>
      </c>
      <c r="E207" s="5">
        <v>200</v>
      </c>
      <c r="F207" s="6" t="str">
        <f t="array" ref="F207">IF(ROWS(F$8:F207)&gt;$G$5,"",INDEX(B$5:B$936,SMALL(IF(ISNUMBER(MATCH($B$5:$B$936,$I$6:$I$21,0)),ROW($B$5:$B$936)-ROW($B$5)+1),ROWS(F$8:F207))))</f>
        <v/>
      </c>
      <c r="G207" s="6" t="str">
        <f t="array" ref="G207">IF(ROWS(G$8:G207)&gt;$G$5,"",INDEX(C$5:C$936,SMALL(IF(ISNUMBER(MATCH($B$5:$B$936,$I$6:$I$21,0)),ROW($B$5:$B$936)-ROW($B$5)+1),ROWS(G$8:G207))))</f>
        <v/>
      </c>
      <c r="K207" s="5">
        <v>200</v>
      </c>
      <c r="L207" s="6" t="str">
        <f>IF(ROWS(F$8:F207)&gt;$G$5,"",INDEX(B$5:B$936,_xlfn.AGGREGATE(15,6,(ROW($B$5:$B$936)-ROW($B$5)+1)/ISNUMBER(MATCH($B$5:$B$936,$I$6:$I$21,0)),ROWS(F$8:F207))))</f>
        <v/>
      </c>
      <c r="M207" s="6" t="str">
        <f>IF(ROWS(G$8:G207)&gt;$G$5,"",INDEX(C$5:C$936,_xlfn.AGGREGATE(15,6,(ROW($B$5:$B$936)-ROW($B$5)+1)/ISNUMBER(MATCH($B$5:$B$936,$I$6:$I$21,0)),ROWS(G$8:G207))))</f>
        <v/>
      </c>
    </row>
    <row r="208" spans="1:13" x14ac:dyDescent="0.25">
      <c r="A208" s="19">
        <v>41950</v>
      </c>
      <c r="B208" s="5" t="s">
        <v>732</v>
      </c>
      <c r="C208" s="5">
        <v>7</v>
      </c>
    </row>
    <row r="209" spans="1:3" x14ac:dyDescent="0.25">
      <c r="A209" s="19">
        <v>41972</v>
      </c>
      <c r="B209" s="5" t="s">
        <v>717</v>
      </c>
      <c r="C209" s="5">
        <v>72</v>
      </c>
    </row>
    <row r="210" spans="1:3" x14ac:dyDescent="0.25">
      <c r="A210" s="19">
        <v>41812</v>
      </c>
      <c r="B210" s="5" t="s">
        <v>650</v>
      </c>
      <c r="C210" s="5">
        <v>47</v>
      </c>
    </row>
    <row r="211" spans="1:3" x14ac:dyDescent="0.25">
      <c r="A211" s="19">
        <v>41963</v>
      </c>
      <c r="B211" s="5" t="s">
        <v>716</v>
      </c>
      <c r="C211" s="5">
        <v>66</v>
      </c>
    </row>
    <row r="212" spans="1:3" x14ac:dyDescent="0.25">
      <c r="A212" s="19">
        <v>41990</v>
      </c>
      <c r="B212" s="5" t="s">
        <v>711</v>
      </c>
      <c r="C212" s="5">
        <v>18</v>
      </c>
    </row>
    <row r="213" spans="1:3" x14ac:dyDescent="0.25">
      <c r="A213" s="19">
        <v>41865</v>
      </c>
      <c r="B213" s="5" t="s">
        <v>680</v>
      </c>
      <c r="C213" s="5">
        <v>24</v>
      </c>
    </row>
    <row r="214" spans="1:3" x14ac:dyDescent="0.25">
      <c r="A214" s="19">
        <v>41801</v>
      </c>
      <c r="B214" s="5" t="s">
        <v>744</v>
      </c>
      <c r="C214" s="5">
        <v>60</v>
      </c>
    </row>
    <row r="215" spans="1:3" x14ac:dyDescent="0.25">
      <c r="A215" s="19">
        <v>41913</v>
      </c>
      <c r="B215" s="5" t="s">
        <v>721</v>
      </c>
      <c r="C215" s="5">
        <v>27</v>
      </c>
    </row>
    <row r="216" spans="1:3" x14ac:dyDescent="0.25">
      <c r="A216" s="19">
        <v>41872</v>
      </c>
      <c r="B216" s="5" t="s">
        <v>736</v>
      </c>
      <c r="C216" s="5">
        <v>43</v>
      </c>
    </row>
    <row r="217" spans="1:3" x14ac:dyDescent="0.25">
      <c r="A217" s="19">
        <v>41841</v>
      </c>
      <c r="B217" s="5" t="s">
        <v>692</v>
      </c>
      <c r="C217" s="5">
        <v>9</v>
      </c>
    </row>
    <row r="218" spans="1:3" x14ac:dyDescent="0.25">
      <c r="A218" s="19">
        <v>41985</v>
      </c>
      <c r="B218" s="5" t="s">
        <v>721</v>
      </c>
      <c r="C218" s="5">
        <v>53</v>
      </c>
    </row>
    <row r="219" spans="1:3" x14ac:dyDescent="0.25">
      <c r="A219" s="19">
        <v>41842</v>
      </c>
      <c r="B219" s="5" t="s">
        <v>651</v>
      </c>
      <c r="C219" s="5">
        <v>7</v>
      </c>
    </row>
    <row r="220" spans="1:3" x14ac:dyDescent="0.25">
      <c r="A220" s="19">
        <v>41877</v>
      </c>
      <c r="B220" s="5" t="s">
        <v>736</v>
      </c>
      <c r="C220" s="5">
        <v>32</v>
      </c>
    </row>
    <row r="221" spans="1:3" x14ac:dyDescent="0.25">
      <c r="A221" s="19">
        <v>41849</v>
      </c>
      <c r="B221" s="5" t="s">
        <v>731</v>
      </c>
      <c r="C221" s="5">
        <v>52</v>
      </c>
    </row>
    <row r="222" spans="1:3" x14ac:dyDescent="0.25">
      <c r="A222" s="19">
        <v>41887</v>
      </c>
      <c r="B222" s="5" t="s">
        <v>693</v>
      </c>
      <c r="C222" s="5">
        <v>41</v>
      </c>
    </row>
    <row r="223" spans="1:3" x14ac:dyDescent="0.25">
      <c r="A223" s="19">
        <v>41872</v>
      </c>
      <c r="B223" s="5" t="s">
        <v>747</v>
      </c>
      <c r="C223" s="5">
        <v>36</v>
      </c>
    </row>
    <row r="224" spans="1:3" x14ac:dyDescent="0.25">
      <c r="A224" s="19">
        <v>41936</v>
      </c>
      <c r="B224" s="5" t="s">
        <v>745</v>
      </c>
      <c r="C224" s="5">
        <v>38</v>
      </c>
    </row>
    <row r="225" spans="1:3" x14ac:dyDescent="0.25">
      <c r="A225" s="19">
        <v>41927</v>
      </c>
      <c r="B225" s="5" t="s">
        <v>664</v>
      </c>
      <c r="C225" s="5">
        <v>48</v>
      </c>
    </row>
    <row r="226" spans="1:3" x14ac:dyDescent="0.25">
      <c r="A226" s="19">
        <v>41990</v>
      </c>
      <c r="B226" s="5" t="s">
        <v>657</v>
      </c>
      <c r="C226" s="5">
        <v>16</v>
      </c>
    </row>
    <row r="227" spans="1:3" x14ac:dyDescent="0.25">
      <c r="A227" s="19">
        <v>41851</v>
      </c>
      <c r="B227" s="5" t="s">
        <v>657</v>
      </c>
      <c r="C227" s="5">
        <v>6</v>
      </c>
    </row>
    <row r="228" spans="1:3" x14ac:dyDescent="0.25">
      <c r="A228" s="19">
        <v>41938</v>
      </c>
      <c r="B228" s="5" t="s">
        <v>683</v>
      </c>
      <c r="C228" s="5">
        <v>68</v>
      </c>
    </row>
    <row r="229" spans="1:3" x14ac:dyDescent="0.25">
      <c r="A229" s="19">
        <v>41847</v>
      </c>
      <c r="B229" s="5" t="s">
        <v>657</v>
      </c>
      <c r="C229" s="5">
        <v>13</v>
      </c>
    </row>
    <row r="230" spans="1:3" x14ac:dyDescent="0.25">
      <c r="A230" s="19">
        <v>41852</v>
      </c>
      <c r="B230" s="5" t="s">
        <v>657</v>
      </c>
      <c r="C230" s="5">
        <v>43</v>
      </c>
    </row>
    <row r="231" spans="1:3" x14ac:dyDescent="0.25">
      <c r="A231" s="19">
        <v>41996</v>
      </c>
      <c r="B231" s="5" t="s">
        <v>645</v>
      </c>
      <c r="C231" s="5">
        <v>23</v>
      </c>
    </row>
    <row r="232" spans="1:3" x14ac:dyDescent="0.25">
      <c r="A232" s="19">
        <v>41973</v>
      </c>
      <c r="B232" s="5" t="s">
        <v>743</v>
      </c>
      <c r="C232" s="5">
        <v>63</v>
      </c>
    </row>
    <row r="233" spans="1:3" x14ac:dyDescent="0.25">
      <c r="A233" s="19">
        <v>41919</v>
      </c>
      <c r="B233" s="5" t="s">
        <v>741</v>
      </c>
      <c r="C233" s="5">
        <v>55</v>
      </c>
    </row>
    <row r="234" spans="1:3" x14ac:dyDescent="0.25">
      <c r="A234" s="19">
        <v>41898</v>
      </c>
      <c r="B234" s="5" t="s">
        <v>691</v>
      </c>
      <c r="C234" s="5">
        <v>33</v>
      </c>
    </row>
    <row r="235" spans="1:3" x14ac:dyDescent="0.25">
      <c r="A235" s="19">
        <v>41990</v>
      </c>
      <c r="B235" s="5" t="s">
        <v>704</v>
      </c>
      <c r="C235" s="5">
        <v>10</v>
      </c>
    </row>
    <row r="236" spans="1:3" x14ac:dyDescent="0.25">
      <c r="A236" s="19">
        <v>41845</v>
      </c>
      <c r="B236" s="5" t="s">
        <v>733</v>
      </c>
      <c r="C236" s="5">
        <v>28</v>
      </c>
    </row>
    <row r="237" spans="1:3" x14ac:dyDescent="0.25">
      <c r="A237" s="19">
        <v>41991</v>
      </c>
      <c r="B237" s="5" t="s">
        <v>651</v>
      </c>
      <c r="C237" s="5">
        <v>30</v>
      </c>
    </row>
    <row r="238" spans="1:3" x14ac:dyDescent="0.25">
      <c r="A238" s="19">
        <v>41942</v>
      </c>
      <c r="B238" s="5" t="s">
        <v>722</v>
      </c>
      <c r="C238" s="5">
        <v>74</v>
      </c>
    </row>
    <row r="239" spans="1:3" x14ac:dyDescent="0.25">
      <c r="A239" s="19">
        <v>41867</v>
      </c>
      <c r="B239" s="5" t="s">
        <v>720</v>
      </c>
      <c r="C239" s="5">
        <v>40</v>
      </c>
    </row>
    <row r="240" spans="1:3" x14ac:dyDescent="0.25">
      <c r="A240" s="19">
        <v>41938</v>
      </c>
      <c r="B240" s="5" t="s">
        <v>678</v>
      </c>
      <c r="C240" s="5">
        <v>66</v>
      </c>
    </row>
    <row r="241" spans="1:3" x14ac:dyDescent="0.25">
      <c r="A241" s="19">
        <v>41901</v>
      </c>
      <c r="B241" s="5" t="s">
        <v>745</v>
      </c>
      <c r="C241" s="5">
        <v>25</v>
      </c>
    </row>
    <row r="242" spans="1:3" x14ac:dyDescent="0.25">
      <c r="A242" s="19">
        <v>41871</v>
      </c>
      <c r="B242" s="5" t="s">
        <v>712</v>
      </c>
      <c r="C242" s="5">
        <v>49</v>
      </c>
    </row>
    <row r="243" spans="1:3" x14ac:dyDescent="0.25">
      <c r="A243" s="19">
        <v>41826</v>
      </c>
      <c r="B243" s="5" t="s">
        <v>667</v>
      </c>
      <c r="C243" s="5">
        <v>40</v>
      </c>
    </row>
    <row r="244" spans="1:3" x14ac:dyDescent="0.25">
      <c r="A244" s="19">
        <v>41844</v>
      </c>
      <c r="B244" s="5" t="s">
        <v>653</v>
      </c>
      <c r="C244" s="5">
        <v>60</v>
      </c>
    </row>
    <row r="245" spans="1:3" x14ac:dyDescent="0.25">
      <c r="A245" s="19">
        <v>41930</v>
      </c>
      <c r="B245" s="5" t="s">
        <v>733</v>
      </c>
      <c r="C245" s="5">
        <v>67</v>
      </c>
    </row>
    <row r="246" spans="1:3" x14ac:dyDescent="0.25">
      <c r="A246" s="19">
        <v>41931</v>
      </c>
      <c r="B246" s="5" t="s">
        <v>678</v>
      </c>
      <c r="C246" s="5">
        <v>68</v>
      </c>
    </row>
    <row r="247" spans="1:3" x14ac:dyDescent="0.25">
      <c r="A247" s="19">
        <v>41818</v>
      </c>
      <c r="B247" s="5" t="s">
        <v>672</v>
      </c>
      <c r="C247" s="5">
        <v>27</v>
      </c>
    </row>
    <row r="248" spans="1:3" x14ac:dyDescent="0.25">
      <c r="A248" s="19">
        <v>41819</v>
      </c>
      <c r="B248" s="5" t="s">
        <v>667</v>
      </c>
      <c r="C248" s="5">
        <v>15</v>
      </c>
    </row>
    <row r="249" spans="1:3" x14ac:dyDescent="0.25">
      <c r="A249" s="19">
        <v>41997</v>
      </c>
      <c r="B249" s="5" t="s">
        <v>750</v>
      </c>
      <c r="C249" s="5">
        <v>37</v>
      </c>
    </row>
    <row r="250" spans="1:3" x14ac:dyDescent="0.25">
      <c r="A250" s="19">
        <v>41929</v>
      </c>
      <c r="B250" s="5" t="s">
        <v>686</v>
      </c>
      <c r="C250" s="5">
        <v>6</v>
      </c>
    </row>
    <row r="251" spans="1:3" x14ac:dyDescent="0.25">
      <c r="A251" s="19">
        <v>41843</v>
      </c>
      <c r="B251" s="5" t="s">
        <v>720</v>
      </c>
      <c r="C251" s="5">
        <v>18</v>
      </c>
    </row>
    <row r="252" spans="1:3" x14ac:dyDescent="0.25">
      <c r="A252" s="19">
        <v>41868</v>
      </c>
      <c r="B252" s="5" t="s">
        <v>744</v>
      </c>
      <c r="C252" s="5">
        <v>26</v>
      </c>
    </row>
    <row r="253" spans="1:3" x14ac:dyDescent="0.25">
      <c r="A253" s="19">
        <v>41931</v>
      </c>
      <c r="B253" s="5" t="s">
        <v>721</v>
      </c>
      <c r="C253" s="5">
        <v>8</v>
      </c>
    </row>
    <row r="254" spans="1:3" x14ac:dyDescent="0.25">
      <c r="A254" s="19">
        <v>41837</v>
      </c>
      <c r="B254" s="5" t="s">
        <v>717</v>
      </c>
      <c r="C254" s="5">
        <v>66</v>
      </c>
    </row>
    <row r="255" spans="1:3" x14ac:dyDescent="0.25">
      <c r="A255" s="19">
        <v>41976</v>
      </c>
      <c r="B255" s="5" t="s">
        <v>719</v>
      </c>
      <c r="C255" s="5">
        <v>39</v>
      </c>
    </row>
    <row r="256" spans="1:3" x14ac:dyDescent="0.25">
      <c r="A256" s="19">
        <v>41974</v>
      </c>
      <c r="B256" s="5" t="s">
        <v>646</v>
      </c>
      <c r="C256" s="5">
        <v>2</v>
      </c>
    </row>
    <row r="257" spans="1:3" x14ac:dyDescent="0.25">
      <c r="A257" s="19">
        <v>41806</v>
      </c>
      <c r="B257" s="5" t="s">
        <v>692</v>
      </c>
      <c r="C257" s="5">
        <v>68</v>
      </c>
    </row>
    <row r="258" spans="1:3" x14ac:dyDescent="0.25">
      <c r="A258" s="19">
        <v>41889</v>
      </c>
      <c r="B258" s="5" t="s">
        <v>719</v>
      </c>
      <c r="C258" s="5">
        <v>72</v>
      </c>
    </row>
    <row r="259" spans="1:3" x14ac:dyDescent="0.25">
      <c r="A259" s="19">
        <v>41880</v>
      </c>
      <c r="B259" s="5" t="s">
        <v>670</v>
      </c>
      <c r="C259" s="5">
        <v>10</v>
      </c>
    </row>
    <row r="260" spans="1:3" x14ac:dyDescent="0.25">
      <c r="A260" s="19">
        <v>41989</v>
      </c>
      <c r="B260" s="5" t="s">
        <v>693</v>
      </c>
      <c r="C260" s="5">
        <v>3</v>
      </c>
    </row>
    <row r="261" spans="1:3" x14ac:dyDescent="0.25">
      <c r="A261" s="19">
        <v>41870</v>
      </c>
      <c r="B261" s="5" t="s">
        <v>650</v>
      </c>
      <c r="C261" s="5">
        <v>53</v>
      </c>
    </row>
    <row r="262" spans="1:3" x14ac:dyDescent="0.25">
      <c r="A262" s="19">
        <v>41919</v>
      </c>
      <c r="B262" s="5" t="s">
        <v>747</v>
      </c>
      <c r="C262" s="5">
        <v>39</v>
      </c>
    </row>
    <row r="263" spans="1:3" x14ac:dyDescent="0.25">
      <c r="A263" s="19">
        <v>41910</v>
      </c>
      <c r="B263" s="5" t="s">
        <v>741</v>
      </c>
      <c r="C263" s="5">
        <v>19</v>
      </c>
    </row>
    <row r="264" spans="1:3" x14ac:dyDescent="0.25">
      <c r="A264" s="19">
        <v>41993</v>
      </c>
      <c r="B264" s="5" t="s">
        <v>664</v>
      </c>
      <c r="C264" s="5">
        <v>23</v>
      </c>
    </row>
    <row r="265" spans="1:3" x14ac:dyDescent="0.25">
      <c r="A265" s="19">
        <v>41826</v>
      </c>
      <c r="B265" s="5" t="s">
        <v>661</v>
      </c>
      <c r="C265" s="5">
        <v>27</v>
      </c>
    </row>
    <row r="266" spans="1:3" x14ac:dyDescent="0.25">
      <c r="A266" s="19">
        <v>41867</v>
      </c>
      <c r="B266" s="5" t="s">
        <v>748</v>
      </c>
      <c r="C266" s="5">
        <v>32</v>
      </c>
    </row>
    <row r="267" spans="1:3" x14ac:dyDescent="0.25">
      <c r="A267" s="19">
        <v>42000</v>
      </c>
      <c r="B267" s="5" t="s">
        <v>654</v>
      </c>
      <c r="C267" s="5">
        <v>0</v>
      </c>
    </row>
    <row r="268" spans="1:3" x14ac:dyDescent="0.25">
      <c r="A268" s="19">
        <v>41968</v>
      </c>
      <c r="B268" s="5" t="s">
        <v>693</v>
      </c>
      <c r="C268" s="5">
        <v>45</v>
      </c>
    </row>
    <row r="269" spans="1:3" x14ac:dyDescent="0.25">
      <c r="A269" s="19">
        <v>41960</v>
      </c>
      <c r="B269" s="5" t="s">
        <v>705</v>
      </c>
      <c r="C269" s="5">
        <v>71</v>
      </c>
    </row>
    <row r="270" spans="1:3" x14ac:dyDescent="0.25">
      <c r="A270" s="19">
        <v>41810</v>
      </c>
      <c r="B270" s="5" t="s">
        <v>675</v>
      </c>
      <c r="C270" s="5">
        <v>25</v>
      </c>
    </row>
    <row r="271" spans="1:3" x14ac:dyDescent="0.25">
      <c r="A271" s="19">
        <v>41825</v>
      </c>
      <c r="B271" s="5" t="s">
        <v>666</v>
      </c>
      <c r="C271" s="5">
        <v>58</v>
      </c>
    </row>
    <row r="272" spans="1:3" x14ac:dyDescent="0.25">
      <c r="A272" s="19">
        <v>41917</v>
      </c>
      <c r="B272" s="5" t="s">
        <v>664</v>
      </c>
      <c r="C272" s="5">
        <v>47</v>
      </c>
    </row>
    <row r="273" spans="1:3" x14ac:dyDescent="0.25">
      <c r="A273" s="19">
        <v>41805</v>
      </c>
      <c r="B273" s="5" t="s">
        <v>691</v>
      </c>
      <c r="C273" s="5">
        <v>47</v>
      </c>
    </row>
    <row r="274" spans="1:3" x14ac:dyDescent="0.25">
      <c r="A274" s="19">
        <v>41864</v>
      </c>
      <c r="B274" s="5" t="s">
        <v>677</v>
      </c>
      <c r="C274" s="5">
        <v>42</v>
      </c>
    </row>
    <row r="275" spans="1:3" x14ac:dyDescent="0.25">
      <c r="A275" s="19">
        <v>41978</v>
      </c>
      <c r="B275" s="5" t="s">
        <v>710</v>
      </c>
      <c r="C275" s="5">
        <v>23</v>
      </c>
    </row>
    <row r="276" spans="1:3" x14ac:dyDescent="0.25">
      <c r="A276" s="19">
        <v>41972</v>
      </c>
      <c r="B276" s="5" t="s">
        <v>675</v>
      </c>
      <c r="C276" s="5">
        <v>29</v>
      </c>
    </row>
    <row r="277" spans="1:3" x14ac:dyDescent="0.25">
      <c r="A277" s="19">
        <v>41845</v>
      </c>
      <c r="B277" s="5" t="s">
        <v>726</v>
      </c>
      <c r="C277" s="5">
        <v>71</v>
      </c>
    </row>
    <row r="278" spans="1:3" x14ac:dyDescent="0.25">
      <c r="A278" s="19">
        <v>41996</v>
      </c>
      <c r="B278" s="5" t="s">
        <v>677</v>
      </c>
      <c r="C278" s="5">
        <v>57</v>
      </c>
    </row>
    <row r="279" spans="1:3" x14ac:dyDescent="0.25">
      <c r="A279" s="19">
        <v>41840</v>
      </c>
      <c r="B279" s="5" t="s">
        <v>660</v>
      </c>
      <c r="C279" s="5">
        <v>24</v>
      </c>
    </row>
    <row r="280" spans="1:3" x14ac:dyDescent="0.25">
      <c r="A280" s="19">
        <v>41945</v>
      </c>
      <c r="B280" s="5" t="s">
        <v>749</v>
      </c>
      <c r="C280" s="5">
        <v>30</v>
      </c>
    </row>
    <row r="281" spans="1:3" x14ac:dyDescent="0.25">
      <c r="A281" s="19">
        <v>41805</v>
      </c>
      <c r="B281" s="5" t="s">
        <v>719</v>
      </c>
      <c r="C281" s="5">
        <v>45</v>
      </c>
    </row>
    <row r="282" spans="1:3" x14ac:dyDescent="0.25">
      <c r="A282" s="19">
        <v>41982</v>
      </c>
      <c r="B282" s="5" t="s">
        <v>729</v>
      </c>
      <c r="C282" s="5">
        <v>14</v>
      </c>
    </row>
    <row r="283" spans="1:3" x14ac:dyDescent="0.25">
      <c r="A283" s="19">
        <v>41841</v>
      </c>
      <c r="B283" s="5" t="s">
        <v>737</v>
      </c>
      <c r="C283" s="5">
        <v>6</v>
      </c>
    </row>
    <row r="284" spans="1:3" x14ac:dyDescent="0.25">
      <c r="A284" s="19">
        <v>41914</v>
      </c>
      <c r="B284" s="5" t="s">
        <v>718</v>
      </c>
      <c r="C284" s="5">
        <v>19</v>
      </c>
    </row>
    <row r="285" spans="1:3" x14ac:dyDescent="0.25">
      <c r="A285" s="19">
        <v>41944</v>
      </c>
      <c r="B285" s="5" t="s">
        <v>678</v>
      </c>
      <c r="C285" s="5">
        <v>37</v>
      </c>
    </row>
    <row r="286" spans="1:3" x14ac:dyDescent="0.25">
      <c r="A286" s="19">
        <v>41955</v>
      </c>
      <c r="B286" s="5" t="s">
        <v>749</v>
      </c>
      <c r="C286" s="5">
        <v>58</v>
      </c>
    </row>
    <row r="287" spans="1:3" x14ac:dyDescent="0.25">
      <c r="A287" s="19">
        <v>41956</v>
      </c>
      <c r="B287" s="5" t="s">
        <v>685</v>
      </c>
      <c r="C287" s="5">
        <v>2</v>
      </c>
    </row>
    <row r="288" spans="1:3" x14ac:dyDescent="0.25">
      <c r="A288" s="19">
        <v>41869</v>
      </c>
      <c r="B288" s="5" t="s">
        <v>707</v>
      </c>
      <c r="C288" s="5">
        <v>59</v>
      </c>
    </row>
    <row r="289" spans="1:3" x14ac:dyDescent="0.25">
      <c r="A289" s="19">
        <v>41812</v>
      </c>
      <c r="B289" s="5" t="s">
        <v>674</v>
      </c>
      <c r="C289" s="5">
        <v>69</v>
      </c>
    </row>
    <row r="290" spans="1:3" x14ac:dyDescent="0.25">
      <c r="A290" s="19">
        <v>41850</v>
      </c>
      <c r="B290" s="5" t="s">
        <v>671</v>
      </c>
      <c r="C290" s="5">
        <v>49</v>
      </c>
    </row>
    <row r="291" spans="1:3" x14ac:dyDescent="0.25">
      <c r="A291" s="19">
        <v>41923</v>
      </c>
      <c r="B291" s="5" t="s">
        <v>666</v>
      </c>
      <c r="C291" s="5">
        <v>4</v>
      </c>
    </row>
    <row r="292" spans="1:3" x14ac:dyDescent="0.25">
      <c r="A292" s="19">
        <v>41983</v>
      </c>
      <c r="B292" s="5" t="s">
        <v>701</v>
      </c>
      <c r="C292" s="5">
        <v>68</v>
      </c>
    </row>
    <row r="293" spans="1:3" x14ac:dyDescent="0.25">
      <c r="A293" s="19">
        <v>41978</v>
      </c>
      <c r="B293" s="5" t="s">
        <v>711</v>
      </c>
      <c r="C293" s="5">
        <v>42</v>
      </c>
    </row>
    <row r="294" spans="1:3" x14ac:dyDescent="0.25">
      <c r="A294" s="19">
        <v>41840</v>
      </c>
      <c r="B294" s="5" t="s">
        <v>689</v>
      </c>
      <c r="C294" s="5">
        <v>54</v>
      </c>
    </row>
    <row r="295" spans="1:3" x14ac:dyDescent="0.25">
      <c r="A295" s="19">
        <v>41835</v>
      </c>
      <c r="B295" s="5" t="s">
        <v>665</v>
      </c>
      <c r="C295" s="5">
        <v>46</v>
      </c>
    </row>
    <row r="296" spans="1:3" x14ac:dyDescent="0.25">
      <c r="A296" s="19">
        <v>41932</v>
      </c>
      <c r="B296" s="5" t="s">
        <v>708</v>
      </c>
      <c r="C296" s="5">
        <v>68</v>
      </c>
    </row>
    <row r="297" spans="1:3" x14ac:dyDescent="0.25">
      <c r="A297" s="19">
        <v>41899</v>
      </c>
      <c r="B297" s="5" t="s">
        <v>716</v>
      </c>
      <c r="C297" s="5">
        <v>34</v>
      </c>
    </row>
    <row r="298" spans="1:3" x14ac:dyDescent="0.25">
      <c r="A298" s="19">
        <v>41903</v>
      </c>
      <c r="B298" s="5" t="s">
        <v>739</v>
      </c>
      <c r="C298" s="5">
        <v>55</v>
      </c>
    </row>
    <row r="299" spans="1:3" x14ac:dyDescent="0.25">
      <c r="A299" s="19">
        <v>41866</v>
      </c>
      <c r="B299" s="5" t="s">
        <v>669</v>
      </c>
      <c r="C299" s="5">
        <v>30</v>
      </c>
    </row>
    <row r="300" spans="1:3" x14ac:dyDescent="0.25">
      <c r="A300" s="19">
        <v>41879</v>
      </c>
      <c r="B300" s="5" t="s">
        <v>710</v>
      </c>
      <c r="C300" s="5">
        <v>3</v>
      </c>
    </row>
    <row r="301" spans="1:3" x14ac:dyDescent="0.25">
      <c r="A301" s="19">
        <v>41988</v>
      </c>
      <c r="B301" s="5" t="s">
        <v>688</v>
      </c>
      <c r="C301" s="5">
        <v>21</v>
      </c>
    </row>
    <row r="302" spans="1:3" x14ac:dyDescent="0.25">
      <c r="A302" s="19">
        <v>41820</v>
      </c>
      <c r="B302" s="5" t="s">
        <v>736</v>
      </c>
      <c r="C302" s="5">
        <v>49</v>
      </c>
    </row>
    <row r="303" spans="1:3" x14ac:dyDescent="0.25">
      <c r="A303" s="19">
        <v>41982</v>
      </c>
      <c r="B303" s="5" t="s">
        <v>690</v>
      </c>
      <c r="C303" s="5">
        <v>19</v>
      </c>
    </row>
    <row r="304" spans="1:3" x14ac:dyDescent="0.25">
      <c r="A304" s="19">
        <v>41908</v>
      </c>
      <c r="B304" s="5" t="s">
        <v>656</v>
      </c>
      <c r="C304" s="5">
        <v>49</v>
      </c>
    </row>
    <row r="305" spans="1:3" x14ac:dyDescent="0.25">
      <c r="A305" s="19">
        <v>41986</v>
      </c>
      <c r="B305" s="5" t="s">
        <v>676</v>
      </c>
      <c r="C305" s="5">
        <v>15</v>
      </c>
    </row>
    <row r="306" spans="1:3" x14ac:dyDescent="0.25">
      <c r="A306" s="19">
        <v>41881</v>
      </c>
      <c r="B306" s="5" t="s">
        <v>707</v>
      </c>
      <c r="C306" s="5">
        <v>15</v>
      </c>
    </row>
    <row r="307" spans="1:3" x14ac:dyDescent="0.25">
      <c r="A307" s="19">
        <v>41813</v>
      </c>
      <c r="B307" s="5" t="s">
        <v>750</v>
      </c>
      <c r="C307" s="5">
        <v>65</v>
      </c>
    </row>
    <row r="308" spans="1:3" x14ac:dyDescent="0.25">
      <c r="A308" s="19">
        <v>41811</v>
      </c>
      <c r="B308" s="5" t="s">
        <v>646</v>
      </c>
      <c r="C308" s="5">
        <v>69</v>
      </c>
    </row>
    <row r="309" spans="1:3" x14ac:dyDescent="0.25">
      <c r="A309" s="19">
        <v>41916</v>
      </c>
      <c r="B309" s="5" t="s">
        <v>688</v>
      </c>
      <c r="C309" s="5">
        <v>17</v>
      </c>
    </row>
    <row r="310" spans="1:3" x14ac:dyDescent="0.25">
      <c r="A310" s="19">
        <v>41981</v>
      </c>
      <c r="B310" s="5" t="s">
        <v>679</v>
      </c>
      <c r="C310" s="5">
        <v>66</v>
      </c>
    </row>
    <row r="311" spans="1:3" x14ac:dyDescent="0.25">
      <c r="A311" s="19">
        <v>41937</v>
      </c>
      <c r="B311" s="5" t="s">
        <v>658</v>
      </c>
      <c r="C311" s="5">
        <v>40</v>
      </c>
    </row>
    <row r="312" spans="1:3" x14ac:dyDescent="0.25">
      <c r="A312" s="19">
        <v>41982</v>
      </c>
      <c r="B312" s="5" t="s">
        <v>701</v>
      </c>
      <c r="C312" s="5">
        <v>49</v>
      </c>
    </row>
    <row r="313" spans="1:3" x14ac:dyDescent="0.25">
      <c r="A313" s="19">
        <v>41886</v>
      </c>
      <c r="B313" s="5" t="s">
        <v>719</v>
      </c>
      <c r="C313" s="5">
        <v>29</v>
      </c>
    </row>
    <row r="314" spans="1:3" x14ac:dyDescent="0.25">
      <c r="A314" s="19">
        <v>41924</v>
      </c>
      <c r="B314" s="5" t="s">
        <v>672</v>
      </c>
      <c r="C314" s="5">
        <v>38</v>
      </c>
    </row>
    <row r="315" spans="1:3" x14ac:dyDescent="0.25">
      <c r="A315" s="19">
        <v>41802</v>
      </c>
      <c r="B315" s="5" t="s">
        <v>689</v>
      </c>
      <c r="C315" s="5">
        <v>68</v>
      </c>
    </row>
    <row r="316" spans="1:3" x14ac:dyDescent="0.25">
      <c r="A316" s="19">
        <v>41860</v>
      </c>
      <c r="B316" s="5" t="s">
        <v>703</v>
      </c>
      <c r="C316" s="5">
        <v>18</v>
      </c>
    </row>
    <row r="317" spans="1:3" x14ac:dyDescent="0.25">
      <c r="A317" s="19">
        <v>41941</v>
      </c>
      <c r="B317" s="5" t="s">
        <v>668</v>
      </c>
      <c r="C317" s="5">
        <v>33</v>
      </c>
    </row>
    <row r="318" spans="1:3" x14ac:dyDescent="0.25">
      <c r="A318" s="19">
        <v>41863</v>
      </c>
      <c r="B318" s="5" t="s">
        <v>725</v>
      </c>
      <c r="C318" s="5">
        <v>8</v>
      </c>
    </row>
    <row r="319" spans="1:3" x14ac:dyDescent="0.25">
      <c r="A319" s="19">
        <v>41883</v>
      </c>
      <c r="B319" s="5" t="s">
        <v>658</v>
      </c>
      <c r="C319" s="5">
        <v>65</v>
      </c>
    </row>
    <row r="320" spans="1:3" x14ac:dyDescent="0.25">
      <c r="A320" s="19">
        <v>41835</v>
      </c>
      <c r="B320" s="5" t="s">
        <v>740</v>
      </c>
      <c r="C320" s="5">
        <v>13</v>
      </c>
    </row>
    <row r="321" spans="1:3" x14ac:dyDescent="0.25">
      <c r="A321" s="19">
        <v>41943</v>
      </c>
      <c r="B321" s="5" t="s">
        <v>743</v>
      </c>
      <c r="C321" s="5">
        <v>28</v>
      </c>
    </row>
    <row r="322" spans="1:3" x14ac:dyDescent="0.25">
      <c r="A322" s="19">
        <v>41944</v>
      </c>
      <c r="B322" s="5" t="s">
        <v>716</v>
      </c>
      <c r="C322" s="5">
        <v>49</v>
      </c>
    </row>
    <row r="323" spans="1:3" x14ac:dyDescent="0.25">
      <c r="A323" s="19">
        <v>41972</v>
      </c>
      <c r="B323" s="5" t="s">
        <v>677</v>
      </c>
      <c r="C323" s="5">
        <v>28</v>
      </c>
    </row>
    <row r="324" spans="1:3" x14ac:dyDescent="0.25">
      <c r="A324" s="19">
        <v>42000</v>
      </c>
      <c r="B324" s="5" t="s">
        <v>727</v>
      </c>
      <c r="C324" s="5">
        <v>45</v>
      </c>
    </row>
    <row r="325" spans="1:3" x14ac:dyDescent="0.25">
      <c r="A325" s="19">
        <v>41828</v>
      </c>
      <c r="B325" s="5" t="s">
        <v>731</v>
      </c>
      <c r="C325" s="5">
        <v>73</v>
      </c>
    </row>
    <row r="326" spans="1:3" x14ac:dyDescent="0.25">
      <c r="A326" s="19">
        <v>41909</v>
      </c>
      <c r="B326" s="5" t="s">
        <v>722</v>
      </c>
      <c r="C326" s="5">
        <v>64</v>
      </c>
    </row>
    <row r="327" spans="1:3" x14ac:dyDescent="0.25">
      <c r="A327" s="19">
        <v>41866</v>
      </c>
      <c r="B327" s="5" t="s">
        <v>677</v>
      </c>
      <c r="C327" s="5">
        <v>53</v>
      </c>
    </row>
    <row r="328" spans="1:3" x14ac:dyDescent="0.25">
      <c r="A328" s="19">
        <v>41975</v>
      </c>
      <c r="B328" s="5" t="s">
        <v>669</v>
      </c>
      <c r="C328" s="5">
        <v>50</v>
      </c>
    </row>
    <row r="329" spans="1:3" x14ac:dyDescent="0.25">
      <c r="A329" s="19">
        <v>41984</v>
      </c>
      <c r="B329" s="5" t="s">
        <v>725</v>
      </c>
      <c r="C329" s="5">
        <v>55</v>
      </c>
    </row>
    <row r="330" spans="1:3" x14ac:dyDescent="0.25">
      <c r="A330" s="19">
        <v>41851</v>
      </c>
      <c r="B330" s="5" t="s">
        <v>657</v>
      </c>
      <c r="C330" s="5">
        <v>29</v>
      </c>
    </row>
    <row r="331" spans="1:3" x14ac:dyDescent="0.25">
      <c r="A331" s="19">
        <v>41943</v>
      </c>
      <c r="B331" s="5" t="s">
        <v>714</v>
      </c>
      <c r="C331" s="5">
        <v>51</v>
      </c>
    </row>
    <row r="332" spans="1:3" x14ac:dyDescent="0.25">
      <c r="A332" s="19">
        <v>41880</v>
      </c>
      <c r="B332" s="5" t="s">
        <v>645</v>
      </c>
      <c r="C332" s="5">
        <v>56</v>
      </c>
    </row>
    <row r="333" spans="1:3" x14ac:dyDescent="0.25">
      <c r="A333" s="19">
        <v>41810</v>
      </c>
      <c r="B333" s="5" t="s">
        <v>676</v>
      </c>
      <c r="C333" s="5">
        <v>43</v>
      </c>
    </row>
    <row r="334" spans="1:3" x14ac:dyDescent="0.25">
      <c r="A334" s="19">
        <v>41801</v>
      </c>
      <c r="B334" s="5" t="s">
        <v>746</v>
      </c>
      <c r="C334" s="5">
        <v>30</v>
      </c>
    </row>
    <row r="335" spans="1:3" x14ac:dyDescent="0.25">
      <c r="A335" s="19">
        <v>41999</v>
      </c>
      <c r="B335" s="5" t="s">
        <v>740</v>
      </c>
      <c r="C335" s="5">
        <v>70</v>
      </c>
    </row>
    <row r="336" spans="1:3" x14ac:dyDescent="0.25">
      <c r="A336" s="19">
        <v>41924</v>
      </c>
      <c r="B336" s="5" t="s">
        <v>668</v>
      </c>
      <c r="C336" s="5">
        <v>27</v>
      </c>
    </row>
    <row r="337" spans="1:3" x14ac:dyDescent="0.25">
      <c r="A337" s="19">
        <v>41831</v>
      </c>
      <c r="B337" s="5" t="s">
        <v>749</v>
      </c>
      <c r="C337" s="5">
        <v>3</v>
      </c>
    </row>
    <row r="338" spans="1:3" x14ac:dyDescent="0.25">
      <c r="A338" s="19">
        <v>41913</v>
      </c>
      <c r="B338" s="5" t="s">
        <v>719</v>
      </c>
      <c r="C338" s="5">
        <v>73</v>
      </c>
    </row>
    <row r="339" spans="1:3" x14ac:dyDescent="0.25">
      <c r="A339" s="19">
        <v>41996</v>
      </c>
      <c r="B339" s="5" t="s">
        <v>677</v>
      </c>
      <c r="C339" s="5">
        <v>30</v>
      </c>
    </row>
    <row r="340" spans="1:3" x14ac:dyDescent="0.25">
      <c r="A340" s="19">
        <v>41919</v>
      </c>
      <c r="B340" s="5" t="s">
        <v>725</v>
      </c>
      <c r="C340" s="5">
        <v>51</v>
      </c>
    </row>
    <row r="341" spans="1:3" x14ac:dyDescent="0.25">
      <c r="A341" s="19">
        <v>41883</v>
      </c>
      <c r="B341" s="5" t="s">
        <v>746</v>
      </c>
      <c r="C341" s="5">
        <v>71</v>
      </c>
    </row>
    <row r="342" spans="1:3" x14ac:dyDescent="0.25">
      <c r="A342" s="19">
        <v>41972</v>
      </c>
      <c r="B342" s="5" t="s">
        <v>679</v>
      </c>
      <c r="C342" s="5">
        <v>21</v>
      </c>
    </row>
    <row r="343" spans="1:3" x14ac:dyDescent="0.25">
      <c r="A343" s="19">
        <v>41847</v>
      </c>
      <c r="B343" s="5" t="s">
        <v>705</v>
      </c>
      <c r="C343" s="5">
        <v>37</v>
      </c>
    </row>
    <row r="344" spans="1:3" x14ac:dyDescent="0.25">
      <c r="A344" s="19">
        <v>41814</v>
      </c>
      <c r="B344" s="5" t="s">
        <v>676</v>
      </c>
      <c r="C344" s="5">
        <v>57</v>
      </c>
    </row>
    <row r="345" spans="1:3" x14ac:dyDescent="0.25">
      <c r="A345" s="19">
        <v>41936</v>
      </c>
      <c r="B345" s="5" t="s">
        <v>692</v>
      </c>
      <c r="C345" s="5">
        <v>8</v>
      </c>
    </row>
    <row r="346" spans="1:3" x14ac:dyDescent="0.25">
      <c r="A346" s="19">
        <v>41843</v>
      </c>
      <c r="B346" s="5" t="s">
        <v>742</v>
      </c>
      <c r="C346" s="5">
        <v>16</v>
      </c>
    </row>
    <row r="347" spans="1:3" x14ac:dyDescent="0.25">
      <c r="A347" s="19">
        <v>41893</v>
      </c>
      <c r="B347" s="5" t="s">
        <v>648</v>
      </c>
      <c r="C347" s="5">
        <v>54</v>
      </c>
    </row>
    <row r="348" spans="1:3" x14ac:dyDescent="0.25">
      <c r="A348" s="19">
        <v>41985</v>
      </c>
      <c r="B348" s="5" t="s">
        <v>728</v>
      </c>
      <c r="C348" s="5">
        <v>41</v>
      </c>
    </row>
    <row r="349" spans="1:3" x14ac:dyDescent="0.25">
      <c r="A349" s="19">
        <v>41862</v>
      </c>
      <c r="B349" s="5" t="s">
        <v>673</v>
      </c>
      <c r="C349" s="5">
        <v>41</v>
      </c>
    </row>
    <row r="350" spans="1:3" x14ac:dyDescent="0.25">
      <c r="A350" s="19">
        <v>41972</v>
      </c>
      <c r="B350" s="5" t="s">
        <v>703</v>
      </c>
      <c r="C350" s="5">
        <v>69</v>
      </c>
    </row>
    <row r="351" spans="1:3" x14ac:dyDescent="0.25">
      <c r="A351" s="19">
        <v>41810</v>
      </c>
      <c r="B351" s="5" t="s">
        <v>707</v>
      </c>
      <c r="C351" s="5">
        <v>7</v>
      </c>
    </row>
    <row r="352" spans="1:3" x14ac:dyDescent="0.25">
      <c r="A352" s="19">
        <v>41880</v>
      </c>
      <c r="B352" s="5" t="s">
        <v>687</v>
      </c>
      <c r="C352" s="5">
        <v>1</v>
      </c>
    </row>
    <row r="353" spans="1:3" x14ac:dyDescent="0.25">
      <c r="A353" s="19">
        <v>41935</v>
      </c>
      <c r="B353" s="5" t="s">
        <v>722</v>
      </c>
      <c r="C353" s="5">
        <v>0</v>
      </c>
    </row>
    <row r="354" spans="1:3" x14ac:dyDescent="0.25">
      <c r="A354" s="19">
        <v>41855</v>
      </c>
      <c r="B354" s="5" t="s">
        <v>748</v>
      </c>
      <c r="C354" s="5">
        <v>74</v>
      </c>
    </row>
    <row r="355" spans="1:3" x14ac:dyDescent="0.25">
      <c r="A355" s="19">
        <v>41865</v>
      </c>
      <c r="B355" s="5" t="s">
        <v>684</v>
      </c>
      <c r="C355" s="5">
        <v>35</v>
      </c>
    </row>
    <row r="356" spans="1:3" x14ac:dyDescent="0.25">
      <c r="A356" s="19">
        <v>41916</v>
      </c>
      <c r="B356" s="5" t="s">
        <v>722</v>
      </c>
      <c r="C356" s="5">
        <v>51</v>
      </c>
    </row>
    <row r="357" spans="1:3" x14ac:dyDescent="0.25">
      <c r="A357" s="19">
        <v>41821</v>
      </c>
      <c r="B357" s="5" t="s">
        <v>713</v>
      </c>
      <c r="C357" s="5">
        <v>58</v>
      </c>
    </row>
    <row r="358" spans="1:3" x14ac:dyDescent="0.25">
      <c r="A358" s="19">
        <v>41831</v>
      </c>
      <c r="B358" s="5" t="s">
        <v>714</v>
      </c>
      <c r="C358" s="5">
        <v>70</v>
      </c>
    </row>
    <row r="359" spans="1:3" x14ac:dyDescent="0.25">
      <c r="A359" s="19">
        <v>41966</v>
      </c>
      <c r="B359" s="5" t="s">
        <v>731</v>
      </c>
      <c r="C359" s="5">
        <v>63</v>
      </c>
    </row>
    <row r="360" spans="1:3" x14ac:dyDescent="0.25">
      <c r="A360" s="19">
        <v>41991</v>
      </c>
      <c r="B360" s="5" t="s">
        <v>662</v>
      </c>
      <c r="C360" s="5">
        <v>17</v>
      </c>
    </row>
    <row r="361" spans="1:3" x14ac:dyDescent="0.25">
      <c r="A361" s="19">
        <v>41988</v>
      </c>
      <c r="B361" s="5" t="s">
        <v>651</v>
      </c>
      <c r="C361" s="5">
        <v>27</v>
      </c>
    </row>
    <row r="362" spans="1:3" x14ac:dyDescent="0.25">
      <c r="A362" s="19">
        <v>41956</v>
      </c>
      <c r="B362" s="5" t="s">
        <v>749</v>
      </c>
      <c r="C362" s="5">
        <v>68</v>
      </c>
    </row>
    <row r="363" spans="1:3" x14ac:dyDescent="0.25">
      <c r="A363" s="19">
        <v>41990</v>
      </c>
      <c r="B363" s="5" t="s">
        <v>681</v>
      </c>
      <c r="C363" s="5">
        <v>67</v>
      </c>
    </row>
    <row r="364" spans="1:3" x14ac:dyDescent="0.25">
      <c r="A364" s="19">
        <v>41997</v>
      </c>
      <c r="B364" s="5" t="s">
        <v>651</v>
      </c>
      <c r="C364" s="5">
        <v>44</v>
      </c>
    </row>
    <row r="365" spans="1:3" x14ac:dyDescent="0.25">
      <c r="A365" s="19">
        <v>41863</v>
      </c>
      <c r="B365" s="5" t="s">
        <v>676</v>
      </c>
      <c r="C365" s="5">
        <v>67</v>
      </c>
    </row>
    <row r="366" spans="1:3" x14ac:dyDescent="0.25">
      <c r="A366" s="19">
        <v>41874</v>
      </c>
      <c r="B366" s="5" t="s">
        <v>731</v>
      </c>
      <c r="C366" s="5">
        <v>37</v>
      </c>
    </row>
    <row r="367" spans="1:3" x14ac:dyDescent="0.25">
      <c r="A367" s="19">
        <v>41932</v>
      </c>
      <c r="B367" s="5" t="s">
        <v>675</v>
      </c>
      <c r="C367" s="5">
        <v>51</v>
      </c>
    </row>
    <row r="368" spans="1:3" x14ac:dyDescent="0.25">
      <c r="A368" s="19">
        <v>41963</v>
      </c>
      <c r="B368" s="5" t="s">
        <v>748</v>
      </c>
      <c r="C368" s="5">
        <v>27</v>
      </c>
    </row>
    <row r="369" spans="1:3" x14ac:dyDescent="0.25">
      <c r="A369" s="19">
        <v>41936</v>
      </c>
      <c r="B369" s="5" t="s">
        <v>663</v>
      </c>
      <c r="C369" s="5">
        <v>20</v>
      </c>
    </row>
    <row r="370" spans="1:3" x14ac:dyDescent="0.25">
      <c r="A370" s="19">
        <v>42000</v>
      </c>
      <c r="B370" s="5" t="s">
        <v>750</v>
      </c>
      <c r="C370" s="5">
        <v>46</v>
      </c>
    </row>
    <row r="371" spans="1:3" x14ac:dyDescent="0.25">
      <c r="A371" s="19">
        <v>41885</v>
      </c>
      <c r="B371" s="5" t="s">
        <v>663</v>
      </c>
      <c r="C371" s="5">
        <v>60</v>
      </c>
    </row>
    <row r="372" spans="1:3" x14ac:dyDescent="0.25">
      <c r="A372" s="19">
        <v>41802</v>
      </c>
      <c r="B372" s="5" t="s">
        <v>716</v>
      </c>
      <c r="C372" s="5">
        <v>31</v>
      </c>
    </row>
    <row r="373" spans="1:3" x14ac:dyDescent="0.25">
      <c r="A373" s="19">
        <v>41825</v>
      </c>
      <c r="B373" s="5" t="s">
        <v>728</v>
      </c>
      <c r="C373" s="5">
        <v>69</v>
      </c>
    </row>
    <row r="374" spans="1:3" x14ac:dyDescent="0.25">
      <c r="A374" s="19">
        <v>41832</v>
      </c>
      <c r="B374" s="5" t="s">
        <v>685</v>
      </c>
      <c r="C374" s="5">
        <v>65</v>
      </c>
    </row>
    <row r="375" spans="1:3" x14ac:dyDescent="0.25">
      <c r="A375" s="19">
        <v>41853</v>
      </c>
      <c r="B375" s="5" t="s">
        <v>694</v>
      </c>
      <c r="C375" s="5">
        <v>42</v>
      </c>
    </row>
    <row r="376" spans="1:3" x14ac:dyDescent="0.25">
      <c r="A376" s="19">
        <v>41823</v>
      </c>
      <c r="B376" s="5" t="s">
        <v>743</v>
      </c>
      <c r="C376" s="5">
        <v>52</v>
      </c>
    </row>
    <row r="377" spans="1:3" x14ac:dyDescent="0.25">
      <c r="A377" s="19">
        <v>41986</v>
      </c>
      <c r="B377" s="5" t="s">
        <v>702</v>
      </c>
      <c r="C377" s="5">
        <v>43</v>
      </c>
    </row>
    <row r="378" spans="1:3" x14ac:dyDescent="0.25">
      <c r="A378" s="19">
        <v>41902</v>
      </c>
      <c r="B378" s="5" t="s">
        <v>670</v>
      </c>
      <c r="C378" s="5">
        <v>65</v>
      </c>
    </row>
    <row r="379" spans="1:3" x14ac:dyDescent="0.25">
      <c r="A379" s="19">
        <v>41978</v>
      </c>
      <c r="B379" s="5" t="s">
        <v>734</v>
      </c>
      <c r="C379" s="5">
        <v>6</v>
      </c>
    </row>
    <row r="380" spans="1:3" x14ac:dyDescent="0.25">
      <c r="A380" s="19">
        <v>41960</v>
      </c>
      <c r="B380" s="5" t="s">
        <v>665</v>
      </c>
      <c r="C380" s="5">
        <v>65</v>
      </c>
    </row>
    <row r="381" spans="1:3" x14ac:dyDescent="0.25">
      <c r="A381" s="19">
        <v>41939</v>
      </c>
      <c r="B381" s="5" t="s">
        <v>656</v>
      </c>
      <c r="C381" s="5">
        <v>67</v>
      </c>
    </row>
    <row r="382" spans="1:3" x14ac:dyDescent="0.25">
      <c r="A382" s="19">
        <v>41908</v>
      </c>
      <c r="B382" s="5" t="s">
        <v>674</v>
      </c>
      <c r="C382" s="5">
        <v>10</v>
      </c>
    </row>
    <row r="383" spans="1:3" x14ac:dyDescent="0.25">
      <c r="A383" s="19">
        <v>41822</v>
      </c>
      <c r="B383" s="5" t="s">
        <v>725</v>
      </c>
      <c r="C383" s="5">
        <v>22</v>
      </c>
    </row>
    <row r="384" spans="1:3" x14ac:dyDescent="0.25">
      <c r="A384" s="19">
        <v>41978</v>
      </c>
      <c r="B384" s="5" t="s">
        <v>660</v>
      </c>
      <c r="C384" s="5">
        <v>17</v>
      </c>
    </row>
    <row r="385" spans="1:3" x14ac:dyDescent="0.25">
      <c r="A385" s="19">
        <v>41803</v>
      </c>
      <c r="B385" s="5" t="s">
        <v>687</v>
      </c>
      <c r="C385" s="5">
        <v>2</v>
      </c>
    </row>
    <row r="386" spans="1:3" x14ac:dyDescent="0.25">
      <c r="A386" s="19">
        <v>41882</v>
      </c>
      <c r="B386" s="5" t="s">
        <v>707</v>
      </c>
      <c r="C386" s="5">
        <v>63</v>
      </c>
    </row>
    <row r="387" spans="1:3" x14ac:dyDescent="0.25">
      <c r="A387" s="19">
        <v>41930</v>
      </c>
      <c r="B387" s="5" t="s">
        <v>716</v>
      </c>
      <c r="C387" s="5">
        <v>69</v>
      </c>
    </row>
    <row r="388" spans="1:3" x14ac:dyDescent="0.25">
      <c r="A388" s="19">
        <v>41844</v>
      </c>
      <c r="B388" s="5" t="s">
        <v>720</v>
      </c>
      <c r="C388" s="5">
        <v>21</v>
      </c>
    </row>
    <row r="389" spans="1:3" x14ac:dyDescent="0.25">
      <c r="A389" s="19">
        <v>41895</v>
      </c>
      <c r="B389" s="5" t="s">
        <v>690</v>
      </c>
      <c r="C389" s="5">
        <v>34</v>
      </c>
    </row>
    <row r="390" spans="1:3" x14ac:dyDescent="0.25">
      <c r="A390" s="19">
        <v>41943</v>
      </c>
      <c r="B390" s="5" t="s">
        <v>726</v>
      </c>
      <c r="C390" s="5">
        <v>37</v>
      </c>
    </row>
    <row r="391" spans="1:3" x14ac:dyDescent="0.25">
      <c r="A391" s="19">
        <v>41938</v>
      </c>
      <c r="B391" s="5" t="s">
        <v>686</v>
      </c>
      <c r="C391" s="5">
        <v>39</v>
      </c>
    </row>
    <row r="392" spans="1:3" x14ac:dyDescent="0.25">
      <c r="A392" s="19">
        <v>41926</v>
      </c>
      <c r="B392" s="5" t="s">
        <v>731</v>
      </c>
      <c r="C392" s="5">
        <v>72</v>
      </c>
    </row>
    <row r="393" spans="1:3" x14ac:dyDescent="0.25">
      <c r="A393" s="19">
        <v>41910</v>
      </c>
      <c r="B393" s="5" t="s">
        <v>743</v>
      </c>
      <c r="C393" s="5">
        <v>6</v>
      </c>
    </row>
    <row r="394" spans="1:3" x14ac:dyDescent="0.25">
      <c r="A394" s="19">
        <v>41871</v>
      </c>
      <c r="B394" s="5" t="s">
        <v>669</v>
      </c>
      <c r="C394" s="5">
        <v>42</v>
      </c>
    </row>
    <row r="395" spans="1:3" x14ac:dyDescent="0.25">
      <c r="A395" s="19">
        <v>41957</v>
      </c>
      <c r="B395" s="5" t="s">
        <v>733</v>
      </c>
      <c r="C395" s="5">
        <v>36</v>
      </c>
    </row>
    <row r="396" spans="1:3" x14ac:dyDescent="0.25">
      <c r="A396" s="19">
        <v>41832</v>
      </c>
      <c r="B396" s="5" t="s">
        <v>673</v>
      </c>
      <c r="C396" s="5">
        <v>30</v>
      </c>
    </row>
    <row r="397" spans="1:3" x14ac:dyDescent="0.25">
      <c r="A397" s="19">
        <v>41847</v>
      </c>
      <c r="B397" s="5" t="s">
        <v>650</v>
      </c>
      <c r="C397" s="5">
        <v>73</v>
      </c>
    </row>
    <row r="398" spans="1:3" x14ac:dyDescent="0.25">
      <c r="A398" s="19">
        <v>41888</v>
      </c>
      <c r="B398" s="5" t="s">
        <v>717</v>
      </c>
      <c r="C398" s="5">
        <v>74</v>
      </c>
    </row>
    <row r="399" spans="1:3" x14ac:dyDescent="0.25">
      <c r="A399" s="19">
        <v>41940</v>
      </c>
      <c r="B399" s="5" t="s">
        <v>651</v>
      </c>
      <c r="C399" s="5">
        <v>48</v>
      </c>
    </row>
    <row r="400" spans="1:3" x14ac:dyDescent="0.25">
      <c r="A400" s="19">
        <v>41825</v>
      </c>
      <c r="B400" s="5" t="s">
        <v>743</v>
      </c>
      <c r="C400" s="5">
        <v>15</v>
      </c>
    </row>
    <row r="401" spans="1:3" x14ac:dyDescent="0.25">
      <c r="A401" s="19">
        <v>41945</v>
      </c>
      <c r="B401" s="5" t="s">
        <v>693</v>
      </c>
      <c r="C401" s="5">
        <v>27</v>
      </c>
    </row>
    <row r="402" spans="1:3" x14ac:dyDescent="0.25">
      <c r="A402" s="19">
        <v>41857</v>
      </c>
      <c r="B402" s="5" t="s">
        <v>656</v>
      </c>
      <c r="C402" s="5">
        <v>2</v>
      </c>
    </row>
    <row r="403" spans="1:3" x14ac:dyDescent="0.25">
      <c r="A403" s="19">
        <v>41880</v>
      </c>
      <c r="B403" s="5" t="s">
        <v>712</v>
      </c>
      <c r="C403" s="5">
        <v>58</v>
      </c>
    </row>
    <row r="404" spans="1:3" x14ac:dyDescent="0.25">
      <c r="A404" s="19">
        <v>41921</v>
      </c>
      <c r="B404" s="5" t="s">
        <v>656</v>
      </c>
      <c r="C404" s="5">
        <v>5</v>
      </c>
    </row>
    <row r="405" spans="1:3" x14ac:dyDescent="0.25">
      <c r="A405" s="19">
        <v>41986</v>
      </c>
      <c r="B405" s="5" t="s">
        <v>668</v>
      </c>
      <c r="C405" s="5">
        <v>2</v>
      </c>
    </row>
    <row r="406" spans="1:3" x14ac:dyDescent="0.25">
      <c r="A406" s="19">
        <v>41906</v>
      </c>
      <c r="B406" s="5" t="s">
        <v>730</v>
      </c>
      <c r="C406" s="5">
        <v>43</v>
      </c>
    </row>
    <row r="407" spans="1:3" x14ac:dyDescent="0.25">
      <c r="A407" s="19">
        <v>41896</v>
      </c>
      <c r="B407" s="5" t="s">
        <v>730</v>
      </c>
      <c r="C407" s="5">
        <v>15</v>
      </c>
    </row>
    <row r="408" spans="1:3" x14ac:dyDescent="0.25">
      <c r="A408" s="19">
        <v>41839</v>
      </c>
      <c r="B408" s="5" t="s">
        <v>690</v>
      </c>
      <c r="C408" s="5">
        <v>21</v>
      </c>
    </row>
    <row r="409" spans="1:3" x14ac:dyDescent="0.25">
      <c r="A409" s="19">
        <v>41983</v>
      </c>
      <c r="B409" s="5" t="s">
        <v>683</v>
      </c>
      <c r="C409" s="5">
        <v>7</v>
      </c>
    </row>
    <row r="410" spans="1:3" x14ac:dyDescent="0.25">
      <c r="A410" s="19">
        <v>41840</v>
      </c>
      <c r="B410" s="5" t="s">
        <v>683</v>
      </c>
      <c r="C410" s="5">
        <v>10</v>
      </c>
    </row>
    <row r="411" spans="1:3" x14ac:dyDescent="0.25">
      <c r="A411" s="19">
        <v>41979</v>
      </c>
      <c r="B411" s="5" t="s">
        <v>680</v>
      </c>
      <c r="C411" s="5">
        <v>13</v>
      </c>
    </row>
    <row r="412" spans="1:3" x14ac:dyDescent="0.25">
      <c r="A412" s="19">
        <v>41844</v>
      </c>
      <c r="B412" s="5" t="s">
        <v>685</v>
      </c>
      <c r="C412" s="5">
        <v>66</v>
      </c>
    </row>
    <row r="413" spans="1:3" x14ac:dyDescent="0.25">
      <c r="A413" s="19">
        <v>41991</v>
      </c>
      <c r="B413" s="5" t="s">
        <v>658</v>
      </c>
      <c r="C413" s="5">
        <v>68</v>
      </c>
    </row>
    <row r="414" spans="1:3" x14ac:dyDescent="0.25">
      <c r="A414" s="19">
        <v>41865</v>
      </c>
      <c r="B414" s="5" t="s">
        <v>682</v>
      </c>
      <c r="C414" s="5">
        <v>13</v>
      </c>
    </row>
    <row r="415" spans="1:3" x14ac:dyDescent="0.25">
      <c r="A415" s="19">
        <v>41805</v>
      </c>
      <c r="B415" s="5" t="s">
        <v>724</v>
      </c>
      <c r="C415" s="5">
        <v>69</v>
      </c>
    </row>
    <row r="416" spans="1:3" x14ac:dyDescent="0.25">
      <c r="A416" s="19">
        <v>41979</v>
      </c>
      <c r="B416" s="5" t="s">
        <v>734</v>
      </c>
      <c r="C416" s="5">
        <v>58</v>
      </c>
    </row>
    <row r="417" spans="1:3" x14ac:dyDescent="0.25">
      <c r="A417" s="19">
        <v>41804</v>
      </c>
      <c r="B417" s="5" t="s">
        <v>677</v>
      </c>
      <c r="C417" s="5">
        <v>53</v>
      </c>
    </row>
    <row r="418" spans="1:3" x14ac:dyDescent="0.25">
      <c r="A418" s="19">
        <v>41854</v>
      </c>
      <c r="B418" s="5" t="s">
        <v>675</v>
      </c>
      <c r="C418" s="5">
        <v>34</v>
      </c>
    </row>
    <row r="419" spans="1:3" x14ac:dyDescent="0.25">
      <c r="A419" s="19">
        <v>41882</v>
      </c>
      <c r="B419" s="5" t="s">
        <v>663</v>
      </c>
      <c r="C419" s="5">
        <v>13</v>
      </c>
    </row>
    <row r="420" spans="1:3" x14ac:dyDescent="0.25">
      <c r="A420" s="19">
        <v>41958</v>
      </c>
      <c r="B420" s="5" t="s">
        <v>649</v>
      </c>
      <c r="C420" s="5">
        <v>52</v>
      </c>
    </row>
    <row r="421" spans="1:3" x14ac:dyDescent="0.25">
      <c r="A421" s="19">
        <v>42000</v>
      </c>
      <c r="B421" s="5" t="s">
        <v>680</v>
      </c>
      <c r="C421" s="5">
        <v>33</v>
      </c>
    </row>
    <row r="422" spans="1:3" x14ac:dyDescent="0.25">
      <c r="A422" s="19">
        <v>41882</v>
      </c>
      <c r="B422" s="5" t="s">
        <v>659</v>
      </c>
      <c r="C422" s="5">
        <v>26</v>
      </c>
    </row>
    <row r="423" spans="1:3" x14ac:dyDescent="0.25">
      <c r="A423" s="19">
        <v>41906</v>
      </c>
      <c r="B423" s="5" t="s">
        <v>712</v>
      </c>
      <c r="C423" s="5">
        <v>10</v>
      </c>
    </row>
    <row r="424" spans="1:3" x14ac:dyDescent="0.25">
      <c r="A424" s="19">
        <v>41936</v>
      </c>
      <c r="B424" s="5" t="s">
        <v>655</v>
      </c>
      <c r="C424" s="5">
        <v>43</v>
      </c>
    </row>
    <row r="425" spans="1:3" x14ac:dyDescent="0.25">
      <c r="A425" s="19">
        <v>41853</v>
      </c>
      <c r="B425" s="5" t="s">
        <v>677</v>
      </c>
      <c r="C425" s="5">
        <v>22</v>
      </c>
    </row>
    <row r="426" spans="1:3" x14ac:dyDescent="0.25">
      <c r="A426" s="19">
        <v>41834</v>
      </c>
      <c r="B426" s="5" t="s">
        <v>747</v>
      </c>
      <c r="C426" s="5">
        <v>71</v>
      </c>
    </row>
    <row r="427" spans="1:3" x14ac:dyDescent="0.25">
      <c r="A427" s="19">
        <v>41941</v>
      </c>
      <c r="B427" s="5" t="s">
        <v>731</v>
      </c>
      <c r="C427" s="5">
        <v>41</v>
      </c>
    </row>
    <row r="428" spans="1:3" x14ac:dyDescent="0.25">
      <c r="A428" s="19">
        <v>41973</v>
      </c>
      <c r="B428" s="5" t="s">
        <v>658</v>
      </c>
      <c r="C428" s="5">
        <v>68</v>
      </c>
    </row>
    <row r="429" spans="1:3" x14ac:dyDescent="0.25">
      <c r="A429" s="19">
        <v>41885</v>
      </c>
      <c r="B429" s="5" t="s">
        <v>683</v>
      </c>
      <c r="C429" s="5">
        <v>54</v>
      </c>
    </row>
    <row r="430" spans="1:3" x14ac:dyDescent="0.25">
      <c r="A430" s="19">
        <v>41948</v>
      </c>
      <c r="B430" s="5" t="s">
        <v>739</v>
      </c>
      <c r="C430" s="5">
        <v>34</v>
      </c>
    </row>
    <row r="431" spans="1:3" x14ac:dyDescent="0.25">
      <c r="A431" s="19">
        <v>41945</v>
      </c>
      <c r="B431" s="5" t="s">
        <v>746</v>
      </c>
      <c r="C431" s="5">
        <v>65</v>
      </c>
    </row>
    <row r="432" spans="1:3" x14ac:dyDescent="0.25">
      <c r="A432" s="19">
        <v>41934</v>
      </c>
      <c r="B432" s="5" t="s">
        <v>675</v>
      </c>
      <c r="C432" s="5">
        <v>19</v>
      </c>
    </row>
    <row r="433" spans="1:3" x14ac:dyDescent="0.25">
      <c r="A433" s="19">
        <v>41840</v>
      </c>
      <c r="B433" s="5" t="s">
        <v>675</v>
      </c>
      <c r="C433" s="5">
        <v>62</v>
      </c>
    </row>
    <row r="434" spans="1:3" x14ac:dyDescent="0.25">
      <c r="A434" s="19">
        <v>41912</v>
      </c>
      <c r="B434" s="5" t="s">
        <v>652</v>
      </c>
      <c r="C434" s="5">
        <v>61</v>
      </c>
    </row>
    <row r="435" spans="1:3" x14ac:dyDescent="0.25">
      <c r="A435" s="19">
        <v>41949</v>
      </c>
      <c r="B435" s="5" t="s">
        <v>665</v>
      </c>
      <c r="C435" s="5">
        <v>50</v>
      </c>
    </row>
    <row r="436" spans="1:3" x14ac:dyDescent="0.25">
      <c r="A436" s="19">
        <v>41986</v>
      </c>
      <c r="B436" s="5" t="s">
        <v>744</v>
      </c>
      <c r="C436" s="5">
        <v>69</v>
      </c>
    </row>
    <row r="437" spans="1:3" x14ac:dyDescent="0.25">
      <c r="A437" s="19">
        <v>41918</v>
      </c>
      <c r="B437" s="5" t="s">
        <v>706</v>
      </c>
      <c r="C437" s="5">
        <v>9</v>
      </c>
    </row>
    <row r="438" spans="1:3" x14ac:dyDescent="0.25">
      <c r="A438" s="19">
        <v>41965</v>
      </c>
      <c r="B438" s="5" t="s">
        <v>684</v>
      </c>
      <c r="C438" s="5">
        <v>6</v>
      </c>
    </row>
    <row r="439" spans="1:3" x14ac:dyDescent="0.25">
      <c r="A439" s="19">
        <v>41904</v>
      </c>
      <c r="B439" s="5" t="s">
        <v>710</v>
      </c>
      <c r="C439" s="5">
        <v>60</v>
      </c>
    </row>
    <row r="440" spans="1:3" x14ac:dyDescent="0.25">
      <c r="A440" s="19">
        <v>41916</v>
      </c>
      <c r="B440" s="5" t="s">
        <v>704</v>
      </c>
      <c r="C440" s="5">
        <v>60</v>
      </c>
    </row>
    <row r="441" spans="1:3" x14ac:dyDescent="0.25">
      <c r="A441" s="19">
        <v>41980</v>
      </c>
      <c r="B441" s="5" t="s">
        <v>731</v>
      </c>
      <c r="C441" s="5">
        <v>32</v>
      </c>
    </row>
    <row r="442" spans="1:3" x14ac:dyDescent="0.25">
      <c r="A442" s="19">
        <v>41937</v>
      </c>
      <c r="B442" s="5" t="s">
        <v>710</v>
      </c>
      <c r="C442" s="5">
        <v>60</v>
      </c>
    </row>
    <row r="443" spans="1:3" x14ac:dyDescent="0.25">
      <c r="A443" s="19">
        <v>41870</v>
      </c>
      <c r="B443" s="5" t="s">
        <v>654</v>
      </c>
      <c r="C443" s="5">
        <v>29</v>
      </c>
    </row>
    <row r="444" spans="1:3" x14ac:dyDescent="0.25">
      <c r="A444" s="19">
        <v>41947</v>
      </c>
      <c r="B444" s="5" t="s">
        <v>694</v>
      </c>
      <c r="C444" s="5">
        <v>25</v>
      </c>
    </row>
    <row r="445" spans="1:3" x14ac:dyDescent="0.25">
      <c r="A445" s="19">
        <v>41902</v>
      </c>
      <c r="B445" s="5" t="s">
        <v>734</v>
      </c>
      <c r="C445" s="5">
        <v>37</v>
      </c>
    </row>
    <row r="446" spans="1:3" x14ac:dyDescent="0.25">
      <c r="A446" s="19">
        <v>41846</v>
      </c>
      <c r="B446" s="5" t="s">
        <v>710</v>
      </c>
      <c r="C446" s="5">
        <v>43</v>
      </c>
    </row>
    <row r="447" spans="1:3" x14ac:dyDescent="0.25">
      <c r="A447" s="19">
        <v>41994</v>
      </c>
      <c r="B447" s="5" t="s">
        <v>710</v>
      </c>
      <c r="C447" s="5">
        <v>0</v>
      </c>
    </row>
    <row r="448" spans="1:3" x14ac:dyDescent="0.25">
      <c r="A448" s="19">
        <v>41855</v>
      </c>
      <c r="B448" s="5" t="s">
        <v>672</v>
      </c>
      <c r="C448" s="5">
        <v>53</v>
      </c>
    </row>
    <row r="449" spans="1:3" x14ac:dyDescent="0.25">
      <c r="A449" s="19">
        <v>41861</v>
      </c>
      <c r="B449" s="5" t="s">
        <v>662</v>
      </c>
      <c r="C449" s="5">
        <v>12</v>
      </c>
    </row>
    <row r="450" spans="1:3" x14ac:dyDescent="0.25">
      <c r="A450" s="19">
        <v>41861</v>
      </c>
      <c r="B450" s="5" t="s">
        <v>656</v>
      </c>
      <c r="C450" s="5">
        <v>67</v>
      </c>
    </row>
    <row r="451" spans="1:3" x14ac:dyDescent="0.25">
      <c r="A451" s="19">
        <v>41965</v>
      </c>
      <c r="B451" s="5" t="s">
        <v>732</v>
      </c>
      <c r="C451" s="5">
        <v>32</v>
      </c>
    </row>
    <row r="452" spans="1:3" x14ac:dyDescent="0.25">
      <c r="A452" s="19">
        <v>41856</v>
      </c>
      <c r="B452" s="5" t="s">
        <v>706</v>
      </c>
      <c r="C452" s="5">
        <v>6</v>
      </c>
    </row>
    <row r="453" spans="1:3" x14ac:dyDescent="0.25">
      <c r="A453" s="19">
        <v>41990</v>
      </c>
      <c r="B453" s="5" t="s">
        <v>708</v>
      </c>
      <c r="C453" s="5">
        <v>66</v>
      </c>
    </row>
    <row r="454" spans="1:3" x14ac:dyDescent="0.25">
      <c r="A454" s="19">
        <v>41832</v>
      </c>
      <c r="B454" s="5" t="s">
        <v>745</v>
      </c>
      <c r="C454" s="5">
        <v>73</v>
      </c>
    </row>
    <row r="455" spans="1:3" x14ac:dyDescent="0.25">
      <c r="A455" s="19">
        <v>41947</v>
      </c>
      <c r="B455" s="5" t="s">
        <v>711</v>
      </c>
      <c r="C455" s="5">
        <v>40</v>
      </c>
    </row>
    <row r="456" spans="1:3" x14ac:dyDescent="0.25">
      <c r="A456" s="19">
        <v>41921</v>
      </c>
      <c r="B456" s="5" t="s">
        <v>655</v>
      </c>
      <c r="C456" s="5">
        <v>58</v>
      </c>
    </row>
    <row r="457" spans="1:3" x14ac:dyDescent="0.25">
      <c r="A457" s="19">
        <v>41942</v>
      </c>
      <c r="B457" s="5" t="s">
        <v>708</v>
      </c>
      <c r="C457" s="5">
        <v>71</v>
      </c>
    </row>
    <row r="458" spans="1:3" x14ac:dyDescent="0.25">
      <c r="A458" s="19">
        <v>41892</v>
      </c>
      <c r="B458" s="5" t="s">
        <v>723</v>
      </c>
      <c r="C458" s="5">
        <v>2</v>
      </c>
    </row>
    <row r="459" spans="1:3" x14ac:dyDescent="0.25">
      <c r="A459" s="19">
        <v>41905</v>
      </c>
      <c r="B459" s="5" t="s">
        <v>645</v>
      </c>
      <c r="C459" s="5">
        <v>60</v>
      </c>
    </row>
    <row r="460" spans="1:3" x14ac:dyDescent="0.25">
      <c r="A460" s="19">
        <v>41966</v>
      </c>
      <c r="B460" s="5" t="s">
        <v>681</v>
      </c>
      <c r="C460" s="5">
        <v>75</v>
      </c>
    </row>
    <row r="461" spans="1:3" x14ac:dyDescent="0.25">
      <c r="A461" s="19">
        <v>41901</v>
      </c>
      <c r="B461" s="5" t="s">
        <v>741</v>
      </c>
      <c r="C461" s="5">
        <v>19</v>
      </c>
    </row>
    <row r="462" spans="1:3" x14ac:dyDescent="0.25">
      <c r="A462" s="19">
        <v>41839</v>
      </c>
      <c r="B462" s="5" t="s">
        <v>704</v>
      </c>
      <c r="C462" s="5">
        <v>61</v>
      </c>
    </row>
    <row r="463" spans="1:3" x14ac:dyDescent="0.25">
      <c r="A463" s="19">
        <v>41811</v>
      </c>
      <c r="B463" s="5" t="s">
        <v>667</v>
      </c>
      <c r="C463" s="5">
        <v>1</v>
      </c>
    </row>
    <row r="464" spans="1:3" x14ac:dyDescent="0.25">
      <c r="A464" s="19">
        <v>41915</v>
      </c>
      <c r="B464" s="5" t="s">
        <v>705</v>
      </c>
      <c r="C464" s="5">
        <v>47</v>
      </c>
    </row>
    <row r="465" spans="1:3" x14ac:dyDescent="0.25">
      <c r="A465" s="19">
        <v>41875</v>
      </c>
      <c r="B465" s="5" t="s">
        <v>669</v>
      </c>
      <c r="C465" s="5">
        <v>33</v>
      </c>
    </row>
    <row r="466" spans="1:3" x14ac:dyDescent="0.25">
      <c r="A466" s="19">
        <v>41963</v>
      </c>
      <c r="B466" s="5" t="s">
        <v>684</v>
      </c>
      <c r="C466" s="5">
        <v>34</v>
      </c>
    </row>
    <row r="467" spans="1:3" x14ac:dyDescent="0.25">
      <c r="A467" s="19">
        <v>41890</v>
      </c>
      <c r="B467" s="5" t="s">
        <v>750</v>
      </c>
      <c r="C467" s="5">
        <v>39</v>
      </c>
    </row>
    <row r="468" spans="1:3" x14ac:dyDescent="0.25">
      <c r="A468" s="19">
        <v>41812</v>
      </c>
      <c r="B468" s="5" t="s">
        <v>707</v>
      </c>
      <c r="C468" s="5">
        <v>25</v>
      </c>
    </row>
    <row r="469" spans="1:3" x14ac:dyDescent="0.25">
      <c r="A469" s="19">
        <v>41908</v>
      </c>
      <c r="B469" s="5" t="s">
        <v>660</v>
      </c>
      <c r="C469" s="5">
        <v>38</v>
      </c>
    </row>
    <row r="470" spans="1:3" x14ac:dyDescent="0.25">
      <c r="A470" s="19">
        <v>41988</v>
      </c>
      <c r="B470" s="5" t="s">
        <v>747</v>
      </c>
      <c r="C470" s="5">
        <v>12</v>
      </c>
    </row>
    <row r="471" spans="1:3" x14ac:dyDescent="0.25">
      <c r="A471" s="19">
        <v>41835</v>
      </c>
      <c r="B471" s="5" t="s">
        <v>652</v>
      </c>
      <c r="C471" s="5">
        <v>59</v>
      </c>
    </row>
    <row r="472" spans="1:3" x14ac:dyDescent="0.25">
      <c r="A472" s="19">
        <v>41968</v>
      </c>
      <c r="B472" s="5" t="s">
        <v>705</v>
      </c>
      <c r="C472" s="5">
        <v>67</v>
      </c>
    </row>
    <row r="473" spans="1:3" x14ac:dyDescent="0.25">
      <c r="A473" s="19">
        <v>41807</v>
      </c>
      <c r="B473" s="5" t="s">
        <v>658</v>
      </c>
      <c r="C473" s="5">
        <v>46</v>
      </c>
    </row>
    <row r="474" spans="1:3" x14ac:dyDescent="0.25">
      <c r="A474" s="19">
        <v>41978</v>
      </c>
      <c r="B474" s="5" t="s">
        <v>649</v>
      </c>
      <c r="C474" s="5">
        <v>64</v>
      </c>
    </row>
    <row r="475" spans="1:3" x14ac:dyDescent="0.25">
      <c r="A475" s="19">
        <v>41885</v>
      </c>
      <c r="B475" s="5" t="s">
        <v>733</v>
      </c>
      <c r="C475" s="5">
        <v>12</v>
      </c>
    </row>
    <row r="476" spans="1:3" x14ac:dyDescent="0.25">
      <c r="A476" s="19">
        <v>41944</v>
      </c>
      <c r="B476" s="5" t="s">
        <v>662</v>
      </c>
      <c r="C476" s="5">
        <v>25</v>
      </c>
    </row>
    <row r="477" spans="1:3" x14ac:dyDescent="0.25">
      <c r="A477" s="19">
        <v>41874</v>
      </c>
      <c r="B477" s="5" t="s">
        <v>734</v>
      </c>
      <c r="C477" s="5">
        <v>63</v>
      </c>
    </row>
    <row r="478" spans="1:3" x14ac:dyDescent="0.25">
      <c r="A478" s="19">
        <v>41908</v>
      </c>
      <c r="B478" s="5" t="s">
        <v>664</v>
      </c>
      <c r="C478" s="5">
        <v>47</v>
      </c>
    </row>
    <row r="479" spans="1:3" x14ac:dyDescent="0.25">
      <c r="A479" s="19">
        <v>41898</v>
      </c>
      <c r="B479" s="5" t="s">
        <v>732</v>
      </c>
      <c r="C479" s="5">
        <v>71</v>
      </c>
    </row>
    <row r="480" spans="1:3" x14ac:dyDescent="0.25">
      <c r="A480" s="19">
        <v>41909</v>
      </c>
      <c r="B480" s="5" t="s">
        <v>708</v>
      </c>
      <c r="C480" s="5">
        <v>37</v>
      </c>
    </row>
    <row r="481" spans="1:3" x14ac:dyDescent="0.25">
      <c r="A481" s="19">
        <v>41990</v>
      </c>
      <c r="B481" s="5" t="s">
        <v>731</v>
      </c>
      <c r="C481" s="5">
        <v>8</v>
      </c>
    </row>
    <row r="482" spans="1:3" x14ac:dyDescent="0.25">
      <c r="A482" s="19">
        <v>41923</v>
      </c>
      <c r="B482" s="5" t="s">
        <v>732</v>
      </c>
      <c r="C482" s="5">
        <v>64</v>
      </c>
    </row>
    <row r="483" spans="1:3" x14ac:dyDescent="0.25">
      <c r="A483" s="19">
        <v>41885</v>
      </c>
      <c r="B483" s="5" t="s">
        <v>677</v>
      </c>
      <c r="C483" s="5">
        <v>11</v>
      </c>
    </row>
    <row r="484" spans="1:3" x14ac:dyDescent="0.25">
      <c r="A484" s="19">
        <v>41987</v>
      </c>
      <c r="B484" s="5" t="s">
        <v>737</v>
      </c>
      <c r="C484" s="5">
        <v>2</v>
      </c>
    </row>
    <row r="485" spans="1:3" x14ac:dyDescent="0.25">
      <c r="A485" s="19">
        <v>41810</v>
      </c>
      <c r="B485" s="5" t="s">
        <v>735</v>
      </c>
      <c r="C485" s="5">
        <v>72</v>
      </c>
    </row>
    <row r="486" spans="1:3" x14ac:dyDescent="0.25">
      <c r="A486" s="19">
        <v>41995</v>
      </c>
      <c r="B486" s="5" t="s">
        <v>728</v>
      </c>
      <c r="C486" s="5">
        <v>19</v>
      </c>
    </row>
    <row r="487" spans="1:3" x14ac:dyDescent="0.25">
      <c r="A487" s="19">
        <v>41815</v>
      </c>
      <c r="B487" s="5" t="s">
        <v>658</v>
      </c>
      <c r="C487" s="5">
        <v>50</v>
      </c>
    </row>
    <row r="488" spans="1:3" x14ac:dyDescent="0.25">
      <c r="A488" s="19">
        <v>41926</v>
      </c>
      <c r="B488" s="5" t="s">
        <v>689</v>
      </c>
      <c r="C488" s="5">
        <v>71</v>
      </c>
    </row>
    <row r="489" spans="1:3" x14ac:dyDescent="0.25">
      <c r="A489" s="19">
        <v>41930</v>
      </c>
      <c r="B489" s="5" t="s">
        <v>739</v>
      </c>
      <c r="C489" s="5">
        <v>5</v>
      </c>
    </row>
    <row r="490" spans="1:3" x14ac:dyDescent="0.25">
      <c r="A490" s="19">
        <v>41898</v>
      </c>
      <c r="B490" s="5" t="s">
        <v>677</v>
      </c>
      <c r="C490" s="5">
        <v>13</v>
      </c>
    </row>
    <row r="491" spans="1:3" x14ac:dyDescent="0.25">
      <c r="A491" s="19">
        <v>41864</v>
      </c>
      <c r="B491" s="5" t="s">
        <v>704</v>
      </c>
      <c r="C491" s="5">
        <v>58</v>
      </c>
    </row>
    <row r="492" spans="1:3" x14ac:dyDescent="0.25">
      <c r="A492" s="19">
        <v>41858</v>
      </c>
      <c r="B492" s="5" t="s">
        <v>742</v>
      </c>
      <c r="C492" s="5">
        <v>32</v>
      </c>
    </row>
    <row r="493" spans="1:3" x14ac:dyDescent="0.25">
      <c r="A493" s="19">
        <v>41955</v>
      </c>
      <c r="B493" s="5" t="s">
        <v>731</v>
      </c>
      <c r="C493" s="5">
        <v>30</v>
      </c>
    </row>
    <row r="494" spans="1:3" x14ac:dyDescent="0.25">
      <c r="A494" s="19">
        <v>41877</v>
      </c>
      <c r="B494" s="5" t="s">
        <v>712</v>
      </c>
      <c r="C494" s="5">
        <v>29</v>
      </c>
    </row>
    <row r="495" spans="1:3" x14ac:dyDescent="0.25">
      <c r="A495" s="19">
        <v>41816</v>
      </c>
      <c r="B495" s="5" t="s">
        <v>693</v>
      </c>
      <c r="C495" s="5">
        <v>32</v>
      </c>
    </row>
    <row r="496" spans="1:3" x14ac:dyDescent="0.25">
      <c r="A496" s="19">
        <v>41902</v>
      </c>
      <c r="B496" s="5" t="s">
        <v>739</v>
      </c>
      <c r="C496" s="5">
        <v>14</v>
      </c>
    </row>
    <row r="497" spans="1:3" x14ac:dyDescent="0.25">
      <c r="A497" s="19">
        <v>41870</v>
      </c>
      <c r="B497" s="5" t="s">
        <v>734</v>
      </c>
      <c r="C497" s="5">
        <v>5</v>
      </c>
    </row>
    <row r="498" spans="1:3" x14ac:dyDescent="0.25">
      <c r="A498" s="19">
        <v>41945</v>
      </c>
      <c r="B498" s="5" t="s">
        <v>693</v>
      </c>
      <c r="C498" s="5">
        <v>30</v>
      </c>
    </row>
    <row r="499" spans="1:3" x14ac:dyDescent="0.25">
      <c r="A499" s="19">
        <v>41881</v>
      </c>
      <c r="B499" s="5" t="s">
        <v>689</v>
      </c>
      <c r="C499" s="5">
        <v>29</v>
      </c>
    </row>
    <row r="500" spans="1:3" x14ac:dyDescent="0.25">
      <c r="A500" s="19">
        <v>41981</v>
      </c>
      <c r="B500" s="5" t="s">
        <v>654</v>
      </c>
      <c r="C500" s="5">
        <v>53</v>
      </c>
    </row>
    <row r="501" spans="1:3" x14ac:dyDescent="0.25">
      <c r="A501" s="19">
        <v>41963</v>
      </c>
      <c r="B501" s="5" t="s">
        <v>743</v>
      </c>
      <c r="C501" s="5">
        <v>58</v>
      </c>
    </row>
    <row r="502" spans="1:3" x14ac:dyDescent="0.25">
      <c r="A502" s="19">
        <v>41942</v>
      </c>
      <c r="B502" s="5" t="s">
        <v>750</v>
      </c>
      <c r="C502" s="5">
        <v>59</v>
      </c>
    </row>
    <row r="503" spans="1:3" x14ac:dyDescent="0.25">
      <c r="A503" s="19">
        <v>41817</v>
      </c>
      <c r="B503" s="5" t="s">
        <v>658</v>
      </c>
      <c r="C503" s="5">
        <v>59</v>
      </c>
    </row>
    <row r="504" spans="1:3" x14ac:dyDescent="0.25">
      <c r="A504" s="19">
        <v>41805</v>
      </c>
      <c r="B504" s="5" t="s">
        <v>702</v>
      </c>
      <c r="C504" s="5">
        <v>46</v>
      </c>
    </row>
    <row r="505" spans="1:3" x14ac:dyDescent="0.25">
      <c r="A505" s="19">
        <v>41848</v>
      </c>
      <c r="B505" s="5" t="s">
        <v>658</v>
      </c>
      <c r="C505" s="5">
        <v>68</v>
      </c>
    </row>
    <row r="506" spans="1:3" x14ac:dyDescent="0.25">
      <c r="A506" s="19">
        <v>41875</v>
      </c>
      <c r="B506" s="5" t="s">
        <v>663</v>
      </c>
      <c r="C506" s="5">
        <v>34</v>
      </c>
    </row>
    <row r="507" spans="1:3" x14ac:dyDescent="0.25">
      <c r="A507" s="19">
        <v>41809</v>
      </c>
      <c r="B507" s="5" t="s">
        <v>725</v>
      </c>
      <c r="C507" s="5">
        <v>62</v>
      </c>
    </row>
    <row r="508" spans="1:3" x14ac:dyDescent="0.25">
      <c r="A508" s="19">
        <v>41840</v>
      </c>
      <c r="B508" s="5" t="s">
        <v>653</v>
      </c>
      <c r="C508" s="5">
        <v>57</v>
      </c>
    </row>
    <row r="509" spans="1:3" x14ac:dyDescent="0.25">
      <c r="A509" s="19">
        <v>41814</v>
      </c>
      <c r="B509" s="5" t="s">
        <v>656</v>
      </c>
      <c r="C509" s="5">
        <v>43</v>
      </c>
    </row>
    <row r="510" spans="1:3" x14ac:dyDescent="0.25">
      <c r="A510" s="19">
        <v>41889</v>
      </c>
      <c r="B510" s="5" t="s">
        <v>711</v>
      </c>
      <c r="C510" s="5">
        <v>65</v>
      </c>
    </row>
    <row r="511" spans="1:3" x14ac:dyDescent="0.25">
      <c r="A511" s="19">
        <v>41913</v>
      </c>
      <c r="B511" s="5" t="s">
        <v>686</v>
      </c>
      <c r="C511" s="5">
        <v>3</v>
      </c>
    </row>
    <row r="512" spans="1:3" x14ac:dyDescent="0.25">
      <c r="A512" s="19">
        <v>41988</v>
      </c>
      <c r="B512" s="5" t="s">
        <v>736</v>
      </c>
      <c r="C512" s="5">
        <v>65</v>
      </c>
    </row>
    <row r="513" spans="1:3" x14ac:dyDescent="0.25">
      <c r="A513" s="19">
        <v>41922</v>
      </c>
      <c r="B513" s="5" t="s">
        <v>667</v>
      </c>
      <c r="C513" s="5">
        <v>55</v>
      </c>
    </row>
    <row r="514" spans="1:3" x14ac:dyDescent="0.25">
      <c r="A514" s="19">
        <v>41980</v>
      </c>
      <c r="B514" s="5" t="s">
        <v>705</v>
      </c>
      <c r="C514" s="5">
        <v>55</v>
      </c>
    </row>
    <row r="515" spans="1:3" x14ac:dyDescent="0.25">
      <c r="A515" s="19">
        <v>41891</v>
      </c>
      <c r="B515" s="5" t="s">
        <v>664</v>
      </c>
      <c r="C515" s="5">
        <v>55</v>
      </c>
    </row>
    <row r="516" spans="1:3" x14ac:dyDescent="0.25">
      <c r="A516" s="19">
        <v>41856</v>
      </c>
      <c r="B516" s="5" t="s">
        <v>648</v>
      </c>
      <c r="C516" s="5">
        <v>34</v>
      </c>
    </row>
    <row r="517" spans="1:3" x14ac:dyDescent="0.25">
      <c r="A517" s="19">
        <v>41940</v>
      </c>
      <c r="B517" s="5" t="s">
        <v>717</v>
      </c>
      <c r="C517" s="5">
        <v>36</v>
      </c>
    </row>
    <row r="518" spans="1:3" x14ac:dyDescent="0.25">
      <c r="A518" s="19">
        <v>41931</v>
      </c>
      <c r="B518" s="5" t="s">
        <v>668</v>
      </c>
      <c r="C518" s="5">
        <v>59</v>
      </c>
    </row>
    <row r="519" spans="1:3" x14ac:dyDescent="0.25">
      <c r="A519" s="19">
        <v>41825</v>
      </c>
      <c r="B519" s="5" t="s">
        <v>680</v>
      </c>
      <c r="C519" s="5">
        <v>42</v>
      </c>
    </row>
    <row r="520" spans="1:3" x14ac:dyDescent="0.25">
      <c r="A520" s="19">
        <v>41930</v>
      </c>
      <c r="B520" s="5" t="s">
        <v>672</v>
      </c>
      <c r="C520" s="5">
        <v>67</v>
      </c>
    </row>
    <row r="521" spans="1:3" x14ac:dyDescent="0.25">
      <c r="A521" s="19">
        <v>41994</v>
      </c>
      <c r="B521" s="5" t="s">
        <v>665</v>
      </c>
      <c r="C521" s="5">
        <v>30</v>
      </c>
    </row>
    <row r="522" spans="1:3" x14ac:dyDescent="0.25">
      <c r="A522" s="19">
        <v>41982</v>
      </c>
      <c r="B522" s="5" t="s">
        <v>711</v>
      </c>
      <c r="C522" s="5">
        <v>26</v>
      </c>
    </row>
    <row r="523" spans="1:3" x14ac:dyDescent="0.25">
      <c r="A523" s="19">
        <v>41914</v>
      </c>
      <c r="B523" s="5" t="s">
        <v>729</v>
      </c>
      <c r="C523" s="5">
        <v>51</v>
      </c>
    </row>
    <row r="524" spans="1:3" x14ac:dyDescent="0.25">
      <c r="A524" s="19">
        <v>41858</v>
      </c>
      <c r="B524" s="5" t="s">
        <v>659</v>
      </c>
      <c r="C524" s="5">
        <v>53</v>
      </c>
    </row>
    <row r="525" spans="1:3" x14ac:dyDescent="0.25">
      <c r="A525" s="19">
        <v>41808</v>
      </c>
      <c r="B525" s="5" t="s">
        <v>722</v>
      </c>
      <c r="C525" s="5">
        <v>48</v>
      </c>
    </row>
    <row r="526" spans="1:3" x14ac:dyDescent="0.25">
      <c r="A526" s="19">
        <v>41821</v>
      </c>
      <c r="B526" s="5" t="s">
        <v>739</v>
      </c>
      <c r="C526" s="5">
        <v>38</v>
      </c>
    </row>
    <row r="527" spans="1:3" x14ac:dyDescent="0.25">
      <c r="A527" s="19">
        <v>41957</v>
      </c>
      <c r="B527" s="5" t="s">
        <v>651</v>
      </c>
      <c r="C527" s="5">
        <v>49</v>
      </c>
    </row>
    <row r="528" spans="1:3" x14ac:dyDescent="0.25">
      <c r="A528" s="19">
        <v>41949</v>
      </c>
      <c r="B528" s="5" t="s">
        <v>654</v>
      </c>
      <c r="C528" s="5">
        <v>47</v>
      </c>
    </row>
    <row r="529" spans="1:3" x14ac:dyDescent="0.25">
      <c r="A529" s="19">
        <v>41817</v>
      </c>
      <c r="B529" s="5" t="s">
        <v>719</v>
      </c>
      <c r="C529" s="5">
        <v>64</v>
      </c>
    </row>
    <row r="530" spans="1:3" x14ac:dyDescent="0.25">
      <c r="A530" s="19">
        <v>41951</v>
      </c>
      <c r="B530" s="5" t="s">
        <v>667</v>
      </c>
      <c r="C530" s="5">
        <v>31</v>
      </c>
    </row>
    <row r="531" spans="1:3" x14ac:dyDescent="0.25">
      <c r="A531" s="19">
        <v>41903</v>
      </c>
      <c r="B531" s="5" t="s">
        <v>690</v>
      </c>
      <c r="C531" s="5">
        <v>58</v>
      </c>
    </row>
    <row r="532" spans="1:3" x14ac:dyDescent="0.25">
      <c r="A532" s="19">
        <v>41832</v>
      </c>
      <c r="B532" s="5" t="s">
        <v>735</v>
      </c>
      <c r="C532" s="5">
        <v>44</v>
      </c>
    </row>
    <row r="533" spans="1:3" x14ac:dyDescent="0.25">
      <c r="A533" s="19">
        <v>41883</v>
      </c>
      <c r="B533" s="5" t="s">
        <v>737</v>
      </c>
      <c r="C533" s="5">
        <v>33</v>
      </c>
    </row>
    <row r="534" spans="1:3" x14ac:dyDescent="0.25">
      <c r="A534" s="19">
        <v>41974</v>
      </c>
      <c r="B534" s="5" t="s">
        <v>724</v>
      </c>
      <c r="C534" s="5">
        <v>44</v>
      </c>
    </row>
    <row r="535" spans="1:3" x14ac:dyDescent="0.25">
      <c r="A535" s="19">
        <v>41912</v>
      </c>
      <c r="B535" s="5" t="s">
        <v>717</v>
      </c>
      <c r="C535" s="5">
        <v>66</v>
      </c>
    </row>
    <row r="536" spans="1:3" x14ac:dyDescent="0.25">
      <c r="A536" s="19">
        <v>41917</v>
      </c>
      <c r="B536" s="5" t="s">
        <v>750</v>
      </c>
      <c r="C536" s="5">
        <v>21</v>
      </c>
    </row>
    <row r="537" spans="1:3" x14ac:dyDescent="0.25">
      <c r="A537" s="19">
        <v>41874</v>
      </c>
      <c r="B537" s="5" t="s">
        <v>745</v>
      </c>
      <c r="C537" s="5">
        <v>57</v>
      </c>
    </row>
    <row r="538" spans="1:3" x14ac:dyDescent="0.25">
      <c r="A538" s="19">
        <v>41956</v>
      </c>
      <c r="B538" s="5" t="s">
        <v>734</v>
      </c>
      <c r="C538" s="5">
        <v>59</v>
      </c>
    </row>
    <row r="539" spans="1:3" x14ac:dyDescent="0.25">
      <c r="A539" s="19">
        <v>41863</v>
      </c>
      <c r="B539" s="5" t="s">
        <v>704</v>
      </c>
      <c r="C539" s="5">
        <v>50</v>
      </c>
    </row>
    <row r="540" spans="1:3" x14ac:dyDescent="0.25">
      <c r="A540" s="19">
        <v>41884</v>
      </c>
      <c r="B540" s="5" t="s">
        <v>651</v>
      </c>
      <c r="C540" s="5">
        <v>15</v>
      </c>
    </row>
    <row r="541" spans="1:3" x14ac:dyDescent="0.25">
      <c r="A541" s="19">
        <v>41852</v>
      </c>
      <c r="B541" s="5" t="s">
        <v>682</v>
      </c>
      <c r="C541" s="5">
        <v>65</v>
      </c>
    </row>
    <row r="542" spans="1:3" x14ac:dyDescent="0.25">
      <c r="A542" s="19">
        <v>41979</v>
      </c>
      <c r="B542" s="5" t="s">
        <v>678</v>
      </c>
      <c r="C542" s="5">
        <v>67</v>
      </c>
    </row>
    <row r="543" spans="1:3" x14ac:dyDescent="0.25">
      <c r="A543" s="19">
        <v>41810</v>
      </c>
      <c r="B543" s="5" t="s">
        <v>734</v>
      </c>
      <c r="C543" s="5">
        <v>51</v>
      </c>
    </row>
    <row r="544" spans="1:3" x14ac:dyDescent="0.25">
      <c r="A544" s="19">
        <v>41857</v>
      </c>
      <c r="B544" s="5" t="s">
        <v>743</v>
      </c>
      <c r="C544" s="5">
        <v>58</v>
      </c>
    </row>
    <row r="545" spans="1:3" x14ac:dyDescent="0.25">
      <c r="A545" s="19">
        <v>41883</v>
      </c>
      <c r="B545" s="5" t="s">
        <v>692</v>
      </c>
      <c r="C545" s="5">
        <v>3</v>
      </c>
    </row>
    <row r="546" spans="1:3" x14ac:dyDescent="0.25">
      <c r="A546" s="19">
        <v>41926</v>
      </c>
      <c r="B546" s="5" t="s">
        <v>712</v>
      </c>
      <c r="C546" s="5">
        <v>4</v>
      </c>
    </row>
    <row r="547" spans="1:3" x14ac:dyDescent="0.25">
      <c r="A547" s="19">
        <v>41960</v>
      </c>
      <c r="B547" s="5" t="s">
        <v>667</v>
      </c>
      <c r="C547" s="5">
        <v>43</v>
      </c>
    </row>
    <row r="548" spans="1:3" x14ac:dyDescent="0.25">
      <c r="A548" s="19">
        <v>41830</v>
      </c>
      <c r="B548" s="5" t="s">
        <v>719</v>
      </c>
      <c r="C548" s="5">
        <v>53</v>
      </c>
    </row>
    <row r="549" spans="1:3" x14ac:dyDescent="0.25">
      <c r="A549" s="19">
        <v>41949</v>
      </c>
      <c r="B549" s="5" t="s">
        <v>741</v>
      </c>
      <c r="C549" s="5">
        <v>26</v>
      </c>
    </row>
    <row r="550" spans="1:3" x14ac:dyDescent="0.25">
      <c r="A550" s="19">
        <v>41859</v>
      </c>
      <c r="B550" s="5" t="s">
        <v>647</v>
      </c>
      <c r="C550" s="5">
        <v>27</v>
      </c>
    </row>
    <row r="551" spans="1:3" x14ac:dyDescent="0.25">
      <c r="A551" s="19">
        <v>41975</v>
      </c>
      <c r="B551" s="5" t="s">
        <v>653</v>
      </c>
      <c r="C551" s="5">
        <v>25</v>
      </c>
    </row>
    <row r="552" spans="1:3" x14ac:dyDescent="0.25">
      <c r="A552" s="19">
        <v>41800</v>
      </c>
      <c r="B552" s="5" t="s">
        <v>650</v>
      </c>
      <c r="C552" s="5">
        <v>46</v>
      </c>
    </row>
    <row r="553" spans="1:3" x14ac:dyDescent="0.25">
      <c r="A553" s="19">
        <v>41968</v>
      </c>
      <c r="B553" s="5" t="s">
        <v>745</v>
      </c>
      <c r="C553" s="5">
        <v>41</v>
      </c>
    </row>
    <row r="554" spans="1:3" x14ac:dyDescent="0.25">
      <c r="A554" s="19">
        <v>41805</v>
      </c>
      <c r="B554" s="5" t="s">
        <v>717</v>
      </c>
      <c r="C554" s="5">
        <v>29</v>
      </c>
    </row>
    <row r="555" spans="1:3" x14ac:dyDescent="0.25">
      <c r="A555" s="19">
        <v>41879</v>
      </c>
      <c r="B555" s="5" t="s">
        <v>657</v>
      </c>
      <c r="C555" s="5">
        <v>62</v>
      </c>
    </row>
    <row r="556" spans="1:3" x14ac:dyDescent="0.25">
      <c r="A556" s="19">
        <v>41950</v>
      </c>
      <c r="B556" s="5" t="s">
        <v>647</v>
      </c>
      <c r="C556" s="5">
        <v>31</v>
      </c>
    </row>
    <row r="557" spans="1:3" x14ac:dyDescent="0.25">
      <c r="A557" s="19">
        <v>41969</v>
      </c>
      <c r="B557" s="5" t="s">
        <v>654</v>
      </c>
      <c r="C557" s="5">
        <v>6</v>
      </c>
    </row>
    <row r="558" spans="1:3" x14ac:dyDescent="0.25">
      <c r="A558" s="19">
        <v>41819</v>
      </c>
      <c r="B558" s="5" t="s">
        <v>645</v>
      </c>
      <c r="C558" s="5">
        <v>10</v>
      </c>
    </row>
    <row r="559" spans="1:3" x14ac:dyDescent="0.25">
      <c r="A559" s="19">
        <v>41982</v>
      </c>
      <c r="B559" s="5" t="s">
        <v>720</v>
      </c>
      <c r="C559" s="5">
        <v>0</v>
      </c>
    </row>
    <row r="560" spans="1:3" x14ac:dyDescent="0.25">
      <c r="A560" s="19">
        <v>41983</v>
      </c>
      <c r="B560" s="5" t="s">
        <v>669</v>
      </c>
      <c r="C560" s="5">
        <v>0</v>
      </c>
    </row>
    <row r="561" spans="1:3" x14ac:dyDescent="0.25">
      <c r="A561" s="19">
        <v>41845</v>
      </c>
      <c r="B561" s="5" t="s">
        <v>738</v>
      </c>
      <c r="C561" s="5">
        <v>62</v>
      </c>
    </row>
    <row r="562" spans="1:3" x14ac:dyDescent="0.25">
      <c r="A562" s="19">
        <v>41945</v>
      </c>
      <c r="B562" s="5" t="s">
        <v>733</v>
      </c>
      <c r="C562" s="5">
        <v>61</v>
      </c>
    </row>
    <row r="563" spans="1:3" x14ac:dyDescent="0.25">
      <c r="A563" s="19">
        <v>41828</v>
      </c>
      <c r="B563" s="5" t="s">
        <v>721</v>
      </c>
      <c r="C563" s="5">
        <v>33</v>
      </c>
    </row>
    <row r="564" spans="1:3" x14ac:dyDescent="0.25">
      <c r="A564" s="19">
        <v>41908</v>
      </c>
      <c r="B564" s="5" t="s">
        <v>656</v>
      </c>
      <c r="C564" s="5">
        <v>33</v>
      </c>
    </row>
    <row r="565" spans="1:3" x14ac:dyDescent="0.25">
      <c r="A565" s="19">
        <v>41825</v>
      </c>
      <c r="B565" s="5" t="s">
        <v>725</v>
      </c>
      <c r="C565" s="5">
        <v>13</v>
      </c>
    </row>
    <row r="566" spans="1:3" x14ac:dyDescent="0.25">
      <c r="A566" s="19">
        <v>41993</v>
      </c>
      <c r="B566" s="5" t="s">
        <v>729</v>
      </c>
      <c r="C566" s="5">
        <v>13</v>
      </c>
    </row>
    <row r="567" spans="1:3" x14ac:dyDescent="0.25">
      <c r="A567" s="19">
        <v>41980</v>
      </c>
      <c r="B567" s="5" t="s">
        <v>657</v>
      </c>
      <c r="C567" s="5">
        <v>42</v>
      </c>
    </row>
    <row r="568" spans="1:3" x14ac:dyDescent="0.25">
      <c r="A568" s="19">
        <v>41976</v>
      </c>
      <c r="B568" s="5" t="s">
        <v>689</v>
      </c>
      <c r="C568" s="5">
        <v>6</v>
      </c>
    </row>
    <row r="569" spans="1:3" x14ac:dyDescent="0.25">
      <c r="A569" s="19">
        <v>41995</v>
      </c>
      <c r="B569" s="5" t="s">
        <v>649</v>
      </c>
      <c r="C569" s="5">
        <v>47</v>
      </c>
    </row>
    <row r="570" spans="1:3" x14ac:dyDescent="0.25">
      <c r="A570" s="19">
        <v>41958</v>
      </c>
      <c r="B570" s="5" t="s">
        <v>742</v>
      </c>
      <c r="C570" s="5">
        <v>3</v>
      </c>
    </row>
    <row r="571" spans="1:3" x14ac:dyDescent="0.25">
      <c r="A571" s="19">
        <v>41903</v>
      </c>
      <c r="B571" s="5" t="s">
        <v>669</v>
      </c>
      <c r="C571" s="5">
        <v>62</v>
      </c>
    </row>
    <row r="572" spans="1:3" x14ac:dyDescent="0.25">
      <c r="A572" s="19">
        <v>41891</v>
      </c>
      <c r="B572" s="5" t="s">
        <v>676</v>
      </c>
      <c r="C572" s="5">
        <v>9</v>
      </c>
    </row>
    <row r="573" spans="1:3" x14ac:dyDescent="0.25">
      <c r="A573" s="19">
        <v>41834</v>
      </c>
      <c r="B573" s="5" t="s">
        <v>732</v>
      </c>
      <c r="C573" s="5">
        <v>66</v>
      </c>
    </row>
    <row r="574" spans="1:3" x14ac:dyDescent="0.25">
      <c r="A574" s="19">
        <v>41846</v>
      </c>
      <c r="B574" s="5" t="s">
        <v>745</v>
      </c>
      <c r="C574" s="5">
        <v>2</v>
      </c>
    </row>
    <row r="575" spans="1:3" x14ac:dyDescent="0.25">
      <c r="A575" s="19">
        <v>41851</v>
      </c>
      <c r="B575" s="5" t="s">
        <v>677</v>
      </c>
      <c r="C575" s="5">
        <v>43</v>
      </c>
    </row>
    <row r="576" spans="1:3" x14ac:dyDescent="0.25">
      <c r="A576" s="19">
        <v>41847</v>
      </c>
      <c r="B576" s="5" t="s">
        <v>665</v>
      </c>
      <c r="C576" s="5">
        <v>73</v>
      </c>
    </row>
    <row r="577" spans="1:3" x14ac:dyDescent="0.25">
      <c r="A577" s="19">
        <v>41888</v>
      </c>
      <c r="B577" s="5" t="s">
        <v>656</v>
      </c>
      <c r="C577" s="5">
        <v>18</v>
      </c>
    </row>
    <row r="578" spans="1:3" x14ac:dyDescent="0.25">
      <c r="A578" s="19">
        <v>41873</v>
      </c>
      <c r="B578" s="5" t="s">
        <v>676</v>
      </c>
      <c r="C578" s="5">
        <v>57</v>
      </c>
    </row>
    <row r="579" spans="1:3" x14ac:dyDescent="0.25">
      <c r="A579" s="19">
        <v>41954</v>
      </c>
      <c r="B579" s="5" t="s">
        <v>711</v>
      </c>
      <c r="C579" s="5">
        <v>30</v>
      </c>
    </row>
    <row r="580" spans="1:3" x14ac:dyDescent="0.25">
      <c r="A580" s="19">
        <v>41822</v>
      </c>
      <c r="B580" s="5" t="s">
        <v>645</v>
      </c>
      <c r="C580" s="5">
        <v>37</v>
      </c>
    </row>
    <row r="581" spans="1:3" x14ac:dyDescent="0.25">
      <c r="A581" s="19">
        <v>41998</v>
      </c>
      <c r="B581" s="5" t="s">
        <v>702</v>
      </c>
      <c r="C581" s="5">
        <v>1</v>
      </c>
    </row>
    <row r="582" spans="1:3" x14ac:dyDescent="0.25">
      <c r="A582" s="19">
        <v>41967</v>
      </c>
      <c r="B582" s="5" t="s">
        <v>690</v>
      </c>
      <c r="C582" s="5">
        <v>31</v>
      </c>
    </row>
    <row r="583" spans="1:3" x14ac:dyDescent="0.25">
      <c r="A583" s="19">
        <v>42000</v>
      </c>
      <c r="B583" s="5" t="s">
        <v>671</v>
      </c>
      <c r="C583" s="5">
        <v>13</v>
      </c>
    </row>
    <row r="584" spans="1:3" x14ac:dyDescent="0.25">
      <c r="A584" s="19">
        <v>41940</v>
      </c>
      <c r="B584" s="5" t="s">
        <v>725</v>
      </c>
      <c r="C584" s="5">
        <v>13</v>
      </c>
    </row>
    <row r="585" spans="1:3" x14ac:dyDescent="0.25">
      <c r="A585" s="19">
        <v>41898</v>
      </c>
      <c r="B585" s="5" t="s">
        <v>743</v>
      </c>
      <c r="C585" s="5">
        <v>20</v>
      </c>
    </row>
    <row r="586" spans="1:3" x14ac:dyDescent="0.25">
      <c r="A586" s="19">
        <v>41822</v>
      </c>
      <c r="B586" s="5" t="s">
        <v>740</v>
      </c>
      <c r="C586" s="5">
        <v>36</v>
      </c>
    </row>
    <row r="587" spans="1:3" x14ac:dyDescent="0.25">
      <c r="A587" s="19">
        <v>41966</v>
      </c>
      <c r="B587" s="5" t="s">
        <v>711</v>
      </c>
      <c r="C587" s="5">
        <v>21</v>
      </c>
    </row>
    <row r="588" spans="1:3" x14ac:dyDescent="0.25">
      <c r="A588" s="19">
        <v>41961</v>
      </c>
      <c r="B588" s="5" t="s">
        <v>720</v>
      </c>
      <c r="C588" s="5">
        <v>65</v>
      </c>
    </row>
    <row r="589" spans="1:3" x14ac:dyDescent="0.25">
      <c r="A589" s="19">
        <v>41859</v>
      </c>
      <c r="B589" s="5" t="s">
        <v>652</v>
      </c>
      <c r="C589" s="5">
        <v>29</v>
      </c>
    </row>
    <row r="590" spans="1:3" x14ac:dyDescent="0.25">
      <c r="A590" s="19">
        <v>41971</v>
      </c>
      <c r="B590" s="5" t="s">
        <v>709</v>
      </c>
      <c r="C590" s="5">
        <v>47</v>
      </c>
    </row>
    <row r="591" spans="1:3" x14ac:dyDescent="0.25">
      <c r="A591" s="19">
        <v>41853</v>
      </c>
      <c r="B591" s="5" t="s">
        <v>717</v>
      </c>
      <c r="C591" s="5">
        <v>50</v>
      </c>
    </row>
    <row r="592" spans="1:3" x14ac:dyDescent="0.25">
      <c r="A592" s="19">
        <v>41803</v>
      </c>
      <c r="B592" s="5" t="s">
        <v>703</v>
      </c>
      <c r="C592" s="5">
        <v>22</v>
      </c>
    </row>
    <row r="593" spans="1:3" x14ac:dyDescent="0.25">
      <c r="A593" s="19">
        <v>41863</v>
      </c>
      <c r="B593" s="5" t="s">
        <v>693</v>
      </c>
      <c r="C593" s="5">
        <v>18</v>
      </c>
    </row>
    <row r="594" spans="1:3" x14ac:dyDescent="0.25">
      <c r="A594" s="19">
        <v>41941</v>
      </c>
      <c r="B594" s="5" t="s">
        <v>738</v>
      </c>
      <c r="C594" s="5">
        <v>8</v>
      </c>
    </row>
    <row r="595" spans="1:3" x14ac:dyDescent="0.25">
      <c r="A595" s="19">
        <v>41949</v>
      </c>
      <c r="B595" s="5" t="s">
        <v>734</v>
      </c>
      <c r="C595" s="5">
        <v>56</v>
      </c>
    </row>
    <row r="596" spans="1:3" x14ac:dyDescent="0.25">
      <c r="A596" s="19">
        <v>41834</v>
      </c>
      <c r="B596" s="5" t="s">
        <v>727</v>
      </c>
      <c r="C596" s="5">
        <v>55</v>
      </c>
    </row>
    <row r="597" spans="1:3" x14ac:dyDescent="0.25">
      <c r="A597" s="19">
        <v>41818</v>
      </c>
      <c r="B597" s="5" t="s">
        <v>735</v>
      </c>
      <c r="C597" s="5">
        <v>64</v>
      </c>
    </row>
    <row r="598" spans="1:3" x14ac:dyDescent="0.25">
      <c r="A598" s="19">
        <v>41903</v>
      </c>
      <c r="B598" s="5" t="s">
        <v>734</v>
      </c>
      <c r="C598" s="5">
        <v>56</v>
      </c>
    </row>
    <row r="599" spans="1:3" x14ac:dyDescent="0.25">
      <c r="A599" s="19">
        <v>41924</v>
      </c>
      <c r="B599" s="5" t="s">
        <v>731</v>
      </c>
      <c r="C599" s="5">
        <v>25</v>
      </c>
    </row>
    <row r="600" spans="1:3" x14ac:dyDescent="0.25">
      <c r="A600" s="19">
        <v>41834</v>
      </c>
      <c r="B600" s="5" t="s">
        <v>694</v>
      </c>
      <c r="C600" s="5">
        <v>70</v>
      </c>
    </row>
    <row r="601" spans="1:3" x14ac:dyDescent="0.25">
      <c r="A601" s="19">
        <v>41911</v>
      </c>
      <c r="B601" s="5" t="s">
        <v>742</v>
      </c>
      <c r="C601" s="5">
        <v>10</v>
      </c>
    </row>
    <row r="602" spans="1:3" x14ac:dyDescent="0.25">
      <c r="A602" s="19">
        <v>41885</v>
      </c>
      <c r="B602" s="5" t="s">
        <v>741</v>
      </c>
      <c r="C602" s="5">
        <v>19</v>
      </c>
    </row>
    <row r="603" spans="1:3" x14ac:dyDescent="0.25">
      <c r="A603" s="19">
        <v>41922</v>
      </c>
      <c r="B603" s="5" t="s">
        <v>671</v>
      </c>
      <c r="C603" s="5">
        <v>4</v>
      </c>
    </row>
    <row r="604" spans="1:3" x14ac:dyDescent="0.25">
      <c r="A604" s="19">
        <v>41865</v>
      </c>
      <c r="B604" s="5" t="s">
        <v>742</v>
      </c>
      <c r="C604" s="5">
        <v>25</v>
      </c>
    </row>
    <row r="605" spans="1:3" x14ac:dyDescent="0.25">
      <c r="A605" s="19">
        <v>41945</v>
      </c>
      <c r="B605" s="5" t="s">
        <v>664</v>
      </c>
      <c r="C605" s="5">
        <v>45</v>
      </c>
    </row>
    <row r="606" spans="1:3" x14ac:dyDescent="0.25">
      <c r="A606" s="19">
        <v>41942</v>
      </c>
      <c r="B606" s="5" t="s">
        <v>704</v>
      </c>
      <c r="C606" s="5">
        <v>0</v>
      </c>
    </row>
    <row r="607" spans="1:3" x14ac:dyDescent="0.25">
      <c r="A607" s="19">
        <v>41866</v>
      </c>
      <c r="B607" s="5" t="s">
        <v>682</v>
      </c>
      <c r="C607" s="5">
        <v>4</v>
      </c>
    </row>
    <row r="608" spans="1:3" x14ac:dyDescent="0.25">
      <c r="A608" s="19">
        <v>41817</v>
      </c>
      <c r="B608" s="5" t="s">
        <v>703</v>
      </c>
      <c r="C608" s="5">
        <v>31</v>
      </c>
    </row>
    <row r="609" spans="1:3" x14ac:dyDescent="0.25">
      <c r="A609" s="19">
        <v>41844</v>
      </c>
      <c r="B609" s="5" t="s">
        <v>694</v>
      </c>
      <c r="C609" s="5">
        <v>47</v>
      </c>
    </row>
    <row r="610" spans="1:3" x14ac:dyDescent="0.25">
      <c r="A610" s="19">
        <v>41983</v>
      </c>
      <c r="B610" s="5" t="s">
        <v>671</v>
      </c>
      <c r="C610" s="5">
        <v>35</v>
      </c>
    </row>
    <row r="611" spans="1:3" x14ac:dyDescent="0.25">
      <c r="A611" s="19">
        <v>41878</v>
      </c>
      <c r="B611" s="5" t="s">
        <v>738</v>
      </c>
      <c r="C611" s="5">
        <v>71</v>
      </c>
    </row>
    <row r="612" spans="1:3" x14ac:dyDescent="0.25">
      <c r="A612" s="19">
        <v>41993</v>
      </c>
      <c r="B612" s="5" t="s">
        <v>731</v>
      </c>
      <c r="C612" s="5">
        <v>32</v>
      </c>
    </row>
    <row r="613" spans="1:3" x14ac:dyDescent="0.25">
      <c r="A613" s="19">
        <v>41975</v>
      </c>
      <c r="B613" s="5" t="s">
        <v>724</v>
      </c>
      <c r="C613" s="5">
        <v>22</v>
      </c>
    </row>
    <row r="614" spans="1:3" x14ac:dyDescent="0.25">
      <c r="A614" s="19">
        <v>41935</v>
      </c>
      <c r="B614" s="5" t="s">
        <v>743</v>
      </c>
      <c r="C614" s="5">
        <v>52</v>
      </c>
    </row>
    <row r="615" spans="1:3" x14ac:dyDescent="0.25">
      <c r="A615" s="19">
        <v>41887</v>
      </c>
      <c r="B615" s="5" t="s">
        <v>707</v>
      </c>
      <c r="C615" s="5">
        <v>7</v>
      </c>
    </row>
    <row r="616" spans="1:3" x14ac:dyDescent="0.25">
      <c r="A616" s="19">
        <v>41990</v>
      </c>
      <c r="B616" s="5" t="s">
        <v>679</v>
      </c>
      <c r="C616" s="5">
        <v>68</v>
      </c>
    </row>
    <row r="617" spans="1:3" x14ac:dyDescent="0.25">
      <c r="A617" s="19">
        <v>41912</v>
      </c>
      <c r="B617" s="5" t="s">
        <v>668</v>
      </c>
      <c r="C617" s="5">
        <v>30</v>
      </c>
    </row>
    <row r="618" spans="1:3" x14ac:dyDescent="0.25">
      <c r="A618" s="19">
        <v>41901</v>
      </c>
      <c r="B618" s="5" t="s">
        <v>723</v>
      </c>
      <c r="C618" s="5">
        <v>35</v>
      </c>
    </row>
    <row r="619" spans="1:3" x14ac:dyDescent="0.25">
      <c r="A619" s="19">
        <v>41974</v>
      </c>
      <c r="B619" s="5" t="s">
        <v>656</v>
      </c>
      <c r="C619" s="5">
        <v>8</v>
      </c>
    </row>
    <row r="620" spans="1:3" x14ac:dyDescent="0.25">
      <c r="A620" s="19">
        <v>41998</v>
      </c>
      <c r="B620" s="5" t="s">
        <v>748</v>
      </c>
      <c r="C620" s="5">
        <v>55</v>
      </c>
    </row>
    <row r="621" spans="1:3" x14ac:dyDescent="0.25">
      <c r="A621" s="19">
        <v>41910</v>
      </c>
      <c r="B621" s="5" t="s">
        <v>647</v>
      </c>
      <c r="C621" s="5">
        <v>29</v>
      </c>
    </row>
    <row r="622" spans="1:3" x14ac:dyDescent="0.25">
      <c r="A622" s="19">
        <v>41894</v>
      </c>
      <c r="B622" s="5" t="s">
        <v>710</v>
      </c>
      <c r="C622" s="5">
        <v>51</v>
      </c>
    </row>
    <row r="623" spans="1:3" x14ac:dyDescent="0.25">
      <c r="A623" s="19">
        <v>41800</v>
      </c>
      <c r="B623" s="5" t="s">
        <v>680</v>
      </c>
      <c r="C623" s="5">
        <v>54</v>
      </c>
    </row>
    <row r="624" spans="1:3" x14ac:dyDescent="0.25">
      <c r="A624" s="19">
        <v>41970</v>
      </c>
      <c r="B624" s="5" t="s">
        <v>660</v>
      </c>
      <c r="C624" s="5">
        <v>12</v>
      </c>
    </row>
    <row r="625" spans="1:3" x14ac:dyDescent="0.25">
      <c r="A625" s="19">
        <v>41889</v>
      </c>
      <c r="B625" s="5" t="s">
        <v>692</v>
      </c>
      <c r="C625" s="5">
        <v>45</v>
      </c>
    </row>
    <row r="626" spans="1:3" x14ac:dyDescent="0.25">
      <c r="A626" s="19">
        <v>41897</v>
      </c>
      <c r="B626" s="5" t="s">
        <v>745</v>
      </c>
      <c r="C626" s="5">
        <v>27</v>
      </c>
    </row>
    <row r="627" spans="1:3" x14ac:dyDescent="0.25">
      <c r="A627" s="19">
        <v>41909</v>
      </c>
      <c r="B627" s="5" t="s">
        <v>722</v>
      </c>
      <c r="C627" s="5">
        <v>5</v>
      </c>
    </row>
    <row r="628" spans="1:3" x14ac:dyDescent="0.25">
      <c r="A628" s="19">
        <v>41912</v>
      </c>
      <c r="B628" s="5" t="s">
        <v>725</v>
      </c>
      <c r="C628" s="5">
        <v>69</v>
      </c>
    </row>
    <row r="629" spans="1:3" x14ac:dyDescent="0.25">
      <c r="A629" s="19">
        <v>41932</v>
      </c>
      <c r="B629" s="5" t="s">
        <v>740</v>
      </c>
      <c r="C629" s="5">
        <v>33</v>
      </c>
    </row>
    <row r="630" spans="1:3" x14ac:dyDescent="0.25">
      <c r="A630" s="19">
        <v>41937</v>
      </c>
      <c r="B630" s="5" t="s">
        <v>727</v>
      </c>
      <c r="C630" s="5">
        <v>52</v>
      </c>
    </row>
    <row r="631" spans="1:3" x14ac:dyDescent="0.25">
      <c r="A631" s="19">
        <v>41962</v>
      </c>
      <c r="B631" s="5" t="s">
        <v>733</v>
      </c>
      <c r="C631" s="5">
        <v>54</v>
      </c>
    </row>
    <row r="632" spans="1:3" x14ac:dyDescent="0.25">
      <c r="A632" s="19">
        <v>41804</v>
      </c>
      <c r="B632" s="5" t="s">
        <v>675</v>
      </c>
      <c r="C632" s="5">
        <v>38</v>
      </c>
    </row>
    <row r="633" spans="1:3" x14ac:dyDescent="0.25">
      <c r="A633" s="19">
        <v>41923</v>
      </c>
      <c r="B633" s="5" t="s">
        <v>684</v>
      </c>
      <c r="C633" s="5">
        <v>1</v>
      </c>
    </row>
    <row r="634" spans="1:3" x14ac:dyDescent="0.25">
      <c r="A634" s="19">
        <v>41890</v>
      </c>
      <c r="B634" s="5" t="s">
        <v>743</v>
      </c>
      <c r="C634" s="5">
        <v>41</v>
      </c>
    </row>
    <row r="635" spans="1:3" x14ac:dyDescent="0.25">
      <c r="A635" s="19">
        <v>41861</v>
      </c>
      <c r="B635" s="5" t="s">
        <v>688</v>
      </c>
      <c r="C635" s="5">
        <v>0</v>
      </c>
    </row>
    <row r="636" spans="1:3" x14ac:dyDescent="0.25">
      <c r="A636" s="19">
        <v>41856</v>
      </c>
      <c r="B636" s="5" t="s">
        <v>706</v>
      </c>
      <c r="C636" s="5">
        <v>74</v>
      </c>
    </row>
    <row r="637" spans="1:3" x14ac:dyDescent="0.25">
      <c r="A637" s="19">
        <v>41918</v>
      </c>
      <c r="B637" s="5" t="s">
        <v>741</v>
      </c>
      <c r="C637" s="5">
        <v>53</v>
      </c>
    </row>
    <row r="638" spans="1:3" x14ac:dyDescent="0.25">
      <c r="A638" s="19">
        <v>41808</v>
      </c>
      <c r="B638" s="5" t="s">
        <v>647</v>
      </c>
      <c r="C638" s="5">
        <v>15</v>
      </c>
    </row>
    <row r="639" spans="1:3" x14ac:dyDescent="0.25">
      <c r="A639" s="19">
        <v>41825</v>
      </c>
      <c r="B639" s="5" t="s">
        <v>673</v>
      </c>
      <c r="C639" s="5">
        <v>45</v>
      </c>
    </row>
    <row r="640" spans="1:3" x14ac:dyDescent="0.25">
      <c r="A640" s="19">
        <v>41863</v>
      </c>
      <c r="B640" s="5" t="s">
        <v>663</v>
      </c>
      <c r="C640" s="5">
        <v>11</v>
      </c>
    </row>
    <row r="641" spans="1:3" x14ac:dyDescent="0.25">
      <c r="A641" s="19">
        <v>41910</v>
      </c>
      <c r="B641" s="5" t="s">
        <v>708</v>
      </c>
      <c r="C641" s="5">
        <v>64</v>
      </c>
    </row>
    <row r="642" spans="1:3" x14ac:dyDescent="0.25">
      <c r="A642" s="19">
        <v>41958</v>
      </c>
      <c r="B642" s="5" t="s">
        <v>688</v>
      </c>
      <c r="C642" s="5">
        <v>46</v>
      </c>
    </row>
    <row r="643" spans="1:3" x14ac:dyDescent="0.25">
      <c r="A643" s="19">
        <v>41806</v>
      </c>
      <c r="B643" s="5" t="s">
        <v>664</v>
      </c>
      <c r="C643" s="5">
        <v>24</v>
      </c>
    </row>
    <row r="644" spans="1:3" x14ac:dyDescent="0.25">
      <c r="A644" s="19">
        <v>41823</v>
      </c>
      <c r="B644" s="5" t="s">
        <v>704</v>
      </c>
      <c r="C644" s="5">
        <v>72</v>
      </c>
    </row>
    <row r="645" spans="1:3" x14ac:dyDescent="0.25">
      <c r="A645" s="19">
        <v>41801</v>
      </c>
      <c r="B645" s="5" t="s">
        <v>705</v>
      </c>
      <c r="C645" s="5">
        <v>26</v>
      </c>
    </row>
    <row r="646" spans="1:3" x14ac:dyDescent="0.25">
      <c r="A646" s="19">
        <v>41934</v>
      </c>
      <c r="B646" s="5" t="s">
        <v>648</v>
      </c>
      <c r="C646" s="5">
        <v>70</v>
      </c>
    </row>
    <row r="647" spans="1:3" x14ac:dyDescent="0.25">
      <c r="A647" s="19">
        <v>41888</v>
      </c>
      <c r="B647" s="5" t="s">
        <v>740</v>
      </c>
      <c r="C647" s="5">
        <v>9</v>
      </c>
    </row>
    <row r="648" spans="1:3" x14ac:dyDescent="0.25">
      <c r="A648" s="19">
        <v>41823</v>
      </c>
      <c r="B648" s="5" t="s">
        <v>687</v>
      </c>
      <c r="C648" s="5">
        <v>48</v>
      </c>
    </row>
    <row r="649" spans="1:3" x14ac:dyDescent="0.25">
      <c r="A649" s="19">
        <v>41870</v>
      </c>
      <c r="B649" s="5" t="s">
        <v>719</v>
      </c>
      <c r="C649" s="5">
        <v>24</v>
      </c>
    </row>
    <row r="650" spans="1:3" x14ac:dyDescent="0.25">
      <c r="A650" s="19">
        <v>41822</v>
      </c>
      <c r="B650" s="5" t="s">
        <v>710</v>
      </c>
      <c r="C650" s="5">
        <v>36</v>
      </c>
    </row>
    <row r="651" spans="1:3" x14ac:dyDescent="0.25">
      <c r="A651" s="19">
        <v>41953</v>
      </c>
      <c r="B651" s="5" t="s">
        <v>677</v>
      </c>
      <c r="C651" s="5">
        <v>1</v>
      </c>
    </row>
    <row r="652" spans="1:3" x14ac:dyDescent="0.25">
      <c r="A652" s="19">
        <v>41849</v>
      </c>
      <c r="B652" s="5" t="s">
        <v>714</v>
      </c>
      <c r="C652" s="5">
        <v>1</v>
      </c>
    </row>
    <row r="653" spans="1:3" x14ac:dyDescent="0.25">
      <c r="A653" s="19">
        <v>41855</v>
      </c>
      <c r="B653" s="5" t="s">
        <v>738</v>
      </c>
      <c r="C653" s="5">
        <v>69</v>
      </c>
    </row>
    <row r="654" spans="1:3" x14ac:dyDescent="0.25">
      <c r="A654" s="19">
        <v>41997</v>
      </c>
      <c r="B654" s="5" t="s">
        <v>725</v>
      </c>
      <c r="C654" s="5">
        <v>75</v>
      </c>
    </row>
    <row r="655" spans="1:3" x14ac:dyDescent="0.25">
      <c r="A655" s="19">
        <v>41986</v>
      </c>
      <c r="B655" s="5" t="s">
        <v>745</v>
      </c>
      <c r="C655" s="5">
        <v>0</v>
      </c>
    </row>
    <row r="656" spans="1:3" x14ac:dyDescent="0.25">
      <c r="A656" s="19">
        <v>41893</v>
      </c>
      <c r="B656" s="5" t="s">
        <v>719</v>
      </c>
      <c r="C656" s="5">
        <v>75</v>
      </c>
    </row>
    <row r="657" spans="1:3" x14ac:dyDescent="0.25">
      <c r="A657" s="19">
        <v>41868</v>
      </c>
      <c r="B657" s="5" t="s">
        <v>732</v>
      </c>
      <c r="C657" s="5">
        <v>25</v>
      </c>
    </row>
    <row r="658" spans="1:3" x14ac:dyDescent="0.25">
      <c r="A658" s="19">
        <v>41913</v>
      </c>
      <c r="B658" s="5" t="s">
        <v>652</v>
      </c>
      <c r="C658" s="5">
        <v>39</v>
      </c>
    </row>
    <row r="659" spans="1:3" x14ac:dyDescent="0.25">
      <c r="A659" s="19">
        <v>41996</v>
      </c>
      <c r="B659" s="5" t="s">
        <v>706</v>
      </c>
      <c r="C659" s="5">
        <v>56</v>
      </c>
    </row>
    <row r="660" spans="1:3" x14ac:dyDescent="0.25">
      <c r="A660" s="19">
        <v>41881</v>
      </c>
      <c r="B660" s="5" t="s">
        <v>676</v>
      </c>
      <c r="C660" s="5">
        <v>10</v>
      </c>
    </row>
    <row r="661" spans="1:3" x14ac:dyDescent="0.25">
      <c r="A661" s="19">
        <v>41802</v>
      </c>
      <c r="B661" s="5" t="s">
        <v>738</v>
      </c>
      <c r="C661" s="5">
        <v>4</v>
      </c>
    </row>
    <row r="662" spans="1:3" x14ac:dyDescent="0.25">
      <c r="A662" s="19">
        <v>41834</v>
      </c>
      <c r="B662" s="5" t="s">
        <v>718</v>
      </c>
      <c r="C662" s="5">
        <v>61</v>
      </c>
    </row>
    <row r="663" spans="1:3" x14ac:dyDescent="0.25">
      <c r="A663" s="19">
        <v>41874</v>
      </c>
      <c r="B663" s="5" t="s">
        <v>661</v>
      </c>
      <c r="C663" s="5">
        <v>3</v>
      </c>
    </row>
    <row r="664" spans="1:3" x14ac:dyDescent="0.25">
      <c r="A664" s="19">
        <v>41916</v>
      </c>
      <c r="B664" s="5" t="s">
        <v>685</v>
      </c>
      <c r="C664" s="5">
        <v>44</v>
      </c>
    </row>
    <row r="665" spans="1:3" x14ac:dyDescent="0.25">
      <c r="A665" s="19">
        <v>41946</v>
      </c>
      <c r="B665" s="5" t="s">
        <v>680</v>
      </c>
      <c r="C665" s="5">
        <v>8</v>
      </c>
    </row>
    <row r="666" spans="1:3" x14ac:dyDescent="0.25">
      <c r="A666" s="19">
        <v>41935</v>
      </c>
      <c r="B666" s="5" t="s">
        <v>719</v>
      </c>
      <c r="C666" s="5">
        <v>70</v>
      </c>
    </row>
    <row r="667" spans="1:3" x14ac:dyDescent="0.25">
      <c r="A667" s="19">
        <v>41934</v>
      </c>
      <c r="B667" s="5" t="s">
        <v>728</v>
      </c>
      <c r="C667" s="5">
        <v>75</v>
      </c>
    </row>
    <row r="668" spans="1:3" x14ac:dyDescent="0.25">
      <c r="A668" s="19">
        <v>41963</v>
      </c>
      <c r="B668" s="5" t="s">
        <v>750</v>
      </c>
      <c r="C668" s="5">
        <v>26</v>
      </c>
    </row>
    <row r="669" spans="1:3" x14ac:dyDescent="0.25">
      <c r="A669" s="19">
        <v>41988</v>
      </c>
      <c r="B669" s="5" t="s">
        <v>716</v>
      </c>
      <c r="C669" s="5">
        <v>23</v>
      </c>
    </row>
    <row r="670" spans="1:3" x14ac:dyDescent="0.25">
      <c r="A670" s="19">
        <v>41992</v>
      </c>
      <c r="B670" s="5" t="s">
        <v>645</v>
      </c>
      <c r="C670" s="5">
        <v>32</v>
      </c>
    </row>
    <row r="671" spans="1:3" x14ac:dyDescent="0.25">
      <c r="A671" s="19">
        <v>41916</v>
      </c>
      <c r="B671" s="5" t="s">
        <v>736</v>
      </c>
      <c r="C671" s="5">
        <v>68</v>
      </c>
    </row>
    <row r="672" spans="1:3" x14ac:dyDescent="0.25">
      <c r="A672" s="19">
        <v>41835</v>
      </c>
      <c r="B672" s="5" t="s">
        <v>652</v>
      </c>
      <c r="C672" s="5">
        <v>61</v>
      </c>
    </row>
    <row r="673" spans="1:3" x14ac:dyDescent="0.25">
      <c r="A673" s="19">
        <v>41828</v>
      </c>
      <c r="B673" s="5" t="s">
        <v>659</v>
      </c>
      <c r="C673" s="5">
        <v>63</v>
      </c>
    </row>
    <row r="674" spans="1:3" x14ac:dyDescent="0.25">
      <c r="A674" s="19">
        <v>41971</v>
      </c>
      <c r="B674" s="5" t="s">
        <v>703</v>
      </c>
      <c r="C674" s="5">
        <v>62</v>
      </c>
    </row>
    <row r="675" spans="1:3" x14ac:dyDescent="0.25">
      <c r="A675" s="19">
        <v>41864</v>
      </c>
      <c r="B675" s="5" t="s">
        <v>728</v>
      </c>
      <c r="C675" s="5">
        <v>2</v>
      </c>
    </row>
    <row r="676" spans="1:3" x14ac:dyDescent="0.25">
      <c r="A676" s="19">
        <v>41891</v>
      </c>
      <c r="B676" s="5" t="s">
        <v>647</v>
      </c>
      <c r="C676" s="5">
        <v>41</v>
      </c>
    </row>
    <row r="677" spans="1:3" x14ac:dyDescent="0.25">
      <c r="A677" s="19">
        <v>41811</v>
      </c>
      <c r="B677" s="5" t="s">
        <v>746</v>
      </c>
      <c r="C677" s="5">
        <v>35</v>
      </c>
    </row>
    <row r="678" spans="1:3" x14ac:dyDescent="0.25">
      <c r="A678" s="19">
        <v>41908</v>
      </c>
      <c r="B678" s="5" t="s">
        <v>704</v>
      </c>
      <c r="C678" s="5">
        <v>29</v>
      </c>
    </row>
    <row r="679" spans="1:3" x14ac:dyDescent="0.25">
      <c r="A679" s="19">
        <v>41823</v>
      </c>
      <c r="B679" s="5" t="s">
        <v>692</v>
      </c>
      <c r="C679" s="5">
        <v>43</v>
      </c>
    </row>
    <row r="680" spans="1:3" x14ac:dyDescent="0.25">
      <c r="A680" s="19">
        <v>41878</v>
      </c>
      <c r="B680" s="5" t="s">
        <v>660</v>
      </c>
      <c r="C680" s="5">
        <v>10</v>
      </c>
    </row>
    <row r="681" spans="1:3" x14ac:dyDescent="0.25">
      <c r="A681" s="19">
        <v>41955</v>
      </c>
      <c r="B681" s="5" t="s">
        <v>747</v>
      </c>
      <c r="C681" s="5">
        <v>10</v>
      </c>
    </row>
    <row r="682" spans="1:3" x14ac:dyDescent="0.25">
      <c r="A682" s="19">
        <v>41939</v>
      </c>
      <c r="B682" s="5" t="s">
        <v>662</v>
      </c>
      <c r="C682" s="5">
        <v>24</v>
      </c>
    </row>
    <row r="683" spans="1:3" x14ac:dyDescent="0.25">
      <c r="A683" s="19">
        <v>41814</v>
      </c>
      <c r="B683" s="5" t="s">
        <v>646</v>
      </c>
      <c r="C683" s="5">
        <v>21</v>
      </c>
    </row>
    <row r="684" spans="1:3" x14ac:dyDescent="0.25">
      <c r="A684" s="19">
        <v>41841</v>
      </c>
      <c r="B684" s="5" t="s">
        <v>727</v>
      </c>
      <c r="C684" s="5">
        <v>74</v>
      </c>
    </row>
    <row r="685" spans="1:3" x14ac:dyDescent="0.25">
      <c r="A685" s="19">
        <v>41863</v>
      </c>
      <c r="B685" s="5" t="s">
        <v>708</v>
      </c>
      <c r="C685" s="5">
        <v>61</v>
      </c>
    </row>
    <row r="686" spans="1:3" x14ac:dyDescent="0.25">
      <c r="A686" s="19">
        <v>41867</v>
      </c>
      <c r="B686" s="5" t="s">
        <v>645</v>
      </c>
      <c r="C686" s="5">
        <v>39</v>
      </c>
    </row>
    <row r="687" spans="1:3" x14ac:dyDescent="0.25">
      <c r="A687" s="19">
        <v>41852</v>
      </c>
      <c r="B687" s="5" t="s">
        <v>713</v>
      </c>
      <c r="C687" s="5">
        <v>74</v>
      </c>
    </row>
    <row r="688" spans="1:3" x14ac:dyDescent="0.25">
      <c r="A688" s="19">
        <v>41951</v>
      </c>
      <c r="B688" s="5" t="s">
        <v>736</v>
      </c>
      <c r="C688" s="5">
        <v>23</v>
      </c>
    </row>
    <row r="689" spans="1:3" x14ac:dyDescent="0.25">
      <c r="A689" s="19">
        <v>41870</v>
      </c>
      <c r="B689" s="5" t="s">
        <v>653</v>
      </c>
      <c r="C689" s="5">
        <v>24</v>
      </c>
    </row>
    <row r="690" spans="1:3" x14ac:dyDescent="0.25">
      <c r="A690" s="19">
        <v>41945</v>
      </c>
      <c r="B690" s="5" t="s">
        <v>746</v>
      </c>
      <c r="C690" s="5">
        <v>74</v>
      </c>
    </row>
    <row r="691" spans="1:3" x14ac:dyDescent="0.25">
      <c r="A691" s="19">
        <v>41983</v>
      </c>
      <c r="B691" s="5" t="s">
        <v>750</v>
      </c>
      <c r="C691" s="5">
        <v>45</v>
      </c>
    </row>
    <row r="692" spans="1:3" x14ac:dyDescent="0.25">
      <c r="A692" s="19">
        <v>41829</v>
      </c>
      <c r="B692" s="5" t="s">
        <v>650</v>
      </c>
      <c r="C692" s="5">
        <v>10</v>
      </c>
    </row>
    <row r="693" spans="1:3" x14ac:dyDescent="0.25">
      <c r="A693" s="19">
        <v>41841</v>
      </c>
      <c r="B693" s="5" t="s">
        <v>668</v>
      </c>
      <c r="C693" s="5">
        <v>52</v>
      </c>
    </row>
    <row r="694" spans="1:3" x14ac:dyDescent="0.25">
      <c r="A694" s="19">
        <v>41981</v>
      </c>
      <c r="B694" s="5" t="s">
        <v>729</v>
      </c>
      <c r="C694" s="5">
        <v>9</v>
      </c>
    </row>
    <row r="695" spans="1:3" x14ac:dyDescent="0.25">
      <c r="A695" s="19">
        <v>41973</v>
      </c>
      <c r="B695" s="5" t="s">
        <v>680</v>
      </c>
      <c r="C695" s="5">
        <v>27</v>
      </c>
    </row>
    <row r="696" spans="1:3" x14ac:dyDescent="0.25">
      <c r="A696" s="19">
        <v>41971</v>
      </c>
      <c r="B696" s="5" t="s">
        <v>655</v>
      </c>
      <c r="C696" s="5">
        <v>53</v>
      </c>
    </row>
    <row r="697" spans="1:3" x14ac:dyDescent="0.25">
      <c r="A697" s="19">
        <v>41883</v>
      </c>
      <c r="B697" s="5" t="s">
        <v>657</v>
      </c>
      <c r="C697" s="5">
        <v>41</v>
      </c>
    </row>
    <row r="698" spans="1:3" x14ac:dyDescent="0.25">
      <c r="A698" s="19">
        <v>41987</v>
      </c>
      <c r="B698" s="5" t="s">
        <v>655</v>
      </c>
      <c r="C698" s="5">
        <v>55</v>
      </c>
    </row>
    <row r="699" spans="1:3" x14ac:dyDescent="0.25">
      <c r="A699" s="19">
        <v>41916</v>
      </c>
      <c r="B699" s="5" t="s">
        <v>742</v>
      </c>
      <c r="C699" s="5">
        <v>13</v>
      </c>
    </row>
    <row r="700" spans="1:3" x14ac:dyDescent="0.25">
      <c r="A700" s="19">
        <v>41966</v>
      </c>
      <c r="B700" s="5" t="s">
        <v>692</v>
      </c>
      <c r="C700" s="5">
        <v>66</v>
      </c>
    </row>
    <row r="701" spans="1:3" x14ac:dyDescent="0.25">
      <c r="A701" s="19">
        <v>41863</v>
      </c>
      <c r="B701" s="5" t="s">
        <v>685</v>
      </c>
      <c r="C701" s="5">
        <v>13</v>
      </c>
    </row>
    <row r="702" spans="1:3" x14ac:dyDescent="0.25">
      <c r="A702" s="19">
        <v>41979</v>
      </c>
      <c r="B702" s="5" t="s">
        <v>723</v>
      </c>
      <c r="C702" s="5">
        <v>34</v>
      </c>
    </row>
    <row r="703" spans="1:3" x14ac:dyDescent="0.25">
      <c r="A703" s="19">
        <v>41859</v>
      </c>
      <c r="B703" s="5" t="s">
        <v>671</v>
      </c>
      <c r="C703" s="5">
        <v>68</v>
      </c>
    </row>
    <row r="704" spans="1:3" x14ac:dyDescent="0.25">
      <c r="A704" s="19">
        <v>41964</v>
      </c>
      <c r="B704" s="5" t="s">
        <v>711</v>
      </c>
      <c r="C704" s="5">
        <v>3</v>
      </c>
    </row>
    <row r="705" spans="1:3" x14ac:dyDescent="0.25">
      <c r="A705" s="19">
        <v>41913</v>
      </c>
      <c r="B705" s="5" t="s">
        <v>663</v>
      </c>
      <c r="C705" s="5">
        <v>30</v>
      </c>
    </row>
    <row r="706" spans="1:3" x14ac:dyDescent="0.25">
      <c r="A706" s="19">
        <v>41814</v>
      </c>
      <c r="B706" s="5" t="s">
        <v>741</v>
      </c>
      <c r="C706" s="5">
        <v>41</v>
      </c>
    </row>
    <row r="707" spans="1:3" x14ac:dyDescent="0.25">
      <c r="A707" s="19">
        <v>41870</v>
      </c>
      <c r="B707" s="5" t="s">
        <v>713</v>
      </c>
      <c r="C707" s="5">
        <v>15</v>
      </c>
    </row>
    <row r="708" spans="1:3" x14ac:dyDescent="0.25">
      <c r="A708" s="19">
        <v>41854</v>
      </c>
      <c r="B708" s="5" t="s">
        <v>668</v>
      </c>
      <c r="C708" s="5">
        <v>43</v>
      </c>
    </row>
    <row r="709" spans="1:3" x14ac:dyDescent="0.25">
      <c r="A709" s="19">
        <v>41824</v>
      </c>
      <c r="B709" s="5" t="s">
        <v>708</v>
      </c>
      <c r="C709" s="5">
        <v>73</v>
      </c>
    </row>
    <row r="710" spans="1:3" x14ac:dyDescent="0.25">
      <c r="A710" s="19">
        <v>41846</v>
      </c>
      <c r="B710" s="5" t="s">
        <v>668</v>
      </c>
      <c r="C710" s="5">
        <v>35</v>
      </c>
    </row>
    <row r="711" spans="1:3" x14ac:dyDescent="0.25">
      <c r="A711" s="19">
        <v>41978</v>
      </c>
      <c r="B711" s="5" t="s">
        <v>722</v>
      </c>
      <c r="C711" s="5">
        <v>16</v>
      </c>
    </row>
    <row r="712" spans="1:3" x14ac:dyDescent="0.25">
      <c r="A712" s="19">
        <v>41848</v>
      </c>
      <c r="B712" s="5" t="s">
        <v>648</v>
      </c>
      <c r="C712" s="5">
        <v>74</v>
      </c>
    </row>
    <row r="713" spans="1:3" x14ac:dyDescent="0.25">
      <c r="A713" s="19">
        <v>41801</v>
      </c>
      <c r="B713" s="5" t="s">
        <v>667</v>
      </c>
      <c r="C713" s="5">
        <v>26</v>
      </c>
    </row>
    <row r="714" spans="1:3" x14ac:dyDescent="0.25">
      <c r="A714" s="19">
        <v>41951</v>
      </c>
      <c r="B714" s="5" t="s">
        <v>701</v>
      </c>
      <c r="C714" s="5">
        <v>48</v>
      </c>
    </row>
    <row r="715" spans="1:3" x14ac:dyDescent="0.25">
      <c r="A715" s="19">
        <v>41854</v>
      </c>
      <c r="B715" s="5" t="s">
        <v>686</v>
      </c>
      <c r="C715" s="5">
        <v>73</v>
      </c>
    </row>
    <row r="716" spans="1:3" x14ac:dyDescent="0.25">
      <c r="A716" s="19">
        <v>41867</v>
      </c>
      <c r="B716" s="5" t="s">
        <v>651</v>
      </c>
      <c r="C716" s="5">
        <v>55</v>
      </c>
    </row>
    <row r="717" spans="1:3" x14ac:dyDescent="0.25">
      <c r="A717" s="19">
        <v>41939</v>
      </c>
      <c r="B717" s="5" t="s">
        <v>669</v>
      </c>
      <c r="C717" s="5">
        <v>62</v>
      </c>
    </row>
    <row r="718" spans="1:3" x14ac:dyDescent="0.25">
      <c r="A718" s="19">
        <v>41868</v>
      </c>
      <c r="B718" s="5" t="s">
        <v>706</v>
      </c>
      <c r="C718" s="5">
        <v>17</v>
      </c>
    </row>
    <row r="719" spans="1:3" x14ac:dyDescent="0.25">
      <c r="A719" s="19">
        <v>41982</v>
      </c>
      <c r="B719" s="5" t="s">
        <v>690</v>
      </c>
      <c r="C719" s="5">
        <v>49</v>
      </c>
    </row>
    <row r="720" spans="1:3" x14ac:dyDescent="0.25">
      <c r="A720" s="19">
        <v>41886</v>
      </c>
      <c r="B720" s="5" t="s">
        <v>730</v>
      </c>
      <c r="C720" s="5">
        <v>67</v>
      </c>
    </row>
    <row r="721" spans="1:3" x14ac:dyDescent="0.25">
      <c r="A721" s="19">
        <v>41910</v>
      </c>
      <c r="B721" s="5" t="s">
        <v>651</v>
      </c>
      <c r="C721" s="5">
        <v>22</v>
      </c>
    </row>
    <row r="722" spans="1:3" x14ac:dyDescent="0.25">
      <c r="A722" s="19">
        <v>41962</v>
      </c>
      <c r="B722" s="5" t="s">
        <v>708</v>
      </c>
      <c r="C722" s="5">
        <v>58</v>
      </c>
    </row>
    <row r="723" spans="1:3" x14ac:dyDescent="0.25">
      <c r="A723" s="19">
        <v>41913</v>
      </c>
      <c r="B723" s="5" t="s">
        <v>662</v>
      </c>
      <c r="C723" s="5">
        <v>0</v>
      </c>
    </row>
    <row r="724" spans="1:3" x14ac:dyDescent="0.25">
      <c r="A724" s="19">
        <v>41952</v>
      </c>
      <c r="B724" s="5" t="s">
        <v>647</v>
      </c>
      <c r="C724" s="5">
        <v>38</v>
      </c>
    </row>
    <row r="725" spans="1:3" x14ac:dyDescent="0.25">
      <c r="A725" s="19">
        <v>41854</v>
      </c>
      <c r="B725" s="5" t="s">
        <v>685</v>
      </c>
      <c r="C725" s="5">
        <v>71</v>
      </c>
    </row>
    <row r="726" spans="1:3" x14ac:dyDescent="0.25">
      <c r="A726" s="19">
        <v>41973</v>
      </c>
      <c r="B726" s="5" t="s">
        <v>682</v>
      </c>
      <c r="C726" s="5">
        <v>34</v>
      </c>
    </row>
    <row r="727" spans="1:3" x14ac:dyDescent="0.25">
      <c r="A727" s="19">
        <v>41935</v>
      </c>
      <c r="B727" s="5" t="s">
        <v>726</v>
      </c>
      <c r="C727" s="5">
        <v>48</v>
      </c>
    </row>
    <row r="728" spans="1:3" x14ac:dyDescent="0.25">
      <c r="A728" s="19">
        <v>41866</v>
      </c>
      <c r="B728" s="5" t="s">
        <v>726</v>
      </c>
      <c r="C728" s="5">
        <v>0</v>
      </c>
    </row>
    <row r="729" spans="1:3" x14ac:dyDescent="0.25">
      <c r="A729" s="19">
        <v>41957</v>
      </c>
      <c r="B729" s="5" t="s">
        <v>694</v>
      </c>
      <c r="C729" s="5">
        <v>75</v>
      </c>
    </row>
    <row r="730" spans="1:3" x14ac:dyDescent="0.25">
      <c r="A730" s="19">
        <v>41951</v>
      </c>
      <c r="B730" s="5" t="s">
        <v>742</v>
      </c>
      <c r="C730" s="5">
        <v>26</v>
      </c>
    </row>
    <row r="731" spans="1:3" x14ac:dyDescent="0.25">
      <c r="A731" s="19">
        <v>41862</v>
      </c>
      <c r="B731" s="5" t="s">
        <v>746</v>
      </c>
      <c r="C731" s="5">
        <v>29</v>
      </c>
    </row>
    <row r="732" spans="1:3" x14ac:dyDescent="0.25">
      <c r="A732" s="19">
        <v>41974</v>
      </c>
      <c r="B732" s="5" t="s">
        <v>679</v>
      </c>
      <c r="C732" s="5">
        <v>1</v>
      </c>
    </row>
    <row r="733" spans="1:3" x14ac:dyDescent="0.25">
      <c r="A733" s="19">
        <v>41886</v>
      </c>
      <c r="B733" s="5" t="s">
        <v>738</v>
      </c>
      <c r="C733" s="5">
        <v>9</v>
      </c>
    </row>
    <row r="734" spans="1:3" x14ac:dyDescent="0.25">
      <c r="A734" s="19">
        <v>41962</v>
      </c>
      <c r="B734" s="5" t="s">
        <v>745</v>
      </c>
      <c r="C734" s="5">
        <v>34</v>
      </c>
    </row>
    <row r="735" spans="1:3" x14ac:dyDescent="0.25">
      <c r="A735" s="19">
        <v>41905</v>
      </c>
      <c r="B735" s="5" t="s">
        <v>673</v>
      </c>
      <c r="C735" s="5">
        <v>47</v>
      </c>
    </row>
    <row r="736" spans="1:3" x14ac:dyDescent="0.25">
      <c r="A736" s="19">
        <v>41815</v>
      </c>
      <c r="B736" s="5" t="s">
        <v>645</v>
      </c>
      <c r="C736" s="5">
        <v>21</v>
      </c>
    </row>
    <row r="737" spans="1:3" x14ac:dyDescent="0.25">
      <c r="A737" s="19">
        <v>41849</v>
      </c>
      <c r="B737" s="5" t="s">
        <v>678</v>
      </c>
      <c r="C737" s="5">
        <v>60</v>
      </c>
    </row>
    <row r="738" spans="1:3" x14ac:dyDescent="0.25">
      <c r="A738" s="19">
        <v>41963</v>
      </c>
      <c r="B738" s="5" t="s">
        <v>733</v>
      </c>
      <c r="C738" s="5">
        <v>52</v>
      </c>
    </row>
    <row r="739" spans="1:3" x14ac:dyDescent="0.25">
      <c r="A739" s="19">
        <v>41967</v>
      </c>
      <c r="B739" s="5" t="s">
        <v>743</v>
      </c>
      <c r="C739" s="5">
        <v>39</v>
      </c>
    </row>
    <row r="740" spans="1:3" x14ac:dyDescent="0.25">
      <c r="A740" s="19">
        <v>41869</v>
      </c>
      <c r="B740" s="5" t="s">
        <v>671</v>
      </c>
      <c r="C740" s="5">
        <v>1</v>
      </c>
    </row>
    <row r="741" spans="1:3" x14ac:dyDescent="0.25">
      <c r="A741" s="19">
        <v>41920</v>
      </c>
      <c r="B741" s="5" t="s">
        <v>677</v>
      </c>
      <c r="C741" s="5">
        <v>33</v>
      </c>
    </row>
    <row r="742" spans="1:3" x14ac:dyDescent="0.25">
      <c r="A742" s="19">
        <v>41983</v>
      </c>
      <c r="B742" s="5" t="s">
        <v>690</v>
      </c>
      <c r="C742" s="5">
        <v>70</v>
      </c>
    </row>
    <row r="743" spans="1:3" x14ac:dyDescent="0.25">
      <c r="A743" s="19">
        <v>41807</v>
      </c>
      <c r="B743" s="5" t="s">
        <v>655</v>
      </c>
      <c r="C743" s="5">
        <v>7</v>
      </c>
    </row>
    <row r="744" spans="1:3" x14ac:dyDescent="0.25">
      <c r="A744" s="19">
        <v>41852</v>
      </c>
      <c r="B744" s="5" t="s">
        <v>703</v>
      </c>
      <c r="C744" s="5">
        <v>69</v>
      </c>
    </row>
    <row r="745" spans="1:3" x14ac:dyDescent="0.25">
      <c r="A745" s="19">
        <v>41883</v>
      </c>
      <c r="B745" s="5" t="s">
        <v>720</v>
      </c>
      <c r="C745" s="5">
        <v>67</v>
      </c>
    </row>
    <row r="746" spans="1:3" x14ac:dyDescent="0.25">
      <c r="A746" s="19">
        <v>41898</v>
      </c>
      <c r="B746" s="5" t="s">
        <v>667</v>
      </c>
      <c r="C746" s="5">
        <v>45</v>
      </c>
    </row>
    <row r="747" spans="1:3" x14ac:dyDescent="0.25">
      <c r="A747" s="19">
        <v>41951</v>
      </c>
      <c r="B747" s="5" t="s">
        <v>741</v>
      </c>
      <c r="C747" s="5">
        <v>6</v>
      </c>
    </row>
    <row r="748" spans="1:3" x14ac:dyDescent="0.25">
      <c r="A748" s="19">
        <v>41873</v>
      </c>
      <c r="B748" s="5" t="s">
        <v>682</v>
      </c>
      <c r="C748" s="5">
        <v>70</v>
      </c>
    </row>
    <row r="749" spans="1:3" x14ac:dyDescent="0.25">
      <c r="A749" s="19">
        <v>41935</v>
      </c>
      <c r="B749" s="5" t="s">
        <v>737</v>
      </c>
      <c r="C749" s="5">
        <v>65</v>
      </c>
    </row>
    <row r="750" spans="1:3" x14ac:dyDescent="0.25">
      <c r="A750" s="19">
        <v>41873</v>
      </c>
      <c r="B750" s="5" t="s">
        <v>649</v>
      </c>
      <c r="C750" s="5">
        <v>9</v>
      </c>
    </row>
    <row r="751" spans="1:3" x14ac:dyDescent="0.25">
      <c r="A751" s="19">
        <v>41824</v>
      </c>
      <c r="B751" s="5" t="s">
        <v>690</v>
      </c>
      <c r="C751" s="5">
        <v>69</v>
      </c>
    </row>
    <row r="752" spans="1:3" x14ac:dyDescent="0.25">
      <c r="A752" s="19">
        <v>41918</v>
      </c>
      <c r="B752" s="5" t="s">
        <v>750</v>
      </c>
      <c r="C752" s="5">
        <v>22</v>
      </c>
    </row>
    <row r="753" spans="1:3" x14ac:dyDescent="0.25">
      <c r="A753" s="19">
        <v>41848</v>
      </c>
      <c r="B753" s="5" t="s">
        <v>682</v>
      </c>
      <c r="C753" s="5">
        <v>69</v>
      </c>
    </row>
    <row r="754" spans="1:3" x14ac:dyDescent="0.25">
      <c r="A754" s="19">
        <v>41853</v>
      </c>
      <c r="B754" s="5" t="s">
        <v>661</v>
      </c>
      <c r="C754" s="5">
        <v>46</v>
      </c>
    </row>
    <row r="755" spans="1:3" x14ac:dyDescent="0.25">
      <c r="A755" s="19">
        <v>41843</v>
      </c>
      <c r="B755" s="5" t="s">
        <v>705</v>
      </c>
      <c r="C755" s="5">
        <v>53</v>
      </c>
    </row>
    <row r="756" spans="1:3" x14ac:dyDescent="0.25">
      <c r="A756" s="19">
        <v>41924</v>
      </c>
      <c r="B756" s="5" t="s">
        <v>664</v>
      </c>
      <c r="C756" s="5">
        <v>52</v>
      </c>
    </row>
    <row r="757" spans="1:3" x14ac:dyDescent="0.25">
      <c r="A757" s="19">
        <v>41913</v>
      </c>
      <c r="B757" s="5" t="s">
        <v>649</v>
      </c>
      <c r="C757" s="5">
        <v>73</v>
      </c>
    </row>
    <row r="758" spans="1:3" x14ac:dyDescent="0.25">
      <c r="A758" s="19">
        <v>41883</v>
      </c>
      <c r="B758" s="5" t="s">
        <v>673</v>
      </c>
      <c r="C758" s="5">
        <v>4</v>
      </c>
    </row>
    <row r="759" spans="1:3" x14ac:dyDescent="0.25">
      <c r="A759" s="19">
        <v>41844</v>
      </c>
      <c r="B759" s="5" t="s">
        <v>734</v>
      </c>
      <c r="C759" s="5">
        <v>39</v>
      </c>
    </row>
    <row r="760" spans="1:3" x14ac:dyDescent="0.25">
      <c r="A760" s="19">
        <v>41936</v>
      </c>
      <c r="B760" s="5" t="s">
        <v>710</v>
      </c>
      <c r="C760" s="5">
        <v>69</v>
      </c>
    </row>
    <row r="761" spans="1:3" x14ac:dyDescent="0.25">
      <c r="A761" s="19">
        <v>41978</v>
      </c>
      <c r="B761" s="5" t="s">
        <v>718</v>
      </c>
      <c r="C761" s="5">
        <v>19</v>
      </c>
    </row>
    <row r="762" spans="1:3" x14ac:dyDescent="0.25">
      <c r="A762" s="19">
        <v>41932</v>
      </c>
      <c r="B762" s="5" t="s">
        <v>691</v>
      </c>
      <c r="C762" s="5">
        <v>32</v>
      </c>
    </row>
    <row r="763" spans="1:3" x14ac:dyDescent="0.25">
      <c r="A763" s="19">
        <v>41805</v>
      </c>
      <c r="B763" s="5" t="s">
        <v>693</v>
      </c>
      <c r="C763" s="5">
        <v>29</v>
      </c>
    </row>
    <row r="764" spans="1:3" x14ac:dyDescent="0.25">
      <c r="A764" s="19">
        <v>41897</v>
      </c>
      <c r="B764" s="5" t="s">
        <v>745</v>
      </c>
      <c r="C764" s="5">
        <v>55</v>
      </c>
    </row>
    <row r="765" spans="1:3" x14ac:dyDescent="0.25">
      <c r="A765" s="19">
        <v>41933</v>
      </c>
      <c r="B765" s="5" t="s">
        <v>710</v>
      </c>
      <c r="C765" s="5">
        <v>58</v>
      </c>
    </row>
    <row r="766" spans="1:3" x14ac:dyDescent="0.25">
      <c r="A766" s="19">
        <v>41840</v>
      </c>
      <c r="B766" s="5" t="s">
        <v>728</v>
      </c>
      <c r="C766" s="5">
        <v>17</v>
      </c>
    </row>
    <row r="767" spans="1:3" x14ac:dyDescent="0.25">
      <c r="A767" s="19">
        <v>41974</v>
      </c>
      <c r="B767" s="5" t="s">
        <v>720</v>
      </c>
      <c r="C767" s="5">
        <v>17</v>
      </c>
    </row>
    <row r="768" spans="1:3" x14ac:dyDescent="0.25">
      <c r="A768" s="19">
        <v>41915</v>
      </c>
      <c r="B768" s="5" t="s">
        <v>647</v>
      </c>
      <c r="C768" s="5">
        <v>52</v>
      </c>
    </row>
    <row r="769" spans="1:3" x14ac:dyDescent="0.25">
      <c r="A769" s="19">
        <v>41912</v>
      </c>
      <c r="B769" s="5" t="s">
        <v>653</v>
      </c>
      <c r="C769" s="5">
        <v>12</v>
      </c>
    </row>
    <row r="770" spans="1:3" x14ac:dyDescent="0.25">
      <c r="A770" s="19">
        <v>41955</v>
      </c>
      <c r="B770" s="5" t="s">
        <v>645</v>
      </c>
      <c r="C770" s="5">
        <v>53</v>
      </c>
    </row>
    <row r="771" spans="1:3" x14ac:dyDescent="0.25">
      <c r="A771" s="19">
        <v>41926</v>
      </c>
      <c r="B771" s="5" t="s">
        <v>728</v>
      </c>
      <c r="C771" s="5">
        <v>6</v>
      </c>
    </row>
    <row r="772" spans="1:3" x14ac:dyDescent="0.25">
      <c r="A772" s="19">
        <v>41992</v>
      </c>
      <c r="B772" s="5" t="s">
        <v>732</v>
      </c>
      <c r="C772" s="5">
        <v>16</v>
      </c>
    </row>
    <row r="773" spans="1:3" x14ac:dyDescent="0.25">
      <c r="A773" s="19">
        <v>41931</v>
      </c>
      <c r="B773" s="5" t="s">
        <v>667</v>
      </c>
      <c r="C773" s="5">
        <v>10</v>
      </c>
    </row>
    <row r="774" spans="1:3" x14ac:dyDescent="0.25">
      <c r="A774" s="19">
        <v>41962</v>
      </c>
      <c r="B774" s="5" t="s">
        <v>653</v>
      </c>
      <c r="C774" s="5">
        <v>31</v>
      </c>
    </row>
    <row r="775" spans="1:3" x14ac:dyDescent="0.25">
      <c r="A775" s="19">
        <v>41912</v>
      </c>
      <c r="B775" s="5" t="s">
        <v>681</v>
      </c>
      <c r="C775" s="5">
        <v>21</v>
      </c>
    </row>
    <row r="776" spans="1:3" x14ac:dyDescent="0.25">
      <c r="A776" s="19">
        <v>41924</v>
      </c>
      <c r="B776" s="5" t="s">
        <v>719</v>
      </c>
      <c r="C776" s="5">
        <v>55</v>
      </c>
    </row>
    <row r="777" spans="1:3" x14ac:dyDescent="0.25">
      <c r="A777" s="19">
        <v>41837</v>
      </c>
      <c r="B777" s="5" t="s">
        <v>710</v>
      </c>
      <c r="C777" s="5">
        <v>31</v>
      </c>
    </row>
    <row r="778" spans="1:3" x14ac:dyDescent="0.25">
      <c r="A778" s="19">
        <v>41933</v>
      </c>
      <c r="B778" s="5" t="s">
        <v>679</v>
      </c>
      <c r="C778" s="5">
        <v>39</v>
      </c>
    </row>
    <row r="779" spans="1:3" x14ac:dyDescent="0.25">
      <c r="A779" s="19">
        <v>41961</v>
      </c>
      <c r="B779" s="5" t="s">
        <v>721</v>
      </c>
      <c r="C779" s="5">
        <v>57</v>
      </c>
    </row>
    <row r="780" spans="1:3" x14ac:dyDescent="0.25">
      <c r="A780" s="19">
        <v>41809</v>
      </c>
      <c r="B780" s="5" t="s">
        <v>658</v>
      </c>
      <c r="C780" s="5">
        <v>58</v>
      </c>
    </row>
    <row r="781" spans="1:3" x14ac:dyDescent="0.25">
      <c r="A781" s="19">
        <v>41944</v>
      </c>
      <c r="B781" s="5" t="s">
        <v>654</v>
      </c>
      <c r="C781" s="5">
        <v>9</v>
      </c>
    </row>
    <row r="782" spans="1:3" x14ac:dyDescent="0.25">
      <c r="A782" s="19">
        <v>41913</v>
      </c>
      <c r="B782" s="5" t="s">
        <v>744</v>
      </c>
      <c r="C782" s="5">
        <v>39</v>
      </c>
    </row>
    <row r="783" spans="1:3" x14ac:dyDescent="0.25">
      <c r="A783" s="19">
        <v>41855</v>
      </c>
      <c r="B783" s="5" t="s">
        <v>714</v>
      </c>
      <c r="C783" s="5">
        <v>45</v>
      </c>
    </row>
    <row r="784" spans="1:3" x14ac:dyDescent="0.25">
      <c r="A784" s="19">
        <v>41825</v>
      </c>
      <c r="B784" s="5" t="s">
        <v>693</v>
      </c>
      <c r="C784" s="5">
        <v>27</v>
      </c>
    </row>
    <row r="785" spans="1:3" x14ac:dyDescent="0.25">
      <c r="A785" s="19">
        <v>41851</v>
      </c>
      <c r="B785" s="5" t="s">
        <v>645</v>
      </c>
      <c r="C785" s="5">
        <v>45</v>
      </c>
    </row>
    <row r="786" spans="1:3" x14ac:dyDescent="0.25">
      <c r="A786" s="19">
        <v>41897</v>
      </c>
      <c r="B786" s="5" t="s">
        <v>743</v>
      </c>
      <c r="C786" s="5">
        <v>10</v>
      </c>
    </row>
    <row r="787" spans="1:3" x14ac:dyDescent="0.25">
      <c r="A787" s="19">
        <v>41958</v>
      </c>
      <c r="B787" s="5" t="s">
        <v>739</v>
      </c>
      <c r="C787" s="5">
        <v>57</v>
      </c>
    </row>
    <row r="788" spans="1:3" x14ac:dyDescent="0.25">
      <c r="A788" s="19">
        <v>41925</v>
      </c>
      <c r="B788" s="5" t="s">
        <v>682</v>
      </c>
      <c r="C788" s="5">
        <v>74</v>
      </c>
    </row>
    <row r="789" spans="1:3" x14ac:dyDescent="0.25">
      <c r="A789" s="19">
        <v>41955</v>
      </c>
      <c r="B789" s="5" t="s">
        <v>674</v>
      </c>
      <c r="C789" s="5">
        <v>54</v>
      </c>
    </row>
    <row r="790" spans="1:3" x14ac:dyDescent="0.25">
      <c r="A790" s="19">
        <v>41850</v>
      </c>
      <c r="B790" s="5" t="s">
        <v>711</v>
      </c>
      <c r="C790" s="5">
        <v>29</v>
      </c>
    </row>
    <row r="791" spans="1:3" x14ac:dyDescent="0.25">
      <c r="A791" s="19">
        <v>41931</v>
      </c>
      <c r="B791" s="5" t="s">
        <v>742</v>
      </c>
      <c r="C791" s="5">
        <v>52</v>
      </c>
    </row>
    <row r="792" spans="1:3" x14ac:dyDescent="0.25">
      <c r="A792" s="19">
        <v>41891</v>
      </c>
      <c r="B792" s="5" t="s">
        <v>714</v>
      </c>
      <c r="C792" s="5">
        <v>53</v>
      </c>
    </row>
    <row r="793" spans="1:3" x14ac:dyDescent="0.25">
      <c r="A793" s="19">
        <v>41900</v>
      </c>
      <c r="B793" s="5" t="s">
        <v>743</v>
      </c>
      <c r="C793" s="5">
        <v>41</v>
      </c>
    </row>
    <row r="794" spans="1:3" x14ac:dyDescent="0.25">
      <c r="A794" s="19">
        <v>41867</v>
      </c>
      <c r="B794" s="5" t="s">
        <v>712</v>
      </c>
      <c r="C794" s="5">
        <v>12</v>
      </c>
    </row>
    <row r="795" spans="1:3" x14ac:dyDescent="0.25">
      <c r="A795" s="19">
        <v>41937</v>
      </c>
      <c r="B795" s="5" t="s">
        <v>749</v>
      </c>
      <c r="C795" s="5">
        <v>53</v>
      </c>
    </row>
    <row r="796" spans="1:3" x14ac:dyDescent="0.25">
      <c r="A796" s="19">
        <v>41832</v>
      </c>
      <c r="B796" s="5" t="s">
        <v>691</v>
      </c>
      <c r="C796" s="5">
        <v>19</v>
      </c>
    </row>
    <row r="797" spans="1:3" x14ac:dyDescent="0.25">
      <c r="A797" s="19">
        <v>41982</v>
      </c>
      <c r="B797" s="5" t="s">
        <v>668</v>
      </c>
      <c r="C797" s="5">
        <v>24</v>
      </c>
    </row>
    <row r="798" spans="1:3" x14ac:dyDescent="0.25">
      <c r="A798" s="19">
        <v>41847</v>
      </c>
      <c r="B798" s="5" t="s">
        <v>730</v>
      </c>
      <c r="C798" s="5">
        <v>21</v>
      </c>
    </row>
    <row r="799" spans="1:3" x14ac:dyDescent="0.25">
      <c r="A799" s="19">
        <v>41951</v>
      </c>
      <c r="B799" s="5" t="s">
        <v>714</v>
      </c>
      <c r="C799" s="5">
        <v>12</v>
      </c>
    </row>
    <row r="800" spans="1:3" x14ac:dyDescent="0.25">
      <c r="A800" s="19">
        <v>41996</v>
      </c>
      <c r="B800" s="5" t="s">
        <v>703</v>
      </c>
      <c r="C800" s="5">
        <v>66</v>
      </c>
    </row>
    <row r="801" spans="1:3" x14ac:dyDescent="0.25">
      <c r="A801" s="19">
        <v>41921</v>
      </c>
      <c r="B801" s="5" t="s">
        <v>672</v>
      </c>
      <c r="C801" s="5">
        <v>15</v>
      </c>
    </row>
    <row r="802" spans="1:3" x14ac:dyDescent="0.25">
      <c r="A802" s="19">
        <v>41814</v>
      </c>
      <c r="B802" s="5" t="s">
        <v>744</v>
      </c>
      <c r="C802" s="5">
        <v>28</v>
      </c>
    </row>
    <row r="803" spans="1:3" x14ac:dyDescent="0.25">
      <c r="A803" s="19">
        <v>41889</v>
      </c>
      <c r="B803" s="5" t="s">
        <v>657</v>
      </c>
      <c r="C803" s="5">
        <v>30</v>
      </c>
    </row>
    <row r="804" spans="1:3" x14ac:dyDescent="0.25">
      <c r="A804" s="19">
        <v>41977</v>
      </c>
      <c r="B804" s="5" t="s">
        <v>719</v>
      </c>
      <c r="C804" s="5">
        <v>31</v>
      </c>
    </row>
    <row r="805" spans="1:3" x14ac:dyDescent="0.25">
      <c r="A805" s="19">
        <v>41937</v>
      </c>
      <c r="B805" s="5" t="s">
        <v>678</v>
      </c>
      <c r="C805" s="5">
        <v>17</v>
      </c>
    </row>
    <row r="806" spans="1:3" x14ac:dyDescent="0.25">
      <c r="A806" s="19">
        <v>41863</v>
      </c>
      <c r="B806" s="5" t="s">
        <v>650</v>
      </c>
      <c r="C806" s="5">
        <v>18</v>
      </c>
    </row>
    <row r="807" spans="1:3" x14ac:dyDescent="0.25">
      <c r="A807" s="19">
        <v>41914</v>
      </c>
      <c r="B807" s="5" t="s">
        <v>647</v>
      </c>
      <c r="C807" s="5">
        <v>12</v>
      </c>
    </row>
    <row r="808" spans="1:3" x14ac:dyDescent="0.25">
      <c r="A808" s="19">
        <v>41864</v>
      </c>
      <c r="B808" s="5" t="s">
        <v>729</v>
      </c>
      <c r="C808" s="5">
        <v>57</v>
      </c>
    </row>
    <row r="809" spans="1:3" x14ac:dyDescent="0.25">
      <c r="A809" s="19">
        <v>41837</v>
      </c>
      <c r="B809" s="5" t="s">
        <v>719</v>
      </c>
      <c r="C809" s="5">
        <v>8</v>
      </c>
    </row>
    <row r="810" spans="1:3" x14ac:dyDescent="0.25">
      <c r="A810" s="19">
        <v>41934</v>
      </c>
      <c r="B810" s="5" t="s">
        <v>663</v>
      </c>
      <c r="C810" s="5">
        <v>38</v>
      </c>
    </row>
    <row r="811" spans="1:3" x14ac:dyDescent="0.25">
      <c r="A811" s="19">
        <v>41900</v>
      </c>
      <c r="B811" s="5" t="s">
        <v>649</v>
      </c>
      <c r="C811" s="5">
        <v>52</v>
      </c>
    </row>
    <row r="812" spans="1:3" x14ac:dyDescent="0.25">
      <c r="A812" s="19">
        <v>41940</v>
      </c>
      <c r="B812" s="5" t="s">
        <v>651</v>
      </c>
      <c r="C812" s="5">
        <v>40</v>
      </c>
    </row>
    <row r="813" spans="1:3" x14ac:dyDescent="0.25">
      <c r="A813" s="19">
        <v>41897</v>
      </c>
      <c r="B813" s="5" t="s">
        <v>683</v>
      </c>
      <c r="C813" s="5">
        <v>14</v>
      </c>
    </row>
    <row r="814" spans="1:3" x14ac:dyDescent="0.25">
      <c r="A814" s="19">
        <v>41911</v>
      </c>
      <c r="B814" s="5" t="s">
        <v>676</v>
      </c>
      <c r="C814" s="5">
        <v>20</v>
      </c>
    </row>
    <row r="815" spans="1:3" x14ac:dyDescent="0.25">
      <c r="A815" s="19">
        <v>41840</v>
      </c>
      <c r="B815" s="5" t="s">
        <v>706</v>
      </c>
      <c r="C815" s="5">
        <v>70</v>
      </c>
    </row>
    <row r="816" spans="1:3" x14ac:dyDescent="0.25">
      <c r="A816" s="19">
        <v>42000</v>
      </c>
      <c r="B816" s="5" t="s">
        <v>660</v>
      </c>
      <c r="C816" s="5">
        <v>5</v>
      </c>
    </row>
    <row r="817" spans="1:3" x14ac:dyDescent="0.25">
      <c r="A817" s="19">
        <v>41966</v>
      </c>
      <c r="B817" s="5" t="s">
        <v>683</v>
      </c>
      <c r="C817" s="5">
        <v>6</v>
      </c>
    </row>
    <row r="818" spans="1:3" x14ac:dyDescent="0.25">
      <c r="A818" s="19">
        <v>41831</v>
      </c>
      <c r="B818" s="5" t="s">
        <v>708</v>
      </c>
      <c r="C818" s="5">
        <v>14</v>
      </c>
    </row>
    <row r="819" spans="1:3" x14ac:dyDescent="0.25">
      <c r="A819" s="19">
        <v>41936</v>
      </c>
      <c r="B819" s="5" t="s">
        <v>657</v>
      </c>
      <c r="C819" s="5">
        <v>29</v>
      </c>
    </row>
    <row r="820" spans="1:3" x14ac:dyDescent="0.25">
      <c r="A820" s="19">
        <v>41944</v>
      </c>
      <c r="B820" s="5" t="s">
        <v>704</v>
      </c>
      <c r="C820" s="5">
        <v>56</v>
      </c>
    </row>
    <row r="821" spans="1:3" x14ac:dyDescent="0.25">
      <c r="A821" s="19">
        <v>41943</v>
      </c>
      <c r="B821" s="5" t="s">
        <v>683</v>
      </c>
      <c r="C821" s="5">
        <v>24</v>
      </c>
    </row>
    <row r="822" spans="1:3" x14ac:dyDescent="0.25">
      <c r="A822" s="19">
        <v>41928</v>
      </c>
      <c r="B822" s="5" t="s">
        <v>729</v>
      </c>
      <c r="C822" s="5">
        <v>50</v>
      </c>
    </row>
    <row r="823" spans="1:3" x14ac:dyDescent="0.25">
      <c r="A823" s="19">
        <v>41964</v>
      </c>
      <c r="B823" s="5" t="s">
        <v>706</v>
      </c>
      <c r="C823" s="5">
        <v>11</v>
      </c>
    </row>
    <row r="824" spans="1:3" x14ac:dyDescent="0.25">
      <c r="A824" s="19">
        <v>41993</v>
      </c>
      <c r="B824" s="5" t="s">
        <v>671</v>
      </c>
      <c r="C824" s="5">
        <v>9</v>
      </c>
    </row>
    <row r="825" spans="1:3" x14ac:dyDescent="0.25">
      <c r="A825" s="19">
        <v>41900</v>
      </c>
      <c r="B825" s="5" t="s">
        <v>676</v>
      </c>
      <c r="C825" s="5">
        <v>45</v>
      </c>
    </row>
    <row r="826" spans="1:3" x14ac:dyDescent="0.25">
      <c r="A826" s="19">
        <v>41904</v>
      </c>
      <c r="B826" s="5" t="s">
        <v>666</v>
      </c>
      <c r="C826" s="5">
        <v>9</v>
      </c>
    </row>
    <row r="827" spans="1:3" x14ac:dyDescent="0.25">
      <c r="A827" s="19">
        <v>41939</v>
      </c>
      <c r="B827" s="5" t="s">
        <v>715</v>
      </c>
      <c r="C827" s="5">
        <v>60</v>
      </c>
    </row>
    <row r="828" spans="1:3" x14ac:dyDescent="0.25">
      <c r="A828" s="19">
        <v>41913</v>
      </c>
      <c r="B828" s="5" t="s">
        <v>676</v>
      </c>
      <c r="C828" s="5">
        <v>37</v>
      </c>
    </row>
    <row r="829" spans="1:3" x14ac:dyDescent="0.25">
      <c r="A829" s="19">
        <v>41962</v>
      </c>
      <c r="B829" s="5" t="s">
        <v>685</v>
      </c>
      <c r="C829" s="5">
        <v>5</v>
      </c>
    </row>
    <row r="830" spans="1:3" x14ac:dyDescent="0.25">
      <c r="A830" s="19">
        <v>41884</v>
      </c>
      <c r="B830" s="5" t="s">
        <v>646</v>
      </c>
      <c r="C830" s="5">
        <v>53</v>
      </c>
    </row>
    <row r="831" spans="1:3" x14ac:dyDescent="0.25">
      <c r="A831" s="19">
        <v>41867</v>
      </c>
      <c r="B831" s="5" t="s">
        <v>683</v>
      </c>
      <c r="C831" s="5">
        <v>14</v>
      </c>
    </row>
    <row r="832" spans="1:3" x14ac:dyDescent="0.25">
      <c r="A832" s="19">
        <v>41842</v>
      </c>
      <c r="B832" s="5" t="s">
        <v>687</v>
      </c>
      <c r="C832" s="5">
        <v>17</v>
      </c>
    </row>
    <row r="833" spans="1:3" x14ac:dyDescent="0.25">
      <c r="A833" s="19">
        <v>41875</v>
      </c>
      <c r="B833" s="5" t="s">
        <v>726</v>
      </c>
      <c r="C833" s="5">
        <v>75</v>
      </c>
    </row>
    <row r="834" spans="1:3" x14ac:dyDescent="0.25">
      <c r="A834" s="19">
        <v>41947</v>
      </c>
      <c r="B834" s="5" t="s">
        <v>676</v>
      </c>
      <c r="C834" s="5">
        <v>67</v>
      </c>
    </row>
    <row r="835" spans="1:3" x14ac:dyDescent="0.25">
      <c r="A835" s="19">
        <v>41961</v>
      </c>
      <c r="B835" s="5" t="s">
        <v>684</v>
      </c>
      <c r="C835" s="5">
        <v>52</v>
      </c>
    </row>
    <row r="836" spans="1:3" x14ac:dyDescent="0.25">
      <c r="A836" s="19">
        <v>41978</v>
      </c>
      <c r="B836" s="5" t="s">
        <v>655</v>
      </c>
      <c r="C836" s="5">
        <v>18</v>
      </c>
    </row>
    <row r="837" spans="1:3" x14ac:dyDescent="0.25">
      <c r="A837" s="19">
        <v>41928</v>
      </c>
      <c r="B837" s="5" t="s">
        <v>645</v>
      </c>
      <c r="C837" s="5">
        <v>58</v>
      </c>
    </row>
    <row r="838" spans="1:3" x14ac:dyDescent="0.25">
      <c r="A838" s="19">
        <v>41862</v>
      </c>
      <c r="B838" s="5" t="s">
        <v>665</v>
      </c>
      <c r="C838" s="5">
        <v>55</v>
      </c>
    </row>
    <row r="839" spans="1:3" x14ac:dyDescent="0.25">
      <c r="A839" s="19">
        <v>41973</v>
      </c>
      <c r="B839" s="5" t="s">
        <v>671</v>
      </c>
      <c r="C839" s="5">
        <v>72</v>
      </c>
    </row>
    <row r="840" spans="1:3" x14ac:dyDescent="0.25">
      <c r="A840" s="19">
        <v>41912</v>
      </c>
      <c r="B840" s="5" t="s">
        <v>744</v>
      </c>
      <c r="C840" s="5">
        <v>54</v>
      </c>
    </row>
    <row r="841" spans="1:3" x14ac:dyDescent="0.25">
      <c r="A841" s="19">
        <v>41912</v>
      </c>
      <c r="B841" s="5" t="s">
        <v>679</v>
      </c>
      <c r="C841" s="5">
        <v>62</v>
      </c>
    </row>
    <row r="842" spans="1:3" x14ac:dyDescent="0.25">
      <c r="A842" s="19">
        <v>41999</v>
      </c>
      <c r="B842" s="5" t="s">
        <v>666</v>
      </c>
      <c r="C842" s="5">
        <v>10</v>
      </c>
    </row>
    <row r="843" spans="1:3" x14ac:dyDescent="0.25">
      <c r="A843" s="19">
        <v>41912</v>
      </c>
      <c r="B843" s="5" t="s">
        <v>688</v>
      </c>
      <c r="C843" s="5">
        <v>15</v>
      </c>
    </row>
    <row r="844" spans="1:3" x14ac:dyDescent="0.25">
      <c r="A844" s="19">
        <v>41950</v>
      </c>
      <c r="B844" s="5" t="s">
        <v>744</v>
      </c>
      <c r="C844" s="5">
        <v>17</v>
      </c>
    </row>
    <row r="845" spans="1:3" x14ac:dyDescent="0.25">
      <c r="A845" s="19">
        <v>41884</v>
      </c>
      <c r="B845" s="5" t="s">
        <v>691</v>
      </c>
      <c r="C845" s="5">
        <v>48</v>
      </c>
    </row>
    <row r="846" spans="1:3" x14ac:dyDescent="0.25">
      <c r="A846" s="19">
        <v>41802</v>
      </c>
      <c r="B846" s="5" t="s">
        <v>680</v>
      </c>
      <c r="C846" s="5">
        <v>15</v>
      </c>
    </row>
    <row r="847" spans="1:3" x14ac:dyDescent="0.25">
      <c r="A847" s="19">
        <v>41957</v>
      </c>
      <c r="B847" s="5" t="s">
        <v>677</v>
      </c>
      <c r="C847" s="5">
        <v>20</v>
      </c>
    </row>
    <row r="848" spans="1:3" x14ac:dyDescent="0.25">
      <c r="A848" s="19">
        <v>41948</v>
      </c>
      <c r="B848" s="5" t="s">
        <v>742</v>
      </c>
      <c r="C848" s="5">
        <v>64</v>
      </c>
    </row>
    <row r="849" spans="1:3" x14ac:dyDescent="0.25">
      <c r="A849" s="19">
        <v>41811</v>
      </c>
      <c r="B849" s="5" t="s">
        <v>689</v>
      </c>
      <c r="C849" s="5">
        <v>0</v>
      </c>
    </row>
    <row r="850" spans="1:3" x14ac:dyDescent="0.25">
      <c r="A850" s="19">
        <v>41836</v>
      </c>
      <c r="B850" s="5" t="s">
        <v>707</v>
      </c>
      <c r="C850" s="5">
        <v>71</v>
      </c>
    </row>
    <row r="851" spans="1:3" x14ac:dyDescent="0.25">
      <c r="A851" s="19">
        <v>41887</v>
      </c>
      <c r="B851" s="5" t="s">
        <v>660</v>
      </c>
      <c r="C851" s="5">
        <v>12</v>
      </c>
    </row>
    <row r="852" spans="1:3" x14ac:dyDescent="0.25">
      <c r="A852" s="19">
        <v>41869</v>
      </c>
      <c r="B852" s="5" t="s">
        <v>718</v>
      </c>
      <c r="C852" s="5">
        <v>22</v>
      </c>
    </row>
    <row r="853" spans="1:3" x14ac:dyDescent="0.25">
      <c r="A853" s="19">
        <v>41960</v>
      </c>
      <c r="B853" s="5" t="s">
        <v>724</v>
      </c>
      <c r="C853" s="5">
        <v>62</v>
      </c>
    </row>
    <row r="854" spans="1:3" x14ac:dyDescent="0.25">
      <c r="A854" s="19">
        <v>41850</v>
      </c>
      <c r="B854" s="5" t="s">
        <v>701</v>
      </c>
      <c r="C854" s="5">
        <v>25</v>
      </c>
    </row>
    <row r="855" spans="1:3" x14ac:dyDescent="0.25">
      <c r="A855" s="19">
        <v>41888</v>
      </c>
      <c r="B855" s="5" t="s">
        <v>645</v>
      </c>
      <c r="C855" s="5">
        <v>61</v>
      </c>
    </row>
    <row r="856" spans="1:3" x14ac:dyDescent="0.25">
      <c r="A856" s="19">
        <v>41967</v>
      </c>
      <c r="B856" s="5" t="s">
        <v>669</v>
      </c>
      <c r="C856" s="5">
        <v>41</v>
      </c>
    </row>
    <row r="857" spans="1:3" x14ac:dyDescent="0.25">
      <c r="A857" s="19">
        <v>41922</v>
      </c>
      <c r="B857" s="5" t="s">
        <v>687</v>
      </c>
      <c r="C857" s="5">
        <v>13</v>
      </c>
    </row>
    <row r="858" spans="1:3" x14ac:dyDescent="0.25">
      <c r="A858" s="19">
        <v>41835</v>
      </c>
      <c r="B858" s="5" t="s">
        <v>672</v>
      </c>
      <c r="C858" s="5">
        <v>72</v>
      </c>
    </row>
    <row r="859" spans="1:3" x14ac:dyDescent="0.25">
      <c r="A859" s="19">
        <v>41826</v>
      </c>
      <c r="B859" s="5" t="s">
        <v>741</v>
      </c>
      <c r="C859" s="5">
        <v>52</v>
      </c>
    </row>
    <row r="860" spans="1:3" x14ac:dyDescent="0.25">
      <c r="A860" s="19">
        <v>41807</v>
      </c>
      <c r="B860" s="5" t="s">
        <v>745</v>
      </c>
      <c r="C860" s="5">
        <v>17</v>
      </c>
    </row>
    <row r="861" spans="1:3" x14ac:dyDescent="0.25">
      <c r="A861" s="19">
        <v>41966</v>
      </c>
      <c r="B861" s="5" t="s">
        <v>735</v>
      </c>
      <c r="C861" s="5">
        <v>59</v>
      </c>
    </row>
    <row r="862" spans="1:3" x14ac:dyDescent="0.25">
      <c r="A862" s="19">
        <v>41880</v>
      </c>
      <c r="B862" s="5" t="s">
        <v>728</v>
      </c>
      <c r="C862" s="5">
        <v>45</v>
      </c>
    </row>
    <row r="863" spans="1:3" x14ac:dyDescent="0.25">
      <c r="A863" s="19">
        <v>41897</v>
      </c>
      <c r="B863" s="5" t="s">
        <v>731</v>
      </c>
      <c r="C863" s="5">
        <v>69</v>
      </c>
    </row>
    <row r="864" spans="1:3" x14ac:dyDescent="0.25">
      <c r="A864" s="19">
        <v>41914</v>
      </c>
      <c r="B864" s="5" t="s">
        <v>664</v>
      </c>
      <c r="C864" s="5">
        <v>19</v>
      </c>
    </row>
    <row r="865" spans="1:3" x14ac:dyDescent="0.25">
      <c r="A865" s="19">
        <v>41850</v>
      </c>
      <c r="B865" s="5" t="s">
        <v>715</v>
      </c>
      <c r="C865" s="5">
        <v>57</v>
      </c>
    </row>
    <row r="866" spans="1:3" x14ac:dyDescent="0.25">
      <c r="A866" s="19">
        <v>41899</v>
      </c>
      <c r="B866" s="5" t="s">
        <v>677</v>
      </c>
      <c r="C866" s="5">
        <v>42</v>
      </c>
    </row>
    <row r="867" spans="1:3" x14ac:dyDescent="0.25">
      <c r="A867" s="19">
        <v>41834</v>
      </c>
      <c r="B867" s="5" t="s">
        <v>690</v>
      </c>
      <c r="C867" s="5">
        <v>55</v>
      </c>
    </row>
    <row r="868" spans="1:3" x14ac:dyDescent="0.25">
      <c r="A868" s="19">
        <v>41997</v>
      </c>
      <c r="B868" s="5" t="s">
        <v>743</v>
      </c>
      <c r="C868" s="5">
        <v>59</v>
      </c>
    </row>
    <row r="869" spans="1:3" x14ac:dyDescent="0.25">
      <c r="A869" s="19">
        <v>41870</v>
      </c>
      <c r="B869" s="5" t="s">
        <v>720</v>
      </c>
      <c r="C869" s="5">
        <v>27</v>
      </c>
    </row>
    <row r="870" spans="1:3" x14ac:dyDescent="0.25">
      <c r="A870" s="19">
        <v>41999</v>
      </c>
      <c r="B870" s="5" t="s">
        <v>730</v>
      </c>
      <c r="C870" s="5">
        <v>38</v>
      </c>
    </row>
    <row r="871" spans="1:3" x14ac:dyDescent="0.25">
      <c r="A871" s="19">
        <v>41977</v>
      </c>
      <c r="B871" s="5" t="s">
        <v>653</v>
      </c>
      <c r="C871" s="5">
        <v>62</v>
      </c>
    </row>
    <row r="872" spans="1:3" x14ac:dyDescent="0.25">
      <c r="A872" s="19">
        <v>41915</v>
      </c>
      <c r="B872" s="5" t="s">
        <v>736</v>
      </c>
      <c r="C872" s="5">
        <v>4</v>
      </c>
    </row>
    <row r="873" spans="1:3" x14ac:dyDescent="0.25">
      <c r="A873" s="19">
        <v>41859</v>
      </c>
      <c r="B873" s="5" t="s">
        <v>678</v>
      </c>
      <c r="C873" s="5">
        <v>32</v>
      </c>
    </row>
    <row r="874" spans="1:3" x14ac:dyDescent="0.25">
      <c r="A874" s="19">
        <v>41819</v>
      </c>
      <c r="B874" s="5" t="s">
        <v>686</v>
      </c>
      <c r="C874" s="5">
        <v>30</v>
      </c>
    </row>
    <row r="875" spans="1:3" x14ac:dyDescent="0.25">
      <c r="A875" s="19">
        <v>41849</v>
      </c>
      <c r="B875" s="5" t="s">
        <v>651</v>
      </c>
      <c r="C875" s="5">
        <v>16</v>
      </c>
    </row>
    <row r="876" spans="1:3" x14ac:dyDescent="0.25">
      <c r="A876" s="19">
        <v>41883</v>
      </c>
      <c r="B876" s="5" t="s">
        <v>721</v>
      </c>
      <c r="C876" s="5">
        <v>6</v>
      </c>
    </row>
    <row r="877" spans="1:3" x14ac:dyDescent="0.25">
      <c r="A877" s="19">
        <v>41926</v>
      </c>
      <c r="B877" s="5" t="s">
        <v>676</v>
      </c>
      <c r="C877" s="5">
        <v>61</v>
      </c>
    </row>
    <row r="878" spans="1:3" x14ac:dyDescent="0.25">
      <c r="A878" s="19">
        <v>41844</v>
      </c>
      <c r="B878" s="5" t="s">
        <v>647</v>
      </c>
      <c r="C878" s="5">
        <v>46</v>
      </c>
    </row>
    <row r="879" spans="1:3" x14ac:dyDescent="0.25">
      <c r="A879" s="19">
        <v>41906</v>
      </c>
      <c r="B879" s="5" t="s">
        <v>657</v>
      </c>
      <c r="C879" s="5">
        <v>21</v>
      </c>
    </row>
    <row r="880" spans="1:3" x14ac:dyDescent="0.25">
      <c r="A880" s="19">
        <v>41893</v>
      </c>
      <c r="B880" s="5" t="s">
        <v>683</v>
      </c>
      <c r="C880" s="5">
        <v>63</v>
      </c>
    </row>
    <row r="881" spans="1:3" x14ac:dyDescent="0.25">
      <c r="A881" s="19">
        <v>41958</v>
      </c>
      <c r="B881" s="5" t="s">
        <v>736</v>
      </c>
      <c r="C881" s="5">
        <v>58</v>
      </c>
    </row>
    <row r="882" spans="1:3" x14ac:dyDescent="0.25">
      <c r="A882" s="19">
        <v>41985</v>
      </c>
      <c r="B882" s="5" t="s">
        <v>690</v>
      </c>
      <c r="C882" s="5">
        <v>11</v>
      </c>
    </row>
    <row r="883" spans="1:3" x14ac:dyDescent="0.25">
      <c r="A883" s="19">
        <v>41877</v>
      </c>
      <c r="B883" s="5" t="s">
        <v>690</v>
      </c>
      <c r="C883" s="5">
        <v>36</v>
      </c>
    </row>
    <row r="884" spans="1:3" x14ac:dyDescent="0.25">
      <c r="A884" s="19">
        <v>41970</v>
      </c>
      <c r="B884" s="5" t="s">
        <v>719</v>
      </c>
      <c r="C884" s="5">
        <v>2</v>
      </c>
    </row>
    <row r="885" spans="1:3" x14ac:dyDescent="0.25">
      <c r="A885" s="19">
        <v>41867</v>
      </c>
      <c r="B885" s="5" t="s">
        <v>738</v>
      </c>
      <c r="C885" s="5">
        <v>10</v>
      </c>
    </row>
    <row r="886" spans="1:3" x14ac:dyDescent="0.25">
      <c r="A886" s="19">
        <v>41909</v>
      </c>
      <c r="B886" s="5" t="s">
        <v>653</v>
      </c>
      <c r="C886" s="5">
        <v>60</v>
      </c>
    </row>
    <row r="887" spans="1:3" x14ac:dyDescent="0.25">
      <c r="A887" s="19">
        <v>41926</v>
      </c>
      <c r="B887" s="5" t="s">
        <v>723</v>
      </c>
      <c r="C887" s="5">
        <v>25</v>
      </c>
    </row>
    <row r="888" spans="1:3" x14ac:dyDescent="0.25">
      <c r="A888" s="19">
        <v>41955</v>
      </c>
      <c r="B888" s="5" t="s">
        <v>647</v>
      </c>
      <c r="C888" s="5">
        <v>70</v>
      </c>
    </row>
    <row r="889" spans="1:3" x14ac:dyDescent="0.25">
      <c r="A889" s="19">
        <v>41824</v>
      </c>
      <c r="B889" s="5" t="s">
        <v>741</v>
      </c>
      <c r="C889" s="5">
        <v>8</v>
      </c>
    </row>
    <row r="890" spans="1:3" x14ac:dyDescent="0.25">
      <c r="A890" s="19">
        <v>41822</v>
      </c>
      <c r="B890" s="5" t="s">
        <v>689</v>
      </c>
      <c r="C890" s="5">
        <v>71</v>
      </c>
    </row>
    <row r="891" spans="1:3" x14ac:dyDescent="0.25">
      <c r="A891" s="19">
        <v>41863</v>
      </c>
      <c r="B891" s="5" t="s">
        <v>720</v>
      </c>
      <c r="C891" s="5">
        <v>66</v>
      </c>
    </row>
    <row r="892" spans="1:3" x14ac:dyDescent="0.25">
      <c r="A892" s="19">
        <v>41982</v>
      </c>
      <c r="B892" s="5" t="s">
        <v>731</v>
      </c>
      <c r="C892" s="5">
        <v>13</v>
      </c>
    </row>
    <row r="893" spans="1:3" x14ac:dyDescent="0.25">
      <c r="A893" s="19">
        <v>41869</v>
      </c>
      <c r="B893" s="5" t="s">
        <v>676</v>
      </c>
      <c r="C893" s="5">
        <v>4</v>
      </c>
    </row>
    <row r="894" spans="1:3" x14ac:dyDescent="0.25">
      <c r="A894" s="19">
        <v>41986</v>
      </c>
      <c r="B894" s="5" t="s">
        <v>750</v>
      </c>
      <c r="C894" s="5">
        <v>13</v>
      </c>
    </row>
    <row r="895" spans="1:3" x14ac:dyDescent="0.25">
      <c r="A895" s="19">
        <v>41964</v>
      </c>
      <c r="B895" s="5" t="s">
        <v>663</v>
      </c>
      <c r="C895" s="5">
        <v>22</v>
      </c>
    </row>
    <row r="896" spans="1:3" x14ac:dyDescent="0.25">
      <c r="A896" s="19">
        <v>41956</v>
      </c>
      <c r="B896" s="5" t="s">
        <v>678</v>
      </c>
      <c r="C896" s="5">
        <v>2</v>
      </c>
    </row>
    <row r="897" spans="1:3" x14ac:dyDescent="0.25">
      <c r="A897" s="19">
        <v>41965</v>
      </c>
      <c r="B897" s="5" t="s">
        <v>727</v>
      </c>
      <c r="C897" s="5">
        <v>37</v>
      </c>
    </row>
    <row r="898" spans="1:3" x14ac:dyDescent="0.25">
      <c r="A898" s="19">
        <v>41892</v>
      </c>
      <c r="B898" s="5" t="s">
        <v>670</v>
      </c>
      <c r="C898" s="5">
        <v>46</v>
      </c>
    </row>
    <row r="899" spans="1:3" x14ac:dyDescent="0.25">
      <c r="A899" s="19">
        <v>41860</v>
      </c>
      <c r="B899" s="5" t="s">
        <v>714</v>
      </c>
      <c r="C899" s="5">
        <v>45</v>
      </c>
    </row>
    <row r="900" spans="1:3" x14ac:dyDescent="0.25">
      <c r="A900" s="19">
        <v>41866</v>
      </c>
      <c r="B900" s="5" t="s">
        <v>687</v>
      </c>
      <c r="C900" s="5">
        <v>34</v>
      </c>
    </row>
    <row r="901" spans="1:3" x14ac:dyDescent="0.25">
      <c r="A901" s="19">
        <v>41817</v>
      </c>
      <c r="B901" s="5" t="s">
        <v>684</v>
      </c>
      <c r="C901" s="5">
        <v>12</v>
      </c>
    </row>
    <row r="902" spans="1:3" x14ac:dyDescent="0.25">
      <c r="A902" s="19">
        <v>41873</v>
      </c>
      <c r="B902" s="5" t="s">
        <v>689</v>
      </c>
      <c r="C902" s="5">
        <v>66</v>
      </c>
    </row>
    <row r="903" spans="1:3" x14ac:dyDescent="0.25">
      <c r="A903" s="19">
        <v>41855</v>
      </c>
      <c r="B903" s="5" t="s">
        <v>731</v>
      </c>
      <c r="C903" s="5">
        <v>38</v>
      </c>
    </row>
    <row r="904" spans="1:3" x14ac:dyDescent="0.25">
      <c r="A904" s="19">
        <v>41877</v>
      </c>
      <c r="B904" s="5" t="s">
        <v>740</v>
      </c>
      <c r="C904" s="5">
        <v>9</v>
      </c>
    </row>
    <row r="905" spans="1:3" x14ac:dyDescent="0.25">
      <c r="A905" s="19">
        <v>41823</v>
      </c>
      <c r="B905" s="5" t="s">
        <v>701</v>
      </c>
      <c r="C905" s="5">
        <v>15</v>
      </c>
    </row>
    <row r="906" spans="1:3" x14ac:dyDescent="0.25">
      <c r="A906" s="19">
        <v>41886</v>
      </c>
      <c r="B906" s="5" t="s">
        <v>715</v>
      </c>
      <c r="C906" s="5">
        <v>17</v>
      </c>
    </row>
    <row r="907" spans="1:3" x14ac:dyDescent="0.25">
      <c r="A907" s="19">
        <v>41816</v>
      </c>
      <c r="B907" s="5" t="s">
        <v>712</v>
      </c>
      <c r="C907" s="5">
        <v>21</v>
      </c>
    </row>
    <row r="908" spans="1:3" x14ac:dyDescent="0.25">
      <c r="A908" s="19">
        <v>41968</v>
      </c>
      <c r="B908" s="5" t="s">
        <v>676</v>
      </c>
      <c r="C908" s="5">
        <v>51</v>
      </c>
    </row>
    <row r="909" spans="1:3" x14ac:dyDescent="0.25">
      <c r="A909" s="19">
        <v>41810</v>
      </c>
      <c r="B909" s="5" t="s">
        <v>741</v>
      </c>
      <c r="C909" s="5">
        <v>54</v>
      </c>
    </row>
    <row r="910" spans="1:3" x14ac:dyDescent="0.25">
      <c r="A910" s="19">
        <v>41891</v>
      </c>
      <c r="B910" s="5" t="s">
        <v>659</v>
      </c>
      <c r="C910" s="5">
        <v>0</v>
      </c>
    </row>
    <row r="911" spans="1:3" x14ac:dyDescent="0.25">
      <c r="A911" s="19">
        <v>41801</v>
      </c>
      <c r="B911" s="5" t="s">
        <v>744</v>
      </c>
      <c r="C911" s="5">
        <v>73</v>
      </c>
    </row>
    <row r="912" spans="1:3" x14ac:dyDescent="0.25">
      <c r="A912" s="19">
        <v>41834</v>
      </c>
      <c r="B912" s="5" t="s">
        <v>727</v>
      </c>
      <c r="C912" s="5">
        <v>50</v>
      </c>
    </row>
    <row r="913" spans="1:3" x14ac:dyDescent="0.25">
      <c r="A913" s="19">
        <v>41838</v>
      </c>
      <c r="B913" s="5" t="s">
        <v>667</v>
      </c>
      <c r="C913" s="5">
        <v>45</v>
      </c>
    </row>
    <row r="914" spans="1:3" x14ac:dyDescent="0.25">
      <c r="A914" s="19">
        <v>41850</v>
      </c>
      <c r="B914" s="5" t="s">
        <v>673</v>
      </c>
      <c r="C914" s="5">
        <v>40</v>
      </c>
    </row>
    <row r="915" spans="1:3" x14ac:dyDescent="0.25">
      <c r="A915" s="19">
        <v>41830</v>
      </c>
      <c r="B915" s="5" t="s">
        <v>720</v>
      </c>
      <c r="C915" s="5">
        <v>1</v>
      </c>
    </row>
    <row r="916" spans="1:3" x14ac:dyDescent="0.25">
      <c r="A916" s="19">
        <v>41871</v>
      </c>
      <c r="B916" s="5" t="s">
        <v>740</v>
      </c>
      <c r="C916" s="5">
        <v>48</v>
      </c>
    </row>
    <row r="917" spans="1:3" x14ac:dyDescent="0.25">
      <c r="A917" s="19">
        <v>41869</v>
      </c>
      <c r="B917" s="5" t="s">
        <v>675</v>
      </c>
      <c r="C917" s="5">
        <v>59</v>
      </c>
    </row>
    <row r="918" spans="1:3" x14ac:dyDescent="0.25">
      <c r="A918" s="19">
        <v>41833</v>
      </c>
      <c r="B918" s="5" t="s">
        <v>682</v>
      </c>
      <c r="C918" s="5">
        <v>39</v>
      </c>
    </row>
    <row r="919" spans="1:3" x14ac:dyDescent="0.25">
      <c r="A919" s="19">
        <v>41967</v>
      </c>
      <c r="B919" s="5" t="s">
        <v>680</v>
      </c>
      <c r="C919" s="5">
        <v>51</v>
      </c>
    </row>
    <row r="920" spans="1:3" x14ac:dyDescent="0.25">
      <c r="A920" s="19">
        <v>41842</v>
      </c>
      <c r="B920" s="5" t="s">
        <v>749</v>
      </c>
      <c r="C920" s="5">
        <v>65</v>
      </c>
    </row>
    <row r="921" spans="1:3" x14ac:dyDescent="0.25">
      <c r="A921" s="19">
        <v>41811</v>
      </c>
      <c r="B921" s="5" t="s">
        <v>733</v>
      </c>
      <c r="C921" s="5">
        <v>66</v>
      </c>
    </row>
    <row r="922" spans="1:3" x14ac:dyDescent="0.25">
      <c r="A922" s="19">
        <v>41809</v>
      </c>
      <c r="B922" s="5" t="s">
        <v>748</v>
      </c>
      <c r="C922" s="5">
        <v>53</v>
      </c>
    </row>
    <row r="923" spans="1:3" x14ac:dyDescent="0.25">
      <c r="A923" s="19">
        <v>41970</v>
      </c>
      <c r="B923" s="5" t="s">
        <v>690</v>
      </c>
      <c r="C923" s="5">
        <v>71</v>
      </c>
    </row>
    <row r="924" spans="1:3" x14ac:dyDescent="0.25">
      <c r="A924" s="19">
        <v>41955</v>
      </c>
      <c r="B924" s="5" t="s">
        <v>673</v>
      </c>
      <c r="C924" s="5">
        <v>8</v>
      </c>
    </row>
    <row r="925" spans="1:3" x14ac:dyDescent="0.25">
      <c r="A925" s="19">
        <v>41801</v>
      </c>
      <c r="B925" s="5" t="s">
        <v>651</v>
      </c>
      <c r="C925" s="5">
        <v>58</v>
      </c>
    </row>
    <row r="926" spans="1:3" x14ac:dyDescent="0.25">
      <c r="A926" s="19">
        <v>41808</v>
      </c>
      <c r="B926" s="5" t="s">
        <v>669</v>
      </c>
      <c r="C926" s="5">
        <v>25</v>
      </c>
    </row>
    <row r="927" spans="1:3" x14ac:dyDescent="0.25">
      <c r="A927" s="19">
        <v>41859</v>
      </c>
      <c r="B927" s="5" t="s">
        <v>667</v>
      </c>
      <c r="C927" s="5">
        <v>28</v>
      </c>
    </row>
    <row r="928" spans="1:3" x14ac:dyDescent="0.25">
      <c r="A928" s="19">
        <v>41961</v>
      </c>
      <c r="B928" s="5" t="s">
        <v>724</v>
      </c>
      <c r="C928" s="5">
        <v>67</v>
      </c>
    </row>
    <row r="929" spans="1:3" x14ac:dyDescent="0.25">
      <c r="A929" s="19">
        <v>41809</v>
      </c>
      <c r="B929" s="5" t="s">
        <v>651</v>
      </c>
      <c r="C929" s="5">
        <v>12</v>
      </c>
    </row>
    <row r="930" spans="1:3" x14ac:dyDescent="0.25">
      <c r="A930" s="19">
        <v>41813</v>
      </c>
      <c r="B930" s="5" t="s">
        <v>748</v>
      </c>
      <c r="C930" s="5">
        <v>0</v>
      </c>
    </row>
    <row r="931" spans="1:3" x14ac:dyDescent="0.25">
      <c r="A931" s="19">
        <v>41963</v>
      </c>
      <c r="B931" s="5" t="s">
        <v>682</v>
      </c>
      <c r="C931" s="5">
        <v>46</v>
      </c>
    </row>
    <row r="932" spans="1:3" x14ac:dyDescent="0.25">
      <c r="A932" s="19">
        <v>41901</v>
      </c>
      <c r="B932" s="5" t="s">
        <v>665</v>
      </c>
      <c r="C932" s="5">
        <v>26</v>
      </c>
    </row>
    <row r="933" spans="1:3" x14ac:dyDescent="0.25">
      <c r="A933" s="19">
        <v>41962</v>
      </c>
      <c r="B933" s="5" t="s">
        <v>747</v>
      </c>
      <c r="C933" s="5">
        <v>21</v>
      </c>
    </row>
    <row r="934" spans="1:3" x14ac:dyDescent="0.25">
      <c r="A934" s="19">
        <v>41901</v>
      </c>
      <c r="B934" s="5" t="s">
        <v>688</v>
      </c>
      <c r="C934" s="5">
        <v>6</v>
      </c>
    </row>
    <row r="935" spans="1:3" x14ac:dyDescent="0.25">
      <c r="A935" s="19">
        <v>41985</v>
      </c>
      <c r="B935" s="5" t="s">
        <v>654</v>
      </c>
      <c r="C935" s="5">
        <v>33</v>
      </c>
    </row>
    <row r="936" spans="1:3" x14ac:dyDescent="0.25">
      <c r="A936" s="19">
        <v>41943</v>
      </c>
      <c r="B936" s="5" t="s">
        <v>664</v>
      </c>
      <c r="C936" s="5">
        <v>27</v>
      </c>
    </row>
  </sheetData>
  <dataValidations disablePrompts="1" count="1">
    <dataValidation type="list" allowBlank="1" showInputMessage="1" showErrorMessage="1" sqref="L5">
      <formula1>$AB$5:$AB$8</formula1>
    </dataValidation>
  </dataValidations>
  <pageMargins left="0.7" right="0.7" top="0.75" bottom="0.75" header="0.3" footer="0.3"/>
  <pageSetup orientation="portrait" r:id="rId1"/>
  <drawing r:id="rId2"/>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3">
    <tabColor rgb="FF0000FF"/>
  </sheetPr>
  <dimension ref="A1:G20"/>
  <sheetViews>
    <sheetView zoomScale="145" zoomScaleNormal="145" workbookViewId="0">
      <selection activeCell="E3" sqref="E3"/>
    </sheetView>
  </sheetViews>
  <sheetFormatPr defaultRowHeight="15" x14ac:dyDescent="0.25"/>
  <cols>
    <col min="2" max="2" width="12.28515625" customWidth="1"/>
    <col min="3" max="4" width="11.7109375" customWidth="1"/>
    <col min="5" max="5" width="1.5703125" customWidth="1"/>
  </cols>
  <sheetData>
    <row r="1" spans="1:7" x14ac:dyDescent="0.25">
      <c r="A1" s="23" t="s">
        <v>1755</v>
      </c>
    </row>
    <row r="3" spans="1:7" x14ac:dyDescent="0.25">
      <c r="A3" s="23" t="s">
        <v>759</v>
      </c>
    </row>
    <row r="4" spans="1:7" x14ac:dyDescent="0.25">
      <c r="A4" s="104" t="s">
        <v>21</v>
      </c>
      <c r="B4" s="8" t="s">
        <v>22</v>
      </c>
      <c r="C4" s="8" t="s">
        <v>631</v>
      </c>
      <c r="D4" s="8" t="s">
        <v>632</v>
      </c>
    </row>
    <row r="5" spans="1:7" x14ac:dyDescent="0.25">
      <c r="B5" s="5" t="s">
        <v>27</v>
      </c>
      <c r="C5" s="5">
        <v>400</v>
      </c>
      <c r="D5" s="5">
        <v>1300</v>
      </c>
      <c r="G5" s="8" t="s">
        <v>33</v>
      </c>
    </row>
    <row r="6" spans="1:7" x14ac:dyDescent="0.25">
      <c r="B6" s="8" t="s">
        <v>24</v>
      </c>
      <c r="G6" s="12">
        <f t="array" ref="G6">SUM(IF((B11:B20=B5)+(C11:C20=B7),IF(D11:D20&gt;=C5,IF(D11:D20&lt;=D5,1))))</f>
        <v>4</v>
      </c>
    </row>
    <row r="7" spans="1:7" x14ac:dyDescent="0.25">
      <c r="B7" s="5" t="s">
        <v>32</v>
      </c>
    </row>
    <row r="8" spans="1:7" x14ac:dyDescent="0.25">
      <c r="F8" s="179" t="s">
        <v>761</v>
      </c>
    </row>
    <row r="9" spans="1:7" x14ac:dyDescent="0.25">
      <c r="A9" s="171" t="s">
        <v>619</v>
      </c>
      <c r="F9" s="174" t="s">
        <v>26</v>
      </c>
      <c r="G9" s="47"/>
    </row>
    <row r="10" spans="1:7" x14ac:dyDescent="0.25">
      <c r="A10" s="8" t="s">
        <v>8</v>
      </c>
      <c r="B10" s="8" t="s">
        <v>22</v>
      </c>
      <c r="C10" s="8" t="s">
        <v>24</v>
      </c>
      <c r="D10" s="8" t="s">
        <v>25</v>
      </c>
      <c r="F10" s="8" t="s">
        <v>8</v>
      </c>
      <c r="G10" s="8" t="s">
        <v>25</v>
      </c>
    </row>
    <row r="11" spans="1:7" x14ac:dyDescent="0.25">
      <c r="A11" s="13">
        <v>41484</v>
      </c>
      <c r="B11" s="5" t="s">
        <v>27</v>
      </c>
      <c r="C11" s="5" t="s">
        <v>28</v>
      </c>
      <c r="D11" s="5">
        <v>929</v>
      </c>
      <c r="F11" s="12">
        <f t="array" ref="F11">IF(ROWS(F$11:F11)&gt;$G$6,"",INDEX($A$11:$D$20,SMALL(IF(($B$11:$B$20=$B$5)+($C$11:$C$20=$B$7),IF($D$11:$D$20&gt;=$C$5,IF($D$11:$D$20&lt;=$D$5,ROW($D$11:$D$20)-ROW($D$11)+1))),ROWS(F$11:F11)),MATCH(F$10,$A$10:$D$10,0)))</f>
        <v>41484</v>
      </c>
      <c r="G11" s="12">
        <f t="array" ref="G11">IF(ROWS(G$11:G11)&gt;$G$6,"",INDEX($A$11:$D$20,SMALL(IF(($B$11:$B$20=$B$5)+($C$11:$C$20=$B$7),IF($D$11:$D$20&gt;=$C$5,IF($D$11:$D$20&lt;=$D$5,ROW($D$11:$D$20)-ROW($D$11)+1))),ROWS(G$11:G11)),MATCH(G$10,$A$10:$D$10,0)))</f>
        <v>929</v>
      </c>
    </row>
    <row r="12" spans="1:7" x14ac:dyDescent="0.25">
      <c r="A12" s="13">
        <v>40946</v>
      </c>
      <c r="B12" s="5" t="s">
        <v>23</v>
      </c>
      <c r="C12" s="5" t="s">
        <v>30</v>
      </c>
      <c r="D12" s="5">
        <v>681</v>
      </c>
      <c r="F12" s="15">
        <f t="array" ref="F12">IF(ROWS(F$11:F12)&gt;$G$6,"",INDEX($A$11:$D$20,SMALL(IF(($B$11:$B$20=$B$5)+($C$11:$C$20=$B$7),IF($D$11:$D$20&gt;=$C$5,IF($D$11:$D$20&lt;=$D$5,ROW($D$11:$D$20)-ROW($D$11)+1))),ROWS(F$11:F12)),MATCH(F$10,$A$10:$D$10,0)))</f>
        <v>41013</v>
      </c>
      <c r="G12" s="12">
        <f t="array" ref="G12">IF(ROWS(G$11:G12)&gt;$G$6,"",INDEX($A$11:$D$20,SMALL(IF(($B$11:$B$20=$B$5)+($C$11:$C$20=$B$7),IF($D$11:$D$20&gt;=$C$5,IF($D$11:$D$20&lt;=$D$5,ROW($D$11:$D$20)-ROW($D$11)+1))),ROWS(G$11:G12)),MATCH(G$10,$A$10:$D$10,0)))</f>
        <v>530</v>
      </c>
    </row>
    <row r="13" spans="1:7" x14ac:dyDescent="0.25">
      <c r="A13" s="13">
        <v>41175</v>
      </c>
      <c r="B13" s="5" t="s">
        <v>31</v>
      </c>
      <c r="C13" s="14" t="s">
        <v>32</v>
      </c>
      <c r="D13" s="5">
        <v>1393</v>
      </c>
      <c r="F13" s="15">
        <f t="array" ref="F13">IF(ROWS(F$11:F13)&gt;$G$6,"",INDEX($A$11:$D$20,SMALL(IF(($B$11:$B$20=$B$5)+($C$11:$C$20=$B$7),IF($D$11:$D$20&gt;=$C$5,IF($D$11:$D$20&lt;=$D$5,ROW($D$11:$D$20)-ROW($D$11)+1))),ROWS(F$11:F13)),MATCH(F$10,$A$10:$D$10,0)))</f>
        <v>41216</v>
      </c>
      <c r="G13" s="12">
        <f t="array" ref="G13">IF(ROWS(G$11:G13)&gt;$G$6,"",INDEX($A$11:$D$20,SMALL(IF(($B$11:$B$20=$B$5)+($C$11:$C$20=$B$7),IF($D$11:$D$20&gt;=$C$5,IF($D$11:$D$20&lt;=$D$5,ROW($D$11:$D$20)-ROW($D$11)+1))),ROWS(G$11:G13)),MATCH(G$10,$A$10:$D$10,0)))</f>
        <v>436</v>
      </c>
    </row>
    <row r="14" spans="1:7" x14ac:dyDescent="0.25">
      <c r="A14" s="13">
        <v>41013</v>
      </c>
      <c r="B14" s="5" t="s">
        <v>27</v>
      </c>
      <c r="C14" s="14" t="s">
        <v>28</v>
      </c>
      <c r="D14" s="5">
        <v>530</v>
      </c>
      <c r="F14" s="15">
        <f t="array" ref="F14">IF(ROWS(F$11:F14)&gt;$G$6,"",INDEX($A$11:$D$20,SMALL(IF(($B$11:$B$20=$B$5)+($C$11:$C$20=$B$7),IF($D$11:$D$20&gt;=$C$5,IF($D$11:$D$20&lt;=$D$5,ROW($D$11:$D$20)-ROW($D$11)+1))),ROWS(F$11:F14)),MATCH(F$10,$A$10:$D$10,0)))</f>
        <v>41103</v>
      </c>
      <c r="G14" s="12">
        <f t="array" ref="G14">IF(ROWS(G$11:G14)&gt;$G$6,"",INDEX($A$11:$D$20,SMALL(IF(($B$11:$B$20=$B$5)+($C$11:$C$20=$B$7),IF($D$11:$D$20&gt;=$C$5,IF($D$11:$D$20&lt;=$D$5,ROW($D$11:$D$20)-ROW($D$11)+1))),ROWS(G$11:G14)),MATCH(G$10,$A$10:$D$10,0)))</f>
        <v>1206</v>
      </c>
    </row>
    <row r="15" spans="1:7" x14ac:dyDescent="0.25">
      <c r="A15" s="13">
        <v>41116</v>
      </c>
      <c r="B15" s="5" t="s">
        <v>23</v>
      </c>
      <c r="C15" s="14" t="s">
        <v>28</v>
      </c>
      <c r="D15" s="5">
        <v>1058</v>
      </c>
      <c r="F15" s="15" t="str">
        <f t="array" ref="F15">IF(ROWS(F$11:F15)&gt;$G$6,"",INDEX($A$11:$D$20,SMALL(IF(($B$11:$B$20=$B$5)+($C$11:$C$20=$B$7),IF($D$11:$D$20&gt;=$C$5,IF($D$11:$D$20&lt;=$D$5,ROW($D$11:$D$20)-ROW($D$11)+1))),ROWS(F$11:F15)),MATCH(F$10,$A$10:$D$10,0)))</f>
        <v/>
      </c>
      <c r="G15" s="12" t="str">
        <f t="array" ref="G15">IF(ROWS(G$11:G15)&gt;$G$6,"",INDEX($A$11:$D$20,SMALL(IF(($B$11:$B$20=$B$5)+($C$11:$C$20=$B$7),IF($D$11:$D$20&gt;=$C$5,IF($D$11:$D$20&lt;=$D$5,ROW($D$11:$D$20)-ROW($D$11)+1))),ROWS(G$11:G15)),MATCH(G$10,$A$10:$D$10,0)))</f>
        <v/>
      </c>
    </row>
    <row r="16" spans="1:7" x14ac:dyDescent="0.25">
      <c r="A16" s="13">
        <v>41559</v>
      </c>
      <c r="B16" s="5" t="s">
        <v>31</v>
      </c>
      <c r="C16" s="14" t="s">
        <v>30</v>
      </c>
      <c r="D16" s="5">
        <v>1023</v>
      </c>
      <c r="F16" s="15" t="str">
        <f t="array" ref="F16">IF(ROWS(F$11:F16)&gt;$G$6,"",INDEX($A$11:$D$20,SMALL(IF(($B$11:$B$20=$B$5)+($C$11:$C$20=$B$7),IF($D$11:$D$20&gt;=$C$5,IF($D$11:$D$20&lt;=$D$5,ROW($D$11:$D$20)-ROW($D$11)+1))),ROWS(F$11:F16)),MATCH(F$10,$A$10:$D$10,0)))</f>
        <v/>
      </c>
      <c r="G16" s="12" t="str">
        <f t="array" ref="G16">IF(ROWS(G$11:G16)&gt;$G$6,"",INDEX($A$11:$D$20,SMALL(IF(($B$11:$B$20=$B$5)+($C$11:$C$20=$B$7),IF($D$11:$D$20&gt;=$C$5,IF($D$11:$D$20&lt;=$D$5,ROW($D$11:$D$20)-ROW($D$11)+1))),ROWS(G$11:G16)),MATCH(G$10,$A$10:$D$10,0)))</f>
        <v/>
      </c>
    </row>
    <row r="17" spans="1:4" x14ac:dyDescent="0.25">
      <c r="A17" s="13">
        <v>41216</v>
      </c>
      <c r="B17" s="5" t="s">
        <v>27</v>
      </c>
      <c r="C17" s="14" t="s">
        <v>32</v>
      </c>
      <c r="D17" s="5">
        <v>436</v>
      </c>
    </row>
    <row r="18" spans="1:4" x14ac:dyDescent="0.25">
      <c r="A18" s="13">
        <v>41520</v>
      </c>
      <c r="B18" s="5" t="s">
        <v>27</v>
      </c>
      <c r="C18" s="14" t="s">
        <v>32</v>
      </c>
      <c r="D18" s="5">
        <v>1311</v>
      </c>
    </row>
    <row r="19" spans="1:4" x14ac:dyDescent="0.25">
      <c r="A19" s="13">
        <v>41022</v>
      </c>
      <c r="B19" s="5" t="s">
        <v>31</v>
      </c>
      <c r="C19" s="14" t="s">
        <v>32</v>
      </c>
      <c r="D19" s="5">
        <v>368</v>
      </c>
    </row>
    <row r="20" spans="1:4" x14ac:dyDescent="0.25">
      <c r="A20" s="13">
        <v>41103</v>
      </c>
      <c r="B20" s="5" t="s">
        <v>27</v>
      </c>
      <c r="C20" s="14" t="s">
        <v>28</v>
      </c>
      <c r="D20" s="5">
        <v>1206</v>
      </c>
    </row>
  </sheetData>
  <pageMargins left="0.7" right="0.7" top="0.75" bottom="0.75" header="0.3" footer="0.3"/>
  <drawing r:id="rId1"/>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4">
    <tabColor rgb="FF0000FF"/>
  </sheetPr>
  <dimension ref="A1:H20"/>
  <sheetViews>
    <sheetView zoomScale="145" zoomScaleNormal="145" workbookViewId="0">
      <selection activeCell="E3" sqref="E3"/>
    </sheetView>
  </sheetViews>
  <sheetFormatPr defaultRowHeight="15" x14ac:dyDescent="0.25"/>
  <cols>
    <col min="3" max="3" width="12.5703125" customWidth="1"/>
    <col min="5" max="5" width="2.28515625" customWidth="1"/>
    <col min="6" max="6" width="9.140625" customWidth="1"/>
    <col min="7" max="7" width="10.140625" customWidth="1"/>
    <col min="8" max="8" width="9.7109375" bestFit="1" customWidth="1"/>
  </cols>
  <sheetData>
    <row r="1" spans="1:8" x14ac:dyDescent="0.25">
      <c r="A1" s="23" t="s">
        <v>1756</v>
      </c>
    </row>
    <row r="3" spans="1:8" x14ac:dyDescent="0.25">
      <c r="A3" s="167" t="s">
        <v>760</v>
      </c>
    </row>
    <row r="4" spans="1:8" ht="26.25" x14ac:dyDescent="0.25">
      <c r="A4" s="104" t="s">
        <v>21</v>
      </c>
      <c r="B4" s="8" t="s">
        <v>22</v>
      </c>
      <c r="C4" s="177" t="str">
        <f>"Units Divisable by "&amp;C5</f>
        <v>Units Divisable by 5</v>
      </c>
      <c r="F4" s="8" t="s">
        <v>33</v>
      </c>
    </row>
    <row r="5" spans="1:8" x14ac:dyDescent="0.25">
      <c r="B5" s="5" t="s">
        <v>27</v>
      </c>
      <c r="C5" s="5">
        <v>5</v>
      </c>
      <c r="E5" s="178"/>
      <c r="F5" s="6">
        <f>SUMPRODUCT(--(MOD($D$11:$D$20,$C$5)=0),--(($B$11:$B$20=$B$5)+($C$11:$C$20=$B$7)&gt;0))</f>
        <v>2</v>
      </c>
    </row>
    <row r="6" spans="1:8" x14ac:dyDescent="0.25">
      <c r="B6" s="8" t="s">
        <v>24</v>
      </c>
    </row>
    <row r="7" spans="1:8" x14ac:dyDescent="0.25">
      <c r="B7" s="5" t="s">
        <v>32</v>
      </c>
    </row>
    <row r="9" spans="1:8" x14ac:dyDescent="0.25">
      <c r="A9" s="171" t="s">
        <v>619</v>
      </c>
      <c r="F9" s="174" t="s">
        <v>26</v>
      </c>
      <c r="G9" s="47"/>
    </row>
    <row r="10" spans="1:8" x14ac:dyDescent="0.25">
      <c r="A10" s="8" t="s">
        <v>8</v>
      </c>
      <c r="B10" s="8" t="s">
        <v>22</v>
      </c>
      <c r="C10" s="8" t="s">
        <v>24</v>
      </c>
      <c r="D10" s="8" t="s">
        <v>25</v>
      </c>
      <c r="F10" s="8" t="s">
        <v>29</v>
      </c>
      <c r="G10" s="8" t="s">
        <v>8</v>
      </c>
      <c r="H10" s="8" t="s">
        <v>25</v>
      </c>
    </row>
    <row r="11" spans="1:8" x14ac:dyDescent="0.25">
      <c r="A11" s="13">
        <v>41484</v>
      </c>
      <c r="B11" s="5" t="s">
        <v>27</v>
      </c>
      <c r="C11" s="5" t="s">
        <v>28</v>
      </c>
      <c r="D11" s="5">
        <v>929</v>
      </c>
      <c r="F11" s="5">
        <v>1</v>
      </c>
      <c r="G11" s="140">
        <f t="shared" ref="G11:H14" si="0">IF($F11&gt;$F$5,"",INDEX($A$11:$D$20,_xlfn.AGGREGATE(15,6,(ROW($D$11:$D$20)-ROW($D$11)+1)/((MOD($D$11:$D$20,$C$5)=0)*(($B$11:$B$20=$B$5)+($C$11:$C$20=$B$7)&gt;0)),$F11),MATCH(G$10,$A$10:$D$10,0)))</f>
        <v>41013</v>
      </c>
      <c r="H11" s="27">
        <f t="shared" si="0"/>
        <v>530</v>
      </c>
    </row>
    <row r="12" spans="1:8" x14ac:dyDescent="0.25">
      <c r="A12" s="13">
        <v>40946</v>
      </c>
      <c r="B12" s="5" t="s">
        <v>23</v>
      </c>
      <c r="C12" s="5" t="s">
        <v>30</v>
      </c>
      <c r="D12" s="5">
        <v>681</v>
      </c>
      <c r="F12" s="5">
        <v>2</v>
      </c>
      <c r="G12" s="140">
        <f t="shared" si="0"/>
        <v>41103</v>
      </c>
      <c r="H12" s="27">
        <f t="shared" si="0"/>
        <v>1205</v>
      </c>
    </row>
    <row r="13" spans="1:8" x14ac:dyDescent="0.25">
      <c r="A13" s="13">
        <v>41175</v>
      </c>
      <c r="B13" s="5" t="s">
        <v>31</v>
      </c>
      <c r="C13" s="14" t="s">
        <v>32</v>
      </c>
      <c r="D13" s="5">
        <v>1393</v>
      </c>
      <c r="F13" s="5">
        <v>3</v>
      </c>
      <c r="G13" s="140" t="str">
        <f t="shared" si="0"/>
        <v/>
      </c>
      <c r="H13" s="27" t="str">
        <f t="shared" si="0"/>
        <v/>
      </c>
    </row>
    <row r="14" spans="1:8" x14ac:dyDescent="0.25">
      <c r="A14" s="13">
        <v>41013</v>
      </c>
      <c r="B14" s="5" t="s">
        <v>27</v>
      </c>
      <c r="C14" s="14" t="s">
        <v>28</v>
      </c>
      <c r="D14" s="5">
        <v>530</v>
      </c>
      <c r="F14" s="14">
        <v>4</v>
      </c>
      <c r="G14" s="140" t="str">
        <f t="shared" si="0"/>
        <v/>
      </c>
      <c r="H14" s="27" t="str">
        <f t="shared" si="0"/>
        <v/>
      </c>
    </row>
    <row r="15" spans="1:8" x14ac:dyDescent="0.25">
      <c r="A15" s="13">
        <v>41116</v>
      </c>
      <c r="B15" s="5" t="s">
        <v>23</v>
      </c>
      <c r="C15" s="14" t="s">
        <v>28</v>
      </c>
      <c r="D15" s="5">
        <v>1000</v>
      </c>
    </row>
    <row r="16" spans="1:8" x14ac:dyDescent="0.25">
      <c r="A16" s="13">
        <v>41559</v>
      </c>
      <c r="B16" s="5" t="s">
        <v>31</v>
      </c>
      <c r="C16" s="14" t="s">
        <v>30</v>
      </c>
      <c r="D16" s="5">
        <v>1025</v>
      </c>
    </row>
    <row r="17" spans="1:4" x14ac:dyDescent="0.25">
      <c r="A17" s="13">
        <v>41216</v>
      </c>
      <c r="B17" s="5" t="s">
        <v>27</v>
      </c>
      <c r="C17" s="14" t="s">
        <v>32</v>
      </c>
      <c r="D17" s="5">
        <v>436</v>
      </c>
    </row>
    <row r="18" spans="1:4" x14ac:dyDescent="0.25">
      <c r="A18" s="13">
        <v>41520</v>
      </c>
      <c r="B18" s="5" t="s">
        <v>27</v>
      </c>
      <c r="C18" s="14" t="s">
        <v>32</v>
      </c>
      <c r="D18" s="5">
        <v>1311</v>
      </c>
    </row>
    <row r="19" spans="1:4" x14ac:dyDescent="0.25">
      <c r="A19" s="13">
        <v>41022</v>
      </c>
      <c r="B19" s="5" t="s">
        <v>31</v>
      </c>
      <c r="C19" s="14" t="s">
        <v>32</v>
      </c>
      <c r="D19" s="5">
        <v>368</v>
      </c>
    </row>
    <row r="20" spans="1:4" x14ac:dyDescent="0.25">
      <c r="A20" s="13">
        <v>41103</v>
      </c>
      <c r="B20" s="5" t="s">
        <v>27</v>
      </c>
      <c r="C20" s="14" t="s">
        <v>28</v>
      </c>
      <c r="D20" s="5">
        <v>1205</v>
      </c>
    </row>
  </sheetData>
  <pageMargins left="0.7" right="0.7" top="0.75" bottom="0.75" header="0.3" footer="0.3"/>
  <drawing r:id="rId1"/>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5">
    <tabColor rgb="FF0000FF"/>
  </sheetPr>
  <dimension ref="A1:F26"/>
  <sheetViews>
    <sheetView zoomScale="130" zoomScaleNormal="130" workbookViewId="0">
      <selection activeCell="E3" sqref="E3"/>
    </sheetView>
  </sheetViews>
  <sheetFormatPr defaultRowHeight="15" x14ac:dyDescent="0.25"/>
  <cols>
    <col min="2" max="2" width="2.5703125" customWidth="1"/>
    <col min="4" max="4" width="2.5703125" customWidth="1"/>
    <col min="5" max="5" width="18.28515625" customWidth="1"/>
  </cols>
  <sheetData>
    <row r="1" spans="1:6" x14ac:dyDescent="0.25">
      <c r="A1" s="23" t="s">
        <v>1757</v>
      </c>
    </row>
    <row r="3" spans="1:6" x14ac:dyDescent="0.25">
      <c r="A3" s="23" t="s">
        <v>771</v>
      </c>
    </row>
    <row r="4" spans="1:6" x14ac:dyDescent="0.25">
      <c r="A4" s="8" t="s">
        <v>762</v>
      </c>
      <c r="C4" s="8" t="s">
        <v>763</v>
      </c>
      <c r="E4" s="8" t="s">
        <v>33</v>
      </c>
    </row>
    <row r="5" spans="1:6" x14ac:dyDescent="0.25">
      <c r="A5" s="5" t="s">
        <v>764</v>
      </c>
      <c r="C5" s="5" t="s">
        <v>765</v>
      </c>
      <c r="E5" s="6">
        <f>SUMPRODUCT(--(ISNA(MATCH($C$5:$C$9,$A$5:$A$8,0))))</f>
        <v>3</v>
      </c>
    </row>
    <row r="6" spans="1:6" x14ac:dyDescent="0.25">
      <c r="A6" s="5" t="s">
        <v>765</v>
      </c>
      <c r="C6" s="5" t="s">
        <v>766</v>
      </c>
    </row>
    <row r="7" spans="1:6" x14ac:dyDescent="0.25">
      <c r="A7" s="5" t="s">
        <v>259</v>
      </c>
      <c r="C7" s="5" t="s">
        <v>768</v>
      </c>
      <c r="E7" s="168" t="s">
        <v>26</v>
      </c>
    </row>
    <row r="8" spans="1:6" ht="45" x14ac:dyDescent="0.25">
      <c r="A8" s="5" t="s">
        <v>768</v>
      </c>
      <c r="C8" s="5" t="s">
        <v>769</v>
      </c>
      <c r="E8" s="180" t="s">
        <v>767</v>
      </c>
      <c r="F8" s="179" t="s">
        <v>761</v>
      </c>
    </row>
    <row r="9" spans="1:6" x14ac:dyDescent="0.25">
      <c r="C9" s="5" t="s">
        <v>770</v>
      </c>
      <c r="E9" s="136" t="str">
        <f t="array" ref="E9">IF(ROWS(E$9:E9)&gt;$E$5,"",INDEX($C$5:$C$9,
SMALL(IF(ISNA(MATCH($C$5:$C$9,$A$5:$A$8,0)),
ROW($C$5:$C$9)-ROW($C$5)+1),ROWS(E$9:E9))))</f>
        <v>Gigi</v>
      </c>
    </row>
    <row r="10" spans="1:6" x14ac:dyDescent="0.25">
      <c r="E10" s="136" t="str">
        <f t="array" ref="E10">IF(ROWS(E$9:E10)&gt;$E$5,"",INDEX($C$5:$C$9,
SMALL(IF(ISNA(MATCH($C$5:$C$9,$A$5:$A$8,0)),
ROW($C$5:$C$9)-ROW($C$5)+1),ROWS(E$9:E10))))</f>
        <v>Omar</v>
      </c>
    </row>
    <row r="11" spans="1:6" x14ac:dyDescent="0.25">
      <c r="E11" s="136" t="str">
        <f t="array" ref="E11">IF(ROWS(E$9:E11)&gt;$E$5,"",INDEX($C$5:$C$9,
SMALL(IF(ISNA(MATCH($C$5:$C$9,$A$5:$A$8,0)),
ROW($C$5:$C$9)-ROW($C$5)+1),ROWS(E$9:E11))))</f>
        <v>Tina</v>
      </c>
    </row>
    <row r="12" spans="1:6" x14ac:dyDescent="0.25">
      <c r="E12" s="136" t="str">
        <f t="array" ref="E12">IF(ROWS(E$9:E12)&gt;$E$5,"",INDEX($C$5:$C$9,
SMALL(IF(ISNA(MATCH($C$5:$C$9,$A$5:$A$8,0)),
ROW($C$5:$C$9)-ROW($C$5)+1),ROWS(E$9:E12))))</f>
        <v/>
      </c>
    </row>
    <row r="13" spans="1:6" x14ac:dyDescent="0.25">
      <c r="E13" s="136" t="str">
        <f t="array" ref="E13">IF(ROWS(E$9:E13)&gt;$E$5,"",INDEX($C$5:$C$9,
SMALL(IF(ISNA(MATCH($C$5:$C$9,$A$5:$A$8,0)),
ROW($C$5:$C$9)-ROW($C$5)+1),ROWS(E$9:E13))))</f>
        <v/>
      </c>
    </row>
    <row r="16" spans="1:6" x14ac:dyDescent="0.25">
      <c r="A16" s="23" t="s">
        <v>772</v>
      </c>
    </row>
    <row r="17" spans="1:6" x14ac:dyDescent="0.25">
      <c r="A17" s="8" t="s">
        <v>762</v>
      </c>
      <c r="C17" s="8" t="s">
        <v>763</v>
      </c>
      <c r="E17" s="8" t="s">
        <v>33</v>
      </c>
    </row>
    <row r="18" spans="1:6" x14ac:dyDescent="0.25">
      <c r="A18" s="5" t="s">
        <v>764</v>
      </c>
      <c r="C18" s="5" t="s">
        <v>765</v>
      </c>
      <c r="E18" s="6">
        <f>SUMPRODUCT(--(ISNUMBER(MATCH($C$18:$C$22,$A$18:$A$21,0))))</f>
        <v>2</v>
      </c>
    </row>
    <row r="19" spans="1:6" x14ac:dyDescent="0.25">
      <c r="A19" s="5" t="s">
        <v>765</v>
      </c>
      <c r="C19" s="5" t="s">
        <v>766</v>
      </c>
    </row>
    <row r="20" spans="1:6" x14ac:dyDescent="0.25">
      <c r="A20" s="5" t="s">
        <v>259</v>
      </c>
      <c r="C20" s="5" t="s">
        <v>768</v>
      </c>
      <c r="E20" s="168" t="s">
        <v>26</v>
      </c>
    </row>
    <row r="21" spans="1:6" ht="30" x14ac:dyDescent="0.25">
      <c r="A21" s="5" t="s">
        <v>768</v>
      </c>
      <c r="C21" s="5" t="s">
        <v>769</v>
      </c>
      <c r="E21" s="180" t="s">
        <v>767</v>
      </c>
      <c r="F21" s="179" t="s">
        <v>761</v>
      </c>
    </row>
    <row r="22" spans="1:6" x14ac:dyDescent="0.25">
      <c r="C22" s="5" t="s">
        <v>770</v>
      </c>
      <c r="E22" s="136" t="str">
        <f t="array" ref="E22">IF(ROWS(E$22:E22)&gt;$E$18,"",INDEX($C$18:$C$22,
SMALL(IF(ISNUMBER(MATCH($C$18:$C$22,$A$18:$A$21,0)),
ROW($C$18:$C$22)-ROW($C$18)+1),ROWS(E$22:E22))))</f>
        <v>Cynthia</v>
      </c>
    </row>
    <row r="23" spans="1:6" x14ac:dyDescent="0.25">
      <c r="E23" s="136" t="str">
        <f t="array" ref="E23">IF(ROWS(E$22:E23)&gt;$E$18,"",INDEX($C$18:$C$22,
SMALL(IF(ISNUMBER(MATCH($C$18:$C$22,$A$18:$A$21,0)),
ROW($C$18:$C$22)-ROW($C$18)+1),ROWS(E$22:E23))))</f>
        <v>Timmy</v>
      </c>
    </row>
    <row r="24" spans="1:6" x14ac:dyDescent="0.25">
      <c r="E24" s="136" t="str">
        <f t="array" ref="E24">IF(ROWS(E$22:E24)&gt;$E$18,"",INDEX($C$18:$C$22,
SMALL(IF(ISNUMBER(MATCH($C$18:$C$22,$A$18:$A$21,0)),
ROW($C$18:$C$22)-ROW($C$18)+1),ROWS(E$22:E24))))</f>
        <v/>
      </c>
    </row>
    <row r="25" spans="1:6" x14ac:dyDescent="0.25">
      <c r="E25" s="136" t="str">
        <f t="array" ref="E25">IF(ROWS(E$22:E25)&gt;$E$18,"",INDEX($C$18:$C$22,
SMALL(IF(ISNUMBER(MATCH($C$18:$C$22,$A$18:$A$21,0)),
ROW($C$18:$C$22)-ROW($C$18)+1),ROWS(E$22:E25))))</f>
        <v/>
      </c>
    </row>
    <row r="26" spans="1:6" x14ac:dyDescent="0.25">
      <c r="E26" s="136" t="str">
        <f t="array" ref="E26">IF(ROWS(E$22:E26)&gt;$E$18,"",INDEX($C$18:$C$22,
SMALL(IF(ISNUMBER(MATCH($C$18:$C$22,$A$18:$A$21,0)),
ROW($C$18:$C$22)-ROW($C$18)+1),ROWS(E$22:E26))))</f>
        <v/>
      </c>
    </row>
  </sheetData>
  <pageMargins left="0.7" right="0.7" top="0.75" bottom="0.75" header="0.3" footer="0.3"/>
  <drawing r:id="rId1"/>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6">
    <tabColor rgb="FF0000FF"/>
  </sheetPr>
  <dimension ref="A1:L20"/>
  <sheetViews>
    <sheetView zoomScale="160" zoomScaleNormal="160" workbookViewId="0">
      <selection activeCell="E3" sqref="E3"/>
    </sheetView>
  </sheetViews>
  <sheetFormatPr defaultRowHeight="15" x14ac:dyDescent="0.25"/>
  <cols>
    <col min="2" max="2" width="8.28515625" customWidth="1"/>
    <col min="4" max="4" width="5.7109375" customWidth="1"/>
    <col min="5" max="5" width="1.7109375" customWidth="1"/>
    <col min="6" max="6" width="5.140625" customWidth="1"/>
    <col min="11" max="11" width="1.7109375" customWidth="1"/>
  </cols>
  <sheetData>
    <row r="1" spans="1:12" x14ac:dyDescent="0.25">
      <c r="A1" s="23" t="s">
        <v>776</v>
      </c>
    </row>
    <row r="2" spans="1:12" x14ac:dyDescent="0.25">
      <c r="A2" s="104" t="s">
        <v>21</v>
      </c>
      <c r="B2" s="8" t="s">
        <v>22</v>
      </c>
      <c r="G2" s="11" t="s">
        <v>33</v>
      </c>
    </row>
    <row r="3" spans="1:12" x14ac:dyDescent="0.25">
      <c r="B3" s="5" t="s">
        <v>27</v>
      </c>
      <c r="G3" s="12">
        <f>COUNTIF(B9:B18,B3)+COUNTIF(B9:B18,B4)</f>
        <v>7</v>
      </c>
      <c r="H3" s="23" t="s">
        <v>1758</v>
      </c>
    </row>
    <row r="4" spans="1:12" x14ac:dyDescent="0.25">
      <c r="B4" s="5" t="s">
        <v>23</v>
      </c>
    </row>
    <row r="6" spans="1:12" x14ac:dyDescent="0.25">
      <c r="A6" s="23" t="s">
        <v>777</v>
      </c>
      <c r="F6" s="23" t="s">
        <v>1759</v>
      </c>
    </row>
    <row r="7" spans="1:12" x14ac:dyDescent="0.25">
      <c r="A7" s="171" t="s">
        <v>619</v>
      </c>
    </row>
    <row r="8" spans="1:12" x14ac:dyDescent="0.25">
      <c r="A8" s="8" t="s">
        <v>8</v>
      </c>
      <c r="B8" s="8" t="s">
        <v>22</v>
      </c>
      <c r="C8" s="8" t="s">
        <v>24</v>
      </c>
      <c r="D8" s="8" t="s">
        <v>25</v>
      </c>
      <c r="F8" s="184" t="s">
        <v>26</v>
      </c>
      <c r="G8" s="132"/>
    </row>
    <row r="9" spans="1:12" x14ac:dyDescent="0.25">
      <c r="A9" s="13">
        <v>41484</v>
      </c>
      <c r="B9" s="5" t="s">
        <v>27</v>
      </c>
      <c r="C9" s="5" t="s">
        <v>28</v>
      </c>
      <c r="D9" s="5">
        <v>929</v>
      </c>
      <c r="F9" s="8" t="s">
        <v>775</v>
      </c>
      <c r="G9" s="8" t="s">
        <v>8</v>
      </c>
      <c r="H9" s="8" t="s">
        <v>22</v>
      </c>
      <c r="I9" s="8" t="s">
        <v>24</v>
      </c>
      <c r="J9" s="8" t="s">
        <v>25</v>
      </c>
      <c r="L9" s="153" t="s">
        <v>774</v>
      </c>
    </row>
    <row r="10" spans="1:12" x14ac:dyDescent="0.25">
      <c r="A10" s="13">
        <v>40946</v>
      </c>
      <c r="B10" s="5" t="s">
        <v>23</v>
      </c>
      <c r="C10" s="5" t="s">
        <v>30</v>
      </c>
      <c r="D10" s="5">
        <v>681</v>
      </c>
      <c r="F10" s="5">
        <v>1</v>
      </c>
      <c r="G10" s="15">
        <f t="shared" ref="G10:G18" si="0">IF($L10="","",INDEX(A$9:A$18,$L10))</f>
        <v>41484</v>
      </c>
      <c r="H10" s="6" t="str">
        <f t="shared" ref="H10:H18" si="1">IF($L10="","",INDEX(B$9:B$18,$L10))</f>
        <v>West</v>
      </c>
      <c r="I10" s="6" t="str">
        <f t="shared" ref="I10:I18" si="2">IF($L10="","",INDEX(C$9:C$18,$L10))</f>
        <v>WFMI</v>
      </c>
      <c r="J10" s="6">
        <f t="shared" ref="J10:J18" si="3">IF($L10="","",INDEX(D$9:D$18,$L10))</f>
        <v>929</v>
      </c>
      <c r="L10" s="6">
        <f t="shared" ref="L10:L18" si="4">IF(F10&gt;$G$3,"",_xlfn.AGGREGATE(15,6,(ROW($A$9:$A$18)-ROW($A$9)+1)/ISNUMBER(MATCH($B$9:$B$18,$B$3:$B$4,0)),F10))</f>
        <v>1</v>
      </c>
    </row>
    <row r="11" spans="1:12" x14ac:dyDescent="0.25">
      <c r="A11" s="13">
        <v>41175</v>
      </c>
      <c r="B11" s="5" t="s">
        <v>31</v>
      </c>
      <c r="C11" s="14" t="s">
        <v>32</v>
      </c>
      <c r="D11" s="5">
        <v>1393</v>
      </c>
      <c r="F11" s="5">
        <v>2</v>
      </c>
      <c r="G11" s="15">
        <f t="shared" si="0"/>
        <v>40946</v>
      </c>
      <c r="H11" s="6" t="str">
        <f t="shared" si="1"/>
        <v>East</v>
      </c>
      <c r="I11" s="6" t="str">
        <f t="shared" si="2"/>
        <v>SW</v>
      </c>
      <c r="J11" s="6">
        <f t="shared" si="3"/>
        <v>681</v>
      </c>
      <c r="L11" s="6">
        <f t="shared" si="4"/>
        <v>2</v>
      </c>
    </row>
    <row r="12" spans="1:12" x14ac:dyDescent="0.25">
      <c r="A12" s="13">
        <v>41013</v>
      </c>
      <c r="B12" s="5" t="s">
        <v>27</v>
      </c>
      <c r="C12" s="14" t="s">
        <v>28</v>
      </c>
      <c r="D12" s="5">
        <v>530</v>
      </c>
      <c r="F12" s="5">
        <v>3</v>
      </c>
      <c r="G12" s="15">
        <f t="shared" si="0"/>
        <v>41013</v>
      </c>
      <c r="H12" s="6" t="str">
        <f t="shared" si="1"/>
        <v>West</v>
      </c>
      <c r="I12" s="6" t="str">
        <f t="shared" si="2"/>
        <v>WFMI</v>
      </c>
      <c r="J12" s="6">
        <f t="shared" si="3"/>
        <v>530</v>
      </c>
      <c r="L12" s="6">
        <f t="shared" si="4"/>
        <v>4</v>
      </c>
    </row>
    <row r="13" spans="1:12" x14ac:dyDescent="0.25">
      <c r="A13" s="13">
        <v>41116</v>
      </c>
      <c r="B13" s="5" t="s">
        <v>23</v>
      </c>
      <c r="C13" s="14" t="s">
        <v>28</v>
      </c>
      <c r="D13" s="5">
        <v>1058</v>
      </c>
      <c r="F13" s="5">
        <v>4</v>
      </c>
      <c r="G13" s="15">
        <f t="shared" si="0"/>
        <v>41116</v>
      </c>
      <c r="H13" s="6" t="str">
        <f t="shared" si="1"/>
        <v>East</v>
      </c>
      <c r="I13" s="6" t="str">
        <f t="shared" si="2"/>
        <v>WFMI</v>
      </c>
      <c r="J13" s="6">
        <f t="shared" si="3"/>
        <v>1058</v>
      </c>
      <c r="L13" s="6">
        <f t="shared" si="4"/>
        <v>5</v>
      </c>
    </row>
    <row r="14" spans="1:12" x14ac:dyDescent="0.25">
      <c r="A14" s="13">
        <v>41559</v>
      </c>
      <c r="B14" s="5" t="s">
        <v>31</v>
      </c>
      <c r="C14" s="14" t="s">
        <v>30</v>
      </c>
      <c r="D14" s="5">
        <v>1023</v>
      </c>
      <c r="F14" s="5">
        <v>5</v>
      </c>
      <c r="G14" s="15">
        <f t="shared" si="0"/>
        <v>41216</v>
      </c>
      <c r="H14" s="6" t="str">
        <f t="shared" si="1"/>
        <v>West</v>
      </c>
      <c r="I14" s="6" t="str">
        <f t="shared" si="2"/>
        <v>K</v>
      </c>
      <c r="J14" s="6">
        <f t="shared" si="3"/>
        <v>436</v>
      </c>
      <c r="L14" s="6">
        <f t="shared" si="4"/>
        <v>7</v>
      </c>
    </row>
    <row r="15" spans="1:12" x14ac:dyDescent="0.25">
      <c r="A15" s="13">
        <v>41216</v>
      </c>
      <c r="B15" s="5" t="s">
        <v>27</v>
      </c>
      <c r="C15" s="14" t="s">
        <v>32</v>
      </c>
      <c r="D15" s="5">
        <v>436</v>
      </c>
      <c r="F15" s="5">
        <v>6</v>
      </c>
      <c r="G15" s="15">
        <f t="shared" si="0"/>
        <v>41520</v>
      </c>
      <c r="H15" s="6" t="str">
        <f t="shared" si="1"/>
        <v>West</v>
      </c>
      <c r="I15" s="6" t="str">
        <f t="shared" si="2"/>
        <v>K</v>
      </c>
      <c r="J15" s="6">
        <f t="shared" si="3"/>
        <v>1311</v>
      </c>
      <c r="L15" s="6">
        <f t="shared" si="4"/>
        <v>8</v>
      </c>
    </row>
    <row r="16" spans="1:12" x14ac:dyDescent="0.25">
      <c r="A16" s="13">
        <v>41520</v>
      </c>
      <c r="B16" s="5" t="s">
        <v>27</v>
      </c>
      <c r="C16" s="14" t="s">
        <v>32</v>
      </c>
      <c r="D16" s="5">
        <v>1311</v>
      </c>
      <c r="F16" s="5">
        <v>7</v>
      </c>
      <c r="G16" s="15">
        <f t="shared" si="0"/>
        <v>41103</v>
      </c>
      <c r="H16" s="6" t="str">
        <f t="shared" si="1"/>
        <v>West</v>
      </c>
      <c r="I16" s="6" t="str">
        <f t="shared" si="2"/>
        <v>WFMI</v>
      </c>
      <c r="J16" s="6">
        <f t="shared" si="3"/>
        <v>1206</v>
      </c>
      <c r="L16" s="6">
        <f t="shared" si="4"/>
        <v>10</v>
      </c>
    </row>
    <row r="17" spans="1:12" x14ac:dyDescent="0.25">
      <c r="A17" s="13">
        <v>41022</v>
      </c>
      <c r="B17" s="5" t="s">
        <v>31</v>
      </c>
      <c r="C17" s="14" t="s">
        <v>32</v>
      </c>
      <c r="D17" s="5">
        <v>368</v>
      </c>
      <c r="F17" s="5">
        <v>8</v>
      </c>
      <c r="G17" s="15" t="str">
        <f t="shared" si="0"/>
        <v/>
      </c>
      <c r="H17" s="6" t="str">
        <f t="shared" si="1"/>
        <v/>
      </c>
      <c r="I17" s="6" t="str">
        <f t="shared" si="2"/>
        <v/>
      </c>
      <c r="J17" s="6" t="str">
        <f t="shared" si="3"/>
        <v/>
      </c>
      <c r="L17" s="6" t="str">
        <f t="shared" si="4"/>
        <v/>
      </c>
    </row>
    <row r="18" spans="1:12" x14ac:dyDescent="0.25">
      <c r="A18" s="13">
        <v>41103</v>
      </c>
      <c r="B18" s="5" t="s">
        <v>27</v>
      </c>
      <c r="C18" s="14" t="s">
        <v>28</v>
      </c>
      <c r="D18" s="5">
        <v>1206</v>
      </c>
      <c r="F18" s="5">
        <v>9</v>
      </c>
      <c r="G18" s="15" t="str">
        <f t="shared" si="0"/>
        <v/>
      </c>
      <c r="H18" s="6" t="str">
        <f t="shared" si="1"/>
        <v/>
      </c>
      <c r="I18" s="6" t="str">
        <f t="shared" si="2"/>
        <v/>
      </c>
      <c r="J18" s="6" t="str">
        <f t="shared" si="3"/>
        <v/>
      </c>
      <c r="L18" s="6" t="str">
        <f t="shared" si="4"/>
        <v/>
      </c>
    </row>
    <row r="20" spans="1:12" x14ac:dyDescent="0.25">
      <c r="G20" s="183" t="s">
        <v>773</v>
      </c>
      <c r="H20" s="182"/>
      <c r="I20" s="182"/>
      <c r="J20" s="182"/>
      <c r="K20" s="182"/>
      <c r="L20" s="181"/>
    </row>
  </sheetData>
  <pageMargins left="0.7" right="0.7" top="0.75" bottom="0.75" header="0.3" footer="0.3"/>
  <pageSetup orientation="portrait" r:id="rId1"/>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7">
    <tabColor rgb="FF0000FF"/>
  </sheetPr>
  <dimension ref="A1:R26"/>
  <sheetViews>
    <sheetView zoomScale="160" zoomScaleNormal="160" workbookViewId="0">
      <selection activeCell="E3" sqref="E3"/>
    </sheetView>
  </sheetViews>
  <sheetFormatPr defaultRowHeight="15" x14ac:dyDescent="0.25"/>
  <cols>
    <col min="1" max="1" width="8.5703125" customWidth="1"/>
    <col min="2" max="2" width="6.28515625" bestFit="1" customWidth="1"/>
    <col min="3" max="3" width="8.5703125" bestFit="1" customWidth="1"/>
    <col min="4" max="4" width="1.85546875" customWidth="1"/>
    <col min="5" max="5" width="10.5703125" bestFit="1" customWidth="1"/>
    <col min="6" max="6" width="1.42578125" customWidth="1"/>
  </cols>
  <sheetData>
    <row r="1" spans="1:18" x14ac:dyDescent="0.25">
      <c r="A1" s="23" t="s">
        <v>1760</v>
      </c>
    </row>
    <row r="2" spans="1:18" x14ac:dyDescent="0.25">
      <c r="A2" s="23"/>
    </row>
    <row r="3" spans="1:18" x14ac:dyDescent="0.25">
      <c r="A3" t="s">
        <v>784</v>
      </c>
    </row>
    <row r="4" spans="1:18" x14ac:dyDescent="0.25">
      <c r="A4" s="185" t="s">
        <v>619</v>
      </c>
      <c r="I4" s="8" t="s">
        <v>33</v>
      </c>
    </row>
    <row r="5" spans="1:18" x14ac:dyDescent="0.25">
      <c r="A5" s="8" t="s">
        <v>8</v>
      </c>
      <c r="B5" s="8" t="s">
        <v>778</v>
      </c>
      <c r="C5" s="8" t="s">
        <v>782</v>
      </c>
      <c r="E5" s="26" t="s">
        <v>412</v>
      </c>
      <c r="I5" s="6">
        <f>SUMPRODUCT(--ISNUMBER(MATCH(ContactNames,$E$7:$E$11,0)))</f>
        <v>6</v>
      </c>
      <c r="R5" s="8" t="s">
        <v>778</v>
      </c>
    </row>
    <row r="6" spans="1:18" x14ac:dyDescent="0.25">
      <c r="A6" s="19">
        <v>41751</v>
      </c>
      <c r="B6" s="5" t="s">
        <v>259</v>
      </c>
      <c r="C6" s="5">
        <v>29</v>
      </c>
      <c r="E6" s="8" t="s">
        <v>778</v>
      </c>
      <c r="G6" s="73" t="s">
        <v>783</v>
      </c>
      <c r="R6" t="s">
        <v>258</v>
      </c>
    </row>
    <row r="7" spans="1:18" x14ac:dyDescent="0.25">
      <c r="A7" s="19">
        <v>41761</v>
      </c>
      <c r="B7" s="5" t="s">
        <v>259</v>
      </c>
      <c r="C7" s="5">
        <v>10</v>
      </c>
      <c r="E7" s="5" t="s">
        <v>259</v>
      </c>
      <c r="G7" s="8" t="s">
        <v>8</v>
      </c>
      <c r="H7" s="8" t="s">
        <v>778</v>
      </c>
      <c r="I7" s="8" t="s">
        <v>782</v>
      </c>
      <c r="R7" t="s">
        <v>259</v>
      </c>
    </row>
    <row r="8" spans="1:18" x14ac:dyDescent="0.25">
      <c r="A8" s="19">
        <v>41763</v>
      </c>
      <c r="B8" s="5" t="s">
        <v>780</v>
      </c>
      <c r="C8" s="5">
        <v>51</v>
      </c>
      <c r="E8" s="5" t="s">
        <v>780</v>
      </c>
      <c r="G8" s="186">
        <f>IF(ROWS(G$8:G8)&gt;$I$5,"",INDEX(ContactsTable,_xlfn.AGGREGATE(15,6,(ROW(ContactNames)-ROW($B$6)+1)/ISNUMBER(MATCH(ContactNames,$E$7:$E$11,0)),ROWS(G$8:G8)),COLUMNS($G8:G8)))</f>
        <v>41751</v>
      </c>
      <c r="H8" s="6" t="str">
        <f>IF(ROWS(H$8:H8)&gt;$I$5,"",INDEX(ContactsTable,_xlfn.AGGREGATE(15,6,(ROW(ContactNames)-ROW($B$6)+1)/ISNUMBER(MATCH(ContactNames,$E$7:$E$11,0)),ROWS(H$8:H8)),COLUMNS($G8:H8)))</f>
        <v>Mo</v>
      </c>
      <c r="I8" s="6">
        <f>IF(ROWS(I$8:I8)&gt;$I$5,"",INDEX(ContactsTable,_xlfn.AGGREGATE(15,6,(ROW(ContactNames)-ROW($B$6)+1)/ISNUMBER(MATCH(ContactNames,$E$7:$E$11,0)),ROWS(I$8:I8)),COLUMNS($G8:I8)))</f>
        <v>29</v>
      </c>
      <c r="R8" t="s">
        <v>779</v>
      </c>
    </row>
    <row r="9" spans="1:18" x14ac:dyDescent="0.25">
      <c r="A9" s="19">
        <v>41769</v>
      </c>
      <c r="B9" s="5" t="s">
        <v>770</v>
      </c>
      <c r="C9" s="5">
        <v>14</v>
      </c>
      <c r="E9" s="5"/>
      <c r="G9" s="186">
        <f>IF(ROWS(G$8:G9)&gt;$I$5,"",INDEX(ContactsTable,_xlfn.AGGREGATE(15,6,(ROW(ContactNames)-ROW($B$6)+1)/ISNUMBER(MATCH(ContactNames,$E$7:$E$11,0)),ROWS(G$8:G9)),COLUMNS($G9:G9)))</f>
        <v>41761</v>
      </c>
      <c r="H9" s="6" t="str">
        <f>IF(ROWS(H$8:H9)&gt;$I$5,"",INDEX(ContactsTable,_xlfn.AGGREGATE(15,6,(ROW(ContactNames)-ROW($B$6)+1)/ISNUMBER(MATCH(ContactNames,$E$7:$E$11,0)),ROWS(H$8:H9)),COLUMNS($G9:H9)))</f>
        <v>Mo</v>
      </c>
      <c r="I9" s="6">
        <f>IF(ROWS(I$8:I9)&gt;$I$5,"",INDEX(ContactsTable,_xlfn.AGGREGATE(15,6,(ROW(ContactNames)-ROW($B$6)+1)/ISNUMBER(MATCH(ContactNames,$E$7:$E$11,0)),ROWS(I$8:I9)),COLUMNS($G9:I9)))</f>
        <v>10</v>
      </c>
      <c r="R9" t="s">
        <v>92</v>
      </c>
    </row>
    <row r="10" spans="1:18" x14ac:dyDescent="0.25">
      <c r="A10" s="19">
        <v>41769</v>
      </c>
      <c r="B10" s="5" t="s">
        <v>92</v>
      </c>
      <c r="C10" s="5">
        <v>42</v>
      </c>
      <c r="E10" s="5"/>
      <c r="G10" s="186">
        <f>IF(ROWS(G$8:G10)&gt;$I$5,"",INDEX(ContactsTable,_xlfn.AGGREGATE(15,6,(ROW(ContactNames)-ROW($B$6)+1)/ISNUMBER(MATCH(ContactNames,$E$7:$E$11,0)),ROWS(G$8:G10)),COLUMNS($G10:G10)))</f>
        <v>41763</v>
      </c>
      <c r="H10" s="6" t="str">
        <f>IF(ROWS(H$8:H10)&gt;$I$5,"",INDEX(ContactsTable,_xlfn.AGGREGATE(15,6,(ROW(ContactNames)-ROW($B$6)+1)/ISNUMBER(MATCH(ContactNames,$E$7:$E$11,0)),ROWS(H$8:H10)),COLUMNS($G10:H10)))</f>
        <v>Jane</v>
      </c>
      <c r="I10" s="6">
        <f>IF(ROWS(I$8:I10)&gt;$I$5,"",INDEX(ContactsTable,_xlfn.AGGREGATE(15,6,(ROW(ContactNames)-ROW($B$6)+1)/ISNUMBER(MATCH(ContactNames,$E$7:$E$11,0)),ROWS(I$8:I10)),COLUMNS($G10:I10)))</f>
        <v>51</v>
      </c>
      <c r="R10" t="s">
        <v>770</v>
      </c>
    </row>
    <row r="11" spans="1:18" x14ac:dyDescent="0.25">
      <c r="A11" s="19">
        <v>41769</v>
      </c>
      <c r="B11" s="5" t="s">
        <v>779</v>
      </c>
      <c r="C11" s="5">
        <v>2</v>
      </c>
      <c r="E11" s="5"/>
      <c r="G11" s="186">
        <f>IF(ROWS(G$8:G11)&gt;$I$5,"",INDEX(ContactsTable,_xlfn.AGGREGATE(15,6,(ROW(ContactNames)-ROW($B$6)+1)/ISNUMBER(MATCH(ContactNames,$E$7:$E$11,0)),ROWS(G$8:G11)),COLUMNS($G11:G11)))</f>
        <v>41781</v>
      </c>
      <c r="H11" s="6" t="str">
        <f>IF(ROWS(H$8:H11)&gt;$I$5,"",INDEX(ContactsTable,_xlfn.AGGREGATE(15,6,(ROW(ContactNames)-ROW($B$6)+1)/ISNUMBER(MATCH(ContactNames,$E$7:$E$11,0)),ROWS(H$8:H11)),COLUMNS($G11:H11)))</f>
        <v>Jane</v>
      </c>
      <c r="I11" s="6">
        <f>IF(ROWS(I$8:I11)&gt;$I$5,"",INDEX(ContactsTable,_xlfn.AGGREGATE(15,6,(ROW(ContactNames)-ROW($B$6)+1)/ISNUMBER(MATCH(ContactNames,$E$7:$E$11,0)),ROWS(I$8:I11)),COLUMNS($G11:I11)))</f>
        <v>13</v>
      </c>
      <c r="R11" t="s">
        <v>780</v>
      </c>
    </row>
    <row r="12" spans="1:18" x14ac:dyDescent="0.25">
      <c r="A12" s="19">
        <v>41781</v>
      </c>
      <c r="B12" s="5" t="s">
        <v>780</v>
      </c>
      <c r="C12" s="5">
        <v>13</v>
      </c>
      <c r="G12" s="186">
        <f>IF(ROWS(G$8:G12)&gt;$I$5,"",INDEX(ContactsTable,_xlfn.AGGREGATE(15,6,(ROW(ContactNames)-ROW($B$6)+1)/ISNUMBER(MATCH(ContactNames,$E$7:$E$11,0)),ROWS(G$8:G12)),COLUMNS($G12:G12)))</f>
        <v>41782</v>
      </c>
      <c r="H12" s="6" t="str">
        <f>IF(ROWS(H$8:H12)&gt;$I$5,"",INDEX(ContactsTable,_xlfn.AGGREGATE(15,6,(ROW(ContactNames)-ROW($B$6)+1)/ISNUMBER(MATCH(ContactNames,$E$7:$E$11,0)),ROWS(H$8:H12)),COLUMNS($G12:H12)))</f>
        <v>Mo</v>
      </c>
      <c r="I12" s="6">
        <f>IF(ROWS(I$8:I12)&gt;$I$5,"",INDEX(ContactsTable,_xlfn.AGGREGATE(15,6,(ROW(ContactNames)-ROW($B$6)+1)/ISNUMBER(MATCH(ContactNames,$E$7:$E$11,0)),ROWS(I$8:I12)),COLUMNS($G12:I12)))</f>
        <v>43</v>
      </c>
      <c r="R12" t="s">
        <v>766</v>
      </c>
    </row>
    <row r="13" spans="1:18" x14ac:dyDescent="0.25">
      <c r="A13" s="19">
        <v>41782</v>
      </c>
      <c r="B13" s="5" t="s">
        <v>259</v>
      </c>
      <c r="C13" s="5">
        <v>43</v>
      </c>
      <c r="G13" s="186">
        <f>IF(ROWS(G$8:G13)&gt;$I$5,"",INDEX(ContactsTable,_xlfn.AGGREGATE(15,6,(ROW(ContactNames)-ROW($B$6)+1)/ISNUMBER(MATCH(ContactNames,$E$7:$E$11,0)),ROWS(G$8:G13)),COLUMNS($G13:G13)))</f>
        <v>41786</v>
      </c>
      <c r="H13" s="6" t="str">
        <f>IF(ROWS(H$8:H13)&gt;$I$5,"",INDEX(ContactsTable,_xlfn.AGGREGATE(15,6,(ROW(ContactNames)-ROW($B$6)+1)/ISNUMBER(MATCH(ContactNames,$E$7:$E$11,0)),ROWS(H$8:H13)),COLUMNS($G13:H13)))</f>
        <v>Jane</v>
      </c>
      <c r="I13" s="6">
        <f>IF(ROWS(I$8:I13)&gt;$I$5,"",INDEX(ContactsTable,_xlfn.AGGREGATE(15,6,(ROW(ContactNames)-ROW($B$6)+1)/ISNUMBER(MATCH(ContactNames,$E$7:$E$11,0)),ROWS(I$8:I13)),COLUMNS($G13:I13)))</f>
        <v>96</v>
      </c>
      <c r="R13" t="s">
        <v>781</v>
      </c>
    </row>
    <row r="14" spans="1:18" x14ac:dyDescent="0.25">
      <c r="A14" s="19">
        <v>41786</v>
      </c>
      <c r="B14" s="5" t="s">
        <v>780</v>
      </c>
      <c r="C14" s="5">
        <v>96</v>
      </c>
      <c r="G14" s="186" t="str">
        <f>IF(ROWS(G$8:G14)&gt;$I$5,"",INDEX(ContactsTable,_xlfn.AGGREGATE(15,6,(ROW(ContactNames)-ROW($B$6)+1)/ISNUMBER(MATCH(ContactNames,$E$7:$E$11,0)),ROWS(G$8:G14)),COLUMNS($G14:G14)))</f>
        <v/>
      </c>
      <c r="H14" s="6" t="str">
        <f>IF(ROWS(H$8:H14)&gt;$I$5,"",INDEX(ContactsTable,_xlfn.AGGREGATE(15,6,(ROW(ContactNames)-ROW($B$6)+1)/ISNUMBER(MATCH(ContactNames,$E$7:$E$11,0)),ROWS(H$8:H14)),COLUMNS($G14:H14)))</f>
        <v/>
      </c>
      <c r="I14" s="6" t="str">
        <f>IF(ROWS(I$8:I14)&gt;$I$5,"",INDEX(ContactsTable,_xlfn.AGGREGATE(15,6,(ROW(ContactNames)-ROW($B$6)+1)/ISNUMBER(MATCH(ContactNames,$E$7:$E$11,0)),ROWS(I$8:I14)),COLUMNS($G14:I14)))</f>
        <v/>
      </c>
    </row>
    <row r="15" spans="1:18" x14ac:dyDescent="0.25">
      <c r="A15" s="5"/>
      <c r="B15" s="5"/>
      <c r="C15" s="5"/>
      <c r="G15" s="186" t="str">
        <f>IF(ROWS(G$8:G15)&gt;$I$5,"",INDEX(ContactsTable,_xlfn.AGGREGATE(15,6,(ROW(ContactNames)-ROW($B$6)+1)/ISNUMBER(MATCH(ContactNames,$E$7:$E$11,0)),ROWS(G$8:G15)),COLUMNS($G15:G15)))</f>
        <v/>
      </c>
      <c r="H15" s="6" t="str">
        <f>IF(ROWS(H$8:H15)&gt;$I$5,"",INDEX(ContactsTable,_xlfn.AGGREGATE(15,6,(ROW(ContactNames)-ROW($B$6)+1)/ISNUMBER(MATCH(ContactNames,$E$7:$E$11,0)),ROWS(H$8:H15)),COLUMNS($G15:H15)))</f>
        <v/>
      </c>
      <c r="I15" s="6" t="str">
        <f>IF(ROWS(I$8:I15)&gt;$I$5,"",INDEX(ContactsTable,_xlfn.AGGREGATE(15,6,(ROW(ContactNames)-ROW($B$6)+1)/ISNUMBER(MATCH(ContactNames,$E$7:$E$11,0)),ROWS(I$8:I15)),COLUMNS($G15:I15)))</f>
        <v/>
      </c>
    </row>
    <row r="16" spans="1:18" x14ac:dyDescent="0.25">
      <c r="A16" s="5"/>
      <c r="B16" s="5"/>
      <c r="C16" s="5"/>
      <c r="G16" s="186" t="str">
        <f>IF(ROWS(G$8:G16)&gt;$I$5,"",INDEX(ContactsTable,_xlfn.AGGREGATE(15,6,(ROW(ContactNames)-ROW($B$6)+1)/ISNUMBER(MATCH(ContactNames,$E$7:$E$11,0)),ROWS(G$8:G16)),COLUMNS($G16:G16)))</f>
        <v/>
      </c>
      <c r="H16" s="6" t="str">
        <f>IF(ROWS(H$8:H16)&gt;$I$5,"",INDEX(ContactsTable,_xlfn.AGGREGATE(15,6,(ROW(ContactNames)-ROW($B$6)+1)/ISNUMBER(MATCH(ContactNames,$E$7:$E$11,0)),ROWS(H$8:H16)),COLUMNS($G16:H16)))</f>
        <v/>
      </c>
      <c r="I16" s="6" t="str">
        <f>IF(ROWS(I$8:I16)&gt;$I$5,"",INDEX(ContactsTable,_xlfn.AGGREGATE(15,6,(ROW(ContactNames)-ROW($B$6)+1)/ISNUMBER(MATCH(ContactNames,$E$7:$E$11,0)),ROWS(I$8:I16)),COLUMNS($G16:I16)))</f>
        <v/>
      </c>
    </row>
    <row r="17" spans="1:9" x14ac:dyDescent="0.25">
      <c r="A17" s="5"/>
      <c r="B17" s="5"/>
      <c r="C17" s="5"/>
      <c r="G17" s="186" t="str">
        <f>IF(ROWS(G$8:G17)&gt;$I$5,"",INDEX(ContactsTable,_xlfn.AGGREGATE(15,6,(ROW(ContactNames)-ROW($B$6)+1)/ISNUMBER(MATCH(ContactNames,$E$7:$E$11,0)),ROWS(G$8:G17)),COLUMNS($G17:G17)))</f>
        <v/>
      </c>
      <c r="H17" s="6" t="str">
        <f>IF(ROWS(H$8:H17)&gt;$I$5,"",INDEX(ContactsTable,_xlfn.AGGREGATE(15,6,(ROW(ContactNames)-ROW($B$6)+1)/ISNUMBER(MATCH(ContactNames,$E$7:$E$11,0)),ROWS(H$8:H17)),COLUMNS($G17:H17)))</f>
        <v/>
      </c>
      <c r="I17" s="6" t="str">
        <f>IF(ROWS(I$8:I17)&gt;$I$5,"",INDEX(ContactsTable,_xlfn.AGGREGATE(15,6,(ROW(ContactNames)-ROW($B$6)+1)/ISNUMBER(MATCH(ContactNames,$E$7:$E$11,0)),ROWS(I$8:I17)),COLUMNS($G17:I17)))</f>
        <v/>
      </c>
    </row>
    <row r="18" spans="1:9" x14ac:dyDescent="0.25">
      <c r="A18" s="5"/>
      <c r="B18" s="5"/>
      <c r="C18" s="5"/>
      <c r="G18" s="186" t="str">
        <f>IF(ROWS(G$8:G18)&gt;$I$5,"",INDEX(ContactsTable,_xlfn.AGGREGATE(15,6,(ROW(ContactNames)-ROW($B$6)+1)/ISNUMBER(MATCH(ContactNames,$E$7:$E$11,0)),ROWS(G$8:G18)),COLUMNS($G18:G18)))</f>
        <v/>
      </c>
      <c r="H18" s="6" t="str">
        <f>IF(ROWS(H$8:H18)&gt;$I$5,"",INDEX(ContactsTable,_xlfn.AGGREGATE(15,6,(ROW(ContactNames)-ROW($B$6)+1)/ISNUMBER(MATCH(ContactNames,$E$7:$E$11,0)),ROWS(H$8:H18)),COLUMNS($G18:H18)))</f>
        <v/>
      </c>
      <c r="I18" s="6" t="str">
        <f>IF(ROWS(I$8:I18)&gt;$I$5,"",INDEX(ContactsTable,_xlfn.AGGREGATE(15,6,(ROW(ContactNames)-ROW($B$6)+1)/ISNUMBER(MATCH(ContactNames,$E$7:$E$11,0)),ROWS(I$8:I18)),COLUMNS($G18:I18)))</f>
        <v/>
      </c>
    </row>
    <row r="19" spans="1:9" x14ac:dyDescent="0.25">
      <c r="A19" s="5"/>
      <c r="B19" s="5"/>
      <c r="C19" s="5"/>
    </row>
    <row r="20" spans="1:9" x14ac:dyDescent="0.25">
      <c r="A20" s="5"/>
      <c r="B20" s="5"/>
      <c r="C20" s="5"/>
    </row>
    <row r="21" spans="1:9" x14ac:dyDescent="0.25">
      <c r="A21" s="5"/>
      <c r="B21" s="5"/>
      <c r="C21" s="5"/>
    </row>
    <row r="22" spans="1:9" x14ac:dyDescent="0.25">
      <c r="A22" s="5"/>
      <c r="B22" s="5"/>
      <c r="C22" s="5"/>
    </row>
    <row r="23" spans="1:9" x14ac:dyDescent="0.25">
      <c r="A23" s="5"/>
      <c r="B23" s="5"/>
      <c r="C23" s="5"/>
    </row>
    <row r="24" spans="1:9" x14ac:dyDescent="0.25">
      <c r="A24" s="5"/>
      <c r="B24" s="5"/>
      <c r="C24" s="5"/>
    </row>
    <row r="25" spans="1:9" x14ac:dyDescent="0.25">
      <c r="A25" s="5"/>
      <c r="B25" s="5"/>
      <c r="C25" s="5"/>
    </row>
    <row r="26" spans="1:9" x14ac:dyDescent="0.25">
      <c r="A26" s="5"/>
      <c r="B26" s="5"/>
      <c r="C26" s="5"/>
    </row>
  </sheetData>
  <sortState ref="A4:C11">
    <sortCondition ref="A4"/>
  </sortState>
  <dataValidations disablePrompts="1" count="1">
    <dataValidation type="list" allowBlank="1" showInputMessage="1" showErrorMessage="1" sqref="E7:E11">
      <formula1>$R$6:$R$13</formula1>
    </dataValidation>
  </dataValidations>
  <pageMargins left="0.7" right="0.7" top="0.75" bottom="0.75" header="0.3" footer="0.3"/>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8">
    <tabColor rgb="FF0000FF"/>
  </sheetPr>
  <dimension ref="A1:E17"/>
  <sheetViews>
    <sheetView zoomScale="145" zoomScaleNormal="145" workbookViewId="0">
      <selection activeCell="E3" sqref="E3"/>
    </sheetView>
  </sheetViews>
  <sheetFormatPr defaultRowHeight="15" x14ac:dyDescent="0.25"/>
  <cols>
    <col min="1" max="1" width="11.42578125" customWidth="1"/>
    <col min="2" max="2" width="2" customWidth="1"/>
    <col min="3" max="3" width="9.85546875" customWidth="1"/>
    <col min="4" max="4" width="21.28515625" customWidth="1"/>
    <col min="5" max="5" width="10.7109375" customWidth="1"/>
  </cols>
  <sheetData>
    <row r="1" spans="1:5" x14ac:dyDescent="0.25">
      <c r="A1" s="187" t="s">
        <v>788</v>
      </c>
    </row>
    <row r="2" spans="1:5" x14ac:dyDescent="0.25">
      <c r="A2" s="190" t="s">
        <v>789</v>
      </c>
      <c r="C2" s="97" t="s">
        <v>790</v>
      </c>
    </row>
    <row r="3" spans="1:5" ht="3" customHeight="1" x14ac:dyDescent="0.25"/>
    <row r="4" spans="1:5" ht="45" x14ac:dyDescent="0.25">
      <c r="A4" s="28" t="s">
        <v>787</v>
      </c>
      <c r="C4" s="28" t="s">
        <v>791</v>
      </c>
      <c r="D4" s="28" t="s">
        <v>785</v>
      </c>
      <c r="E4" s="28" t="s">
        <v>786</v>
      </c>
    </row>
    <row r="5" spans="1:5" x14ac:dyDescent="0.25">
      <c r="A5" s="5">
        <v>65.52</v>
      </c>
      <c r="C5" s="5">
        <v>40</v>
      </c>
      <c r="D5" s="5" t="str">
        <f>"         Time &lt;= "&amp;C5</f>
        <v xml:space="preserve">         Time &lt;= 40</v>
      </c>
      <c r="E5" s="6">
        <f t="array" ref="E5:E10">FREQUENCY(A5:A17,C5:C9)</f>
        <v>1</v>
      </c>
    </row>
    <row r="6" spans="1:5" x14ac:dyDescent="0.25">
      <c r="A6" s="5">
        <v>52.1</v>
      </c>
      <c r="C6" s="5">
        <v>45</v>
      </c>
      <c r="D6" s="5" t="str">
        <f>C5&amp;" &lt; Time &lt;= "&amp;C6</f>
        <v>40 &lt; Time &lt;= 45</v>
      </c>
      <c r="E6" s="6">
        <v>3</v>
      </c>
    </row>
    <row r="7" spans="1:5" x14ac:dyDescent="0.25">
      <c r="A7" s="5">
        <v>46.5</v>
      </c>
      <c r="C7" s="5">
        <v>50</v>
      </c>
      <c r="D7" s="5" t="str">
        <f>C6&amp;" &lt; Time &lt;= "&amp;C7</f>
        <v>45 &lt; Time &lt;= 50</v>
      </c>
      <c r="E7" s="6">
        <v>5</v>
      </c>
    </row>
    <row r="8" spans="1:5" x14ac:dyDescent="0.25">
      <c r="A8" s="14">
        <v>39.4</v>
      </c>
      <c r="C8" s="5">
        <v>55</v>
      </c>
      <c r="D8" s="5" t="str">
        <f>C7&amp;" &lt; Time &lt;= "&amp;C8</f>
        <v>50 &lt; Time &lt;= 55</v>
      </c>
      <c r="E8" s="6">
        <v>2</v>
      </c>
    </row>
    <row r="9" spans="1:5" x14ac:dyDescent="0.25">
      <c r="A9" s="14">
        <v>43.5</v>
      </c>
      <c r="C9" s="5">
        <v>60</v>
      </c>
      <c r="D9" s="5" t="str">
        <f>C8&amp;" &lt; Time &lt;= "&amp;C9</f>
        <v>55 &lt; Time &lt;= 60</v>
      </c>
      <c r="E9" s="6">
        <v>1</v>
      </c>
    </row>
    <row r="10" spans="1:5" x14ac:dyDescent="0.25">
      <c r="A10" s="14">
        <v>46.8</v>
      </c>
      <c r="D10" s="5" t="str">
        <f>C9&amp;" &lt; Time"</f>
        <v>60 &lt; Time</v>
      </c>
      <c r="E10" s="6">
        <v>1</v>
      </c>
    </row>
    <row r="11" spans="1:5" x14ac:dyDescent="0.25">
      <c r="A11" s="14">
        <v>47.8</v>
      </c>
    </row>
    <row r="12" spans="1:5" x14ac:dyDescent="0.25">
      <c r="A12" s="14">
        <v>48.1</v>
      </c>
      <c r="D12" s="187"/>
    </row>
    <row r="13" spans="1:5" x14ac:dyDescent="0.25">
      <c r="A13" s="14">
        <v>48</v>
      </c>
    </row>
    <row r="14" spans="1:5" x14ac:dyDescent="0.25">
      <c r="A14" s="14">
        <v>43.5</v>
      </c>
      <c r="D14" s="187" t="str">
        <f>ADDRESS(ROW(A5),COLUMN(A5),4)&amp;":"&amp;ADDRESS(ROW(A17),COLUMN(A17),4)&amp;" contains values we need to count."</f>
        <v>A5:A17 contains values we need to count.</v>
      </c>
    </row>
    <row r="15" spans="1:5" x14ac:dyDescent="0.25">
      <c r="A15" s="14">
        <v>52.3</v>
      </c>
      <c r="D15" s="187" t="str">
        <f>ADDRESS(ROW(C5),COLUMN(C5),4)&amp;":"&amp;ADDRESS(ROW(C9),COLUMN(C9),4)&amp;" contains the upper limits for the categories."</f>
        <v>C5:C9 contains the upper limits for the categories.</v>
      </c>
    </row>
    <row r="16" spans="1:5" x14ac:dyDescent="0.25">
      <c r="A16" s="14">
        <v>56.35</v>
      </c>
      <c r="D16" s="187" t="str">
        <f>ADDRESS(ROW(D5),COLUMN(D5),4)&amp;":"&amp;ADDRESS(ROW(D10),COLUMN(D10),4)&amp;" show the categories that the FREQUENCY creates given the upper limits."</f>
        <v>D5:D10 show the categories that the FREQUENCY creates given the upper limits.</v>
      </c>
    </row>
    <row r="17" spans="1:1" x14ac:dyDescent="0.25">
      <c r="A17" s="14">
        <v>41.85</v>
      </c>
    </row>
  </sheetData>
  <pageMargins left="0.7" right="0.7" top="0.75" bottom="0.75" header="0.3" footer="0.3"/>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9">
    <tabColor rgb="FF0000FF"/>
  </sheetPr>
  <dimension ref="A1:S15"/>
  <sheetViews>
    <sheetView zoomScale="130" zoomScaleNormal="130" workbookViewId="0">
      <selection activeCell="E3" sqref="E3"/>
    </sheetView>
  </sheetViews>
  <sheetFormatPr defaultRowHeight="15" x14ac:dyDescent="0.25"/>
  <cols>
    <col min="1" max="1" width="14.7109375" customWidth="1"/>
    <col min="2" max="2" width="1.5703125" customWidth="1"/>
    <col min="3" max="3" width="17" customWidth="1"/>
    <col min="4" max="9" width="3.7109375" customWidth="1"/>
    <col min="11" max="12" width="9.140625" customWidth="1"/>
    <col min="13" max="13" width="9.7109375" customWidth="1"/>
    <col min="14" max="14" width="12" customWidth="1"/>
  </cols>
  <sheetData>
    <row r="1" spans="1:19" x14ac:dyDescent="0.25">
      <c r="A1" s="23" t="s">
        <v>813</v>
      </c>
    </row>
    <row r="2" spans="1:19" ht="30" x14ac:dyDescent="0.25">
      <c r="A2" s="28" t="s">
        <v>787</v>
      </c>
      <c r="C2" s="8" t="s">
        <v>792</v>
      </c>
      <c r="D2" s="118">
        <v>40</v>
      </c>
      <c r="E2" s="118">
        <v>45</v>
      </c>
      <c r="F2" s="118">
        <v>50</v>
      </c>
      <c r="G2" s="118">
        <v>55</v>
      </c>
      <c r="H2" s="118">
        <v>60</v>
      </c>
    </row>
    <row r="3" spans="1:19" x14ac:dyDescent="0.25">
      <c r="A3" s="5">
        <v>65.52</v>
      </c>
      <c r="C3" s="8" t="s">
        <v>786</v>
      </c>
      <c r="D3" s="6">
        <f t="array" ref="D3:I3">TRANSPOSE(FREQUENCY(A3:A15,D2:H2))</f>
        <v>1</v>
      </c>
      <c r="E3" s="6">
        <v>3</v>
      </c>
      <c r="F3" s="6">
        <v>5</v>
      </c>
      <c r="G3" s="6">
        <v>2</v>
      </c>
      <c r="H3" s="6">
        <v>1</v>
      </c>
      <c r="I3" s="6">
        <v>1</v>
      </c>
    </row>
    <row r="4" spans="1:19" x14ac:dyDescent="0.25">
      <c r="A4" s="5">
        <v>52.1</v>
      </c>
    </row>
    <row r="5" spans="1:19" x14ac:dyDescent="0.25">
      <c r="A5" s="5">
        <v>46.5</v>
      </c>
      <c r="M5" s="188" t="s">
        <v>793</v>
      </c>
      <c r="N5" s="141"/>
      <c r="O5" s="141"/>
      <c r="P5" s="141"/>
      <c r="Q5" s="141"/>
      <c r="R5" s="141"/>
      <c r="S5" s="142"/>
    </row>
    <row r="6" spans="1:19" x14ac:dyDescent="0.25">
      <c r="A6" s="14">
        <v>39.4</v>
      </c>
      <c r="M6" s="189" t="s">
        <v>794</v>
      </c>
      <c r="N6" s="144"/>
      <c r="O6" s="144"/>
      <c r="P6" s="144"/>
      <c r="Q6" s="144"/>
      <c r="R6" s="144"/>
      <c r="S6" s="145"/>
    </row>
    <row r="7" spans="1:19" x14ac:dyDescent="0.25">
      <c r="A7" s="14">
        <v>43.5</v>
      </c>
      <c r="M7" s="191" t="s">
        <v>795</v>
      </c>
      <c r="N7" s="147"/>
      <c r="O7" s="147"/>
      <c r="P7" s="147"/>
      <c r="Q7" s="147"/>
      <c r="R7" s="147"/>
      <c r="S7" s="148"/>
    </row>
    <row r="8" spans="1:19" x14ac:dyDescent="0.25">
      <c r="A8" s="14">
        <v>46.8</v>
      </c>
    </row>
    <row r="9" spans="1:19" x14ac:dyDescent="0.25">
      <c r="A9" s="14">
        <v>47.8</v>
      </c>
    </row>
    <row r="10" spans="1:19" x14ac:dyDescent="0.25">
      <c r="A10" s="14">
        <v>48.1</v>
      </c>
    </row>
    <row r="11" spans="1:19" x14ac:dyDescent="0.25">
      <c r="A11" s="14">
        <v>48</v>
      </c>
    </row>
    <row r="12" spans="1:19" x14ac:dyDescent="0.25">
      <c r="A12" s="14">
        <v>43.5</v>
      </c>
    </row>
    <row r="13" spans="1:19" x14ac:dyDescent="0.25">
      <c r="A13" s="14">
        <v>52.3</v>
      </c>
    </row>
    <row r="14" spans="1:19" x14ac:dyDescent="0.25">
      <c r="A14" s="14">
        <v>56.35</v>
      </c>
    </row>
    <row r="15" spans="1:19" x14ac:dyDescent="0.25">
      <c r="A15" s="14">
        <v>41.85</v>
      </c>
    </row>
  </sheetData>
  <pageMargins left="0.7" right="0.7" top="0.75" bottom="0.75" header="0.3" footer="0.3"/>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0">
    <tabColor rgb="FF0000FF"/>
  </sheetPr>
  <dimension ref="A1:F13"/>
  <sheetViews>
    <sheetView zoomScale="115" zoomScaleNormal="115" workbookViewId="0">
      <selection activeCell="E3" sqref="E3"/>
    </sheetView>
  </sheetViews>
  <sheetFormatPr defaultRowHeight="15" x14ac:dyDescent="0.25"/>
  <cols>
    <col min="1" max="1" width="11.140625" customWidth="1"/>
    <col min="2" max="2" width="10.7109375" customWidth="1"/>
    <col min="3" max="3" width="2.42578125" customWidth="1"/>
    <col min="4" max="4" width="5.5703125" customWidth="1"/>
    <col min="5" max="5" width="14.85546875" customWidth="1"/>
    <col min="6" max="6" width="10.140625" customWidth="1"/>
  </cols>
  <sheetData>
    <row r="1" spans="1:6" x14ac:dyDescent="0.25">
      <c r="A1" s="23" t="s">
        <v>796</v>
      </c>
    </row>
    <row r="2" spans="1:6" ht="30" x14ac:dyDescent="0.25">
      <c r="A2" s="28" t="s">
        <v>787</v>
      </c>
      <c r="B2" s="28" t="s">
        <v>797</v>
      </c>
      <c r="D2" s="28" t="s">
        <v>792</v>
      </c>
      <c r="E2" s="28" t="s">
        <v>798</v>
      </c>
      <c r="F2" s="28" t="s">
        <v>786</v>
      </c>
    </row>
    <row r="3" spans="1:6" x14ac:dyDescent="0.25">
      <c r="A3" s="5">
        <v>65.52</v>
      </c>
      <c r="B3" s="5" t="s">
        <v>799</v>
      </c>
      <c r="D3" s="5">
        <v>40</v>
      </c>
      <c r="E3" s="5" t="str">
        <f>"         Time &lt;= "&amp;D3</f>
        <v xml:space="preserve">         Time &lt;= 40</v>
      </c>
      <c r="F3" s="6">
        <f t="array" ref="F3:F8">FREQUENCY(A3:A13,D3:D7)</f>
        <v>1</v>
      </c>
    </row>
    <row r="4" spans="1:6" x14ac:dyDescent="0.25">
      <c r="A4" s="5">
        <v>52.1</v>
      </c>
      <c r="B4" s="5" t="s">
        <v>800</v>
      </c>
      <c r="D4" s="5">
        <v>45</v>
      </c>
      <c r="E4" s="5" t="str">
        <f>D3&amp;" &lt; Time &lt;= "&amp;D4</f>
        <v>40 &lt; Time &lt;= 45</v>
      </c>
      <c r="F4" s="6">
        <v>2</v>
      </c>
    </row>
    <row r="5" spans="1:6" x14ac:dyDescent="0.25">
      <c r="A5" s="5">
        <v>46.5</v>
      </c>
      <c r="B5" s="14" t="s">
        <v>801</v>
      </c>
      <c r="D5" s="5">
        <v>50</v>
      </c>
      <c r="E5" s="5" t="str">
        <f>D4&amp;" &lt; Time &lt;= "&amp;D5</f>
        <v>45 &lt; Time &lt;= 50</v>
      </c>
      <c r="F5" s="6">
        <v>3</v>
      </c>
    </row>
    <row r="6" spans="1:6" x14ac:dyDescent="0.25">
      <c r="A6" s="14">
        <v>39.4</v>
      </c>
      <c r="B6" s="14" t="s">
        <v>802</v>
      </c>
      <c r="D6" s="5">
        <v>55</v>
      </c>
      <c r="E6" s="5" t="str">
        <f>D5&amp;" &lt; Time &lt;= "&amp;D6</f>
        <v>50 &lt; Time &lt;= 55</v>
      </c>
      <c r="F6" s="6">
        <v>2</v>
      </c>
    </row>
    <row r="7" spans="1:6" x14ac:dyDescent="0.25">
      <c r="A7" s="14">
        <v>43.5</v>
      </c>
      <c r="B7" s="14" t="s">
        <v>803</v>
      </c>
      <c r="D7" s="5">
        <v>60</v>
      </c>
      <c r="E7" s="5" t="str">
        <f>D6&amp;" &lt; Time &lt;= "&amp;D7</f>
        <v>55 &lt; Time &lt;= 60</v>
      </c>
      <c r="F7" s="6">
        <v>0</v>
      </c>
    </row>
    <row r="8" spans="1:6" x14ac:dyDescent="0.25">
      <c r="A8" s="14">
        <v>46.8</v>
      </c>
      <c r="B8" s="14" t="s">
        <v>102</v>
      </c>
      <c r="E8" s="5" t="str">
        <f>D7&amp;" &lt; Time"</f>
        <v>60 &lt; Time</v>
      </c>
      <c r="F8" s="6">
        <v>1</v>
      </c>
    </row>
    <row r="9" spans="1:6" x14ac:dyDescent="0.25">
      <c r="A9" s="14">
        <v>47.8</v>
      </c>
      <c r="B9" s="14" t="s">
        <v>804</v>
      </c>
    </row>
    <row r="10" spans="1:6" x14ac:dyDescent="0.25">
      <c r="A10" s="5"/>
      <c r="B10" s="14" t="s">
        <v>39</v>
      </c>
    </row>
    <row r="11" spans="1:6" x14ac:dyDescent="0.25">
      <c r="A11" s="14">
        <v>52.3</v>
      </c>
      <c r="B11" s="14" t="s">
        <v>103</v>
      </c>
    </row>
    <row r="12" spans="1:6" x14ac:dyDescent="0.25">
      <c r="A12" s="14" t="s">
        <v>805</v>
      </c>
      <c r="B12" s="14" t="s">
        <v>806</v>
      </c>
    </row>
    <row r="13" spans="1:6" x14ac:dyDescent="0.25">
      <c r="A13" s="14">
        <v>41.85</v>
      </c>
      <c r="B13" s="14" t="s">
        <v>807</v>
      </c>
    </row>
  </sheetData>
  <pageMargins left="0.7" right="0.7" top="0.75" bottom="0.75" header="0.3" footer="0.3"/>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1">
    <tabColor rgb="FF0000FF"/>
  </sheetPr>
  <dimension ref="A1:E18"/>
  <sheetViews>
    <sheetView zoomScale="130" zoomScaleNormal="130" workbookViewId="0">
      <selection activeCell="E3" sqref="E3"/>
    </sheetView>
  </sheetViews>
  <sheetFormatPr defaultRowHeight="15" x14ac:dyDescent="0.25"/>
  <cols>
    <col min="1" max="1" width="11.7109375" customWidth="1"/>
    <col min="2" max="2" width="2.140625" customWidth="1"/>
    <col min="3" max="3" width="6.42578125" customWidth="1"/>
    <col min="4" max="4" width="11.28515625" customWidth="1"/>
    <col min="5" max="5" width="44.5703125" customWidth="1"/>
  </cols>
  <sheetData>
    <row r="1" spans="1:5" x14ac:dyDescent="0.25">
      <c r="A1" s="23" t="s">
        <v>808</v>
      </c>
    </row>
    <row r="2" spans="1:5" ht="30" x14ac:dyDescent="0.25">
      <c r="A2" s="28" t="s">
        <v>787</v>
      </c>
      <c r="C2" s="28" t="s">
        <v>792</v>
      </c>
      <c r="D2" s="28" t="s">
        <v>786</v>
      </c>
    </row>
    <row r="3" spans="1:5" x14ac:dyDescent="0.25">
      <c r="A3" s="5">
        <v>65.52</v>
      </c>
      <c r="C3" s="5">
        <v>40</v>
      </c>
      <c r="D3" s="6">
        <f t="array" ref="D3:D10">FREQUENCY(A3:A13,C3:C9)</f>
        <v>1</v>
      </c>
      <c r="E3" t="s">
        <v>809</v>
      </c>
    </row>
    <row r="4" spans="1:5" x14ac:dyDescent="0.25">
      <c r="A4" s="5">
        <v>52.1</v>
      </c>
      <c r="C4" s="5">
        <v>40</v>
      </c>
      <c r="D4" s="6">
        <v>0</v>
      </c>
      <c r="E4" t="s">
        <v>810</v>
      </c>
    </row>
    <row r="5" spans="1:5" x14ac:dyDescent="0.25">
      <c r="A5" s="5">
        <v>46.5</v>
      </c>
      <c r="C5" s="5">
        <v>40</v>
      </c>
      <c r="D5" s="6">
        <v>0</v>
      </c>
      <c r="E5" t="s">
        <v>810</v>
      </c>
    </row>
    <row r="6" spans="1:5" x14ac:dyDescent="0.25">
      <c r="A6" s="14">
        <v>39.4</v>
      </c>
      <c r="C6" s="5">
        <v>45</v>
      </c>
      <c r="D6" s="6">
        <v>2</v>
      </c>
    </row>
    <row r="7" spans="1:5" x14ac:dyDescent="0.25">
      <c r="A7" s="14">
        <v>43.5</v>
      </c>
      <c r="C7" s="5">
        <v>50</v>
      </c>
      <c r="D7" s="6">
        <v>3</v>
      </c>
    </row>
    <row r="8" spans="1:5" x14ac:dyDescent="0.25">
      <c r="A8" s="14">
        <v>46.8</v>
      </c>
      <c r="C8" s="5">
        <v>55</v>
      </c>
      <c r="D8" s="6">
        <v>2</v>
      </c>
    </row>
    <row r="9" spans="1:5" x14ac:dyDescent="0.25">
      <c r="A9" s="14">
        <v>47.8</v>
      </c>
      <c r="C9" s="5">
        <v>60</v>
      </c>
      <c r="D9" s="6">
        <v>0</v>
      </c>
    </row>
    <row r="10" spans="1:5" x14ac:dyDescent="0.25">
      <c r="A10" s="5"/>
      <c r="D10" s="6">
        <v>1</v>
      </c>
    </row>
    <row r="11" spans="1:5" x14ac:dyDescent="0.25">
      <c r="A11" s="14">
        <v>52.3</v>
      </c>
    </row>
    <row r="12" spans="1:5" x14ac:dyDescent="0.25">
      <c r="A12" s="14" t="s">
        <v>805</v>
      </c>
    </row>
    <row r="13" spans="1:5" x14ac:dyDescent="0.25">
      <c r="A13" s="14">
        <v>41.85</v>
      </c>
    </row>
    <row r="17" spans="3:5" x14ac:dyDescent="0.25">
      <c r="C17" s="188" t="s">
        <v>811</v>
      </c>
      <c r="D17" s="141"/>
      <c r="E17" s="141"/>
    </row>
    <row r="18" spans="3:5" x14ac:dyDescent="0.25">
      <c r="C18" s="191" t="s">
        <v>812</v>
      </c>
      <c r="D18" s="147"/>
      <c r="E18" s="147"/>
    </row>
  </sheetData>
  <pageMargins left="0.7" right="0.7" top="0.75" bottom="0.75" header="0.3" footer="0.3"/>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2">
    <tabColor rgb="FF0000FF"/>
  </sheetPr>
  <dimension ref="A1:D18"/>
  <sheetViews>
    <sheetView zoomScale="145" zoomScaleNormal="145" workbookViewId="0">
      <selection activeCell="E3" sqref="E3"/>
    </sheetView>
  </sheetViews>
  <sheetFormatPr defaultRowHeight="15" x14ac:dyDescent="0.25"/>
  <cols>
    <col min="1" max="1" width="11.42578125" customWidth="1"/>
    <col min="2" max="2" width="2" customWidth="1"/>
    <col min="3" max="3" width="9.85546875" customWidth="1"/>
    <col min="4" max="4" width="12.28515625" customWidth="1"/>
  </cols>
  <sheetData>
    <row r="1" spans="1:4" x14ac:dyDescent="0.25">
      <c r="A1" s="187" t="s">
        <v>816</v>
      </c>
    </row>
    <row r="2" spans="1:4" ht="30" x14ac:dyDescent="0.25">
      <c r="A2" s="28" t="s">
        <v>787</v>
      </c>
      <c r="C2" s="28" t="s">
        <v>791</v>
      </c>
      <c r="D2" s="28" t="s">
        <v>786</v>
      </c>
    </row>
    <row r="3" spans="1:4" x14ac:dyDescent="0.25">
      <c r="A3" s="5">
        <v>65.52</v>
      </c>
      <c r="C3" s="5">
        <v>40</v>
      </c>
      <c r="D3" s="6">
        <f t="array" ref="D3:D8">FREQUENCY(A3:A15,C3:C7)</f>
        <v>1</v>
      </c>
    </row>
    <row r="4" spans="1:4" x14ac:dyDescent="0.25">
      <c r="A4" s="5">
        <v>52.1</v>
      </c>
      <c r="C4" s="5">
        <v>45</v>
      </c>
      <c r="D4" s="6">
        <v>3</v>
      </c>
    </row>
    <row r="5" spans="1:4" x14ac:dyDescent="0.25">
      <c r="A5" s="5">
        <v>46.5</v>
      </c>
      <c r="C5" s="5">
        <v>50</v>
      </c>
      <c r="D5" s="6">
        <v>5</v>
      </c>
    </row>
    <row r="6" spans="1:4" x14ac:dyDescent="0.25">
      <c r="A6" s="14">
        <v>39.4</v>
      </c>
      <c r="C6" s="5">
        <v>55</v>
      </c>
      <c r="D6" s="6">
        <v>2</v>
      </c>
    </row>
    <row r="7" spans="1:4" x14ac:dyDescent="0.25">
      <c r="A7" s="14">
        <v>43.5</v>
      </c>
      <c r="C7" s="5">
        <v>60</v>
      </c>
      <c r="D7" s="6">
        <v>1</v>
      </c>
    </row>
    <row r="8" spans="1:4" x14ac:dyDescent="0.25">
      <c r="A8" s="14">
        <v>46.8</v>
      </c>
      <c r="D8" s="6">
        <v>1</v>
      </c>
    </row>
    <row r="9" spans="1:4" x14ac:dyDescent="0.25">
      <c r="A9" s="14">
        <v>47.8</v>
      </c>
    </row>
    <row r="10" spans="1:4" x14ac:dyDescent="0.25">
      <c r="A10" s="14">
        <v>48.1</v>
      </c>
      <c r="D10" s="187"/>
    </row>
    <row r="11" spans="1:4" x14ac:dyDescent="0.25">
      <c r="A11" s="14">
        <v>48</v>
      </c>
    </row>
    <row r="12" spans="1:4" x14ac:dyDescent="0.25">
      <c r="A12" s="14">
        <v>43.5</v>
      </c>
    </row>
    <row r="13" spans="1:4" x14ac:dyDescent="0.25">
      <c r="A13" s="14">
        <v>52.3</v>
      </c>
    </row>
    <row r="14" spans="1:4" x14ac:dyDescent="0.25">
      <c r="A14" s="14">
        <v>56.35</v>
      </c>
    </row>
    <row r="15" spans="1:4" x14ac:dyDescent="0.25">
      <c r="A15" s="14">
        <v>41.85</v>
      </c>
    </row>
    <row r="16" spans="1:4" x14ac:dyDescent="0.25">
      <c r="D16" s="187"/>
    </row>
    <row r="17" spans="4:4" x14ac:dyDescent="0.25">
      <c r="D17" s="187"/>
    </row>
    <row r="18" spans="4:4" x14ac:dyDescent="0.25">
      <c r="D18" s="187"/>
    </row>
  </sheetData>
  <pageMargins left="0.7" right="0.7" top="0.75" bottom="0.75" header="0.3" footer="0.3"/>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3">
    <tabColor rgb="FF0000FF"/>
  </sheetPr>
  <dimension ref="A1:F18"/>
  <sheetViews>
    <sheetView zoomScale="145" zoomScaleNormal="145" workbookViewId="0">
      <selection activeCell="E3" sqref="E3"/>
    </sheetView>
  </sheetViews>
  <sheetFormatPr defaultRowHeight="15" x14ac:dyDescent="0.25"/>
  <cols>
    <col min="1" max="1" width="11.42578125" customWidth="1"/>
    <col min="2" max="2" width="2" customWidth="1"/>
    <col min="3" max="3" width="9.85546875" customWidth="1"/>
    <col min="4" max="4" width="12.28515625" customWidth="1"/>
    <col min="5" max="5" width="17.140625" customWidth="1"/>
    <col min="6" max="6" width="30.28515625" customWidth="1"/>
  </cols>
  <sheetData>
    <row r="1" spans="1:6" x14ac:dyDescent="0.25">
      <c r="A1" s="187" t="s">
        <v>814</v>
      </c>
    </row>
    <row r="2" spans="1:6" ht="30" x14ac:dyDescent="0.25">
      <c r="A2" s="28" t="s">
        <v>787</v>
      </c>
      <c r="C2" s="28" t="s">
        <v>791</v>
      </c>
      <c r="D2" s="28" t="s">
        <v>786</v>
      </c>
      <c r="E2" s="28" t="s">
        <v>815</v>
      </c>
      <c r="F2" s="28" t="s">
        <v>817</v>
      </c>
    </row>
    <row r="3" spans="1:6" x14ac:dyDescent="0.25">
      <c r="A3" s="5">
        <v>65.52</v>
      </c>
      <c r="C3" s="5">
        <v>40</v>
      </c>
      <c r="D3" s="6">
        <f t="array" ref="D3:D8">FREQUENCY(A3:A15,C3:C7)</f>
        <v>1</v>
      </c>
      <c r="E3" s="6" t="str">
        <f>"         Time &lt;= "&amp;C3</f>
        <v xml:space="preserve">         Time &lt;= 40</v>
      </c>
      <c r="F3" s="5" t="s">
        <v>1761</v>
      </c>
    </row>
    <row r="4" spans="1:6" x14ac:dyDescent="0.25">
      <c r="A4" s="5">
        <v>52.1</v>
      </c>
      <c r="C4" s="5">
        <v>45</v>
      </c>
      <c r="D4" s="6">
        <v>3</v>
      </c>
      <c r="E4" s="6" t="str">
        <f>C3&amp;" &lt; Time &lt;= "&amp;C4</f>
        <v>40 &lt; Time &lt;= 45</v>
      </c>
      <c r="F4" s="5" t="s">
        <v>1762</v>
      </c>
    </row>
    <row r="5" spans="1:6" x14ac:dyDescent="0.25">
      <c r="A5" s="5">
        <v>46.5</v>
      </c>
      <c r="C5" s="5">
        <v>50</v>
      </c>
      <c r="D5" s="6">
        <v>5</v>
      </c>
      <c r="E5" s="6" t="str">
        <f>C4&amp;" &lt; Time &lt;= "&amp;C5</f>
        <v>45 &lt; Time &lt;= 50</v>
      </c>
      <c r="F5" s="5" t="s">
        <v>1763</v>
      </c>
    </row>
    <row r="6" spans="1:6" x14ac:dyDescent="0.25">
      <c r="A6" s="14">
        <v>39.4</v>
      </c>
      <c r="C6" s="5">
        <v>55</v>
      </c>
      <c r="D6" s="6">
        <v>2</v>
      </c>
      <c r="E6" s="6" t="str">
        <f>C5&amp;" &lt; Time &lt;= "&amp;C6</f>
        <v>50 &lt; Time &lt;= 55</v>
      </c>
      <c r="F6" s="5" t="s">
        <v>1764</v>
      </c>
    </row>
    <row r="7" spans="1:6" x14ac:dyDescent="0.25">
      <c r="A7" s="14">
        <v>43.5</v>
      </c>
      <c r="C7" s="5">
        <v>60</v>
      </c>
      <c r="D7" s="6">
        <v>1</v>
      </c>
      <c r="E7" s="6" t="str">
        <f>C6&amp;" &lt; Time &lt;= "&amp;C7</f>
        <v>55 &lt; Time &lt;= 60</v>
      </c>
      <c r="F7" s="5" t="s">
        <v>1765</v>
      </c>
    </row>
    <row r="8" spans="1:6" x14ac:dyDescent="0.25">
      <c r="A8" s="14">
        <v>46.8</v>
      </c>
      <c r="D8" s="6">
        <v>1</v>
      </c>
      <c r="E8" s="6" t="str">
        <f>C7&amp;" &lt; Time"</f>
        <v>60 &lt; Time</v>
      </c>
      <c r="F8" s="5" t="s">
        <v>1766</v>
      </c>
    </row>
    <row r="9" spans="1:6" x14ac:dyDescent="0.25">
      <c r="A9" s="14">
        <v>47.8</v>
      </c>
    </row>
    <row r="10" spans="1:6" x14ac:dyDescent="0.25">
      <c r="A10" s="14">
        <v>48.1</v>
      </c>
      <c r="D10" s="187"/>
    </row>
    <row r="11" spans="1:6" x14ac:dyDescent="0.25">
      <c r="A11" s="14">
        <v>48</v>
      </c>
    </row>
    <row r="12" spans="1:6" x14ac:dyDescent="0.25">
      <c r="A12" s="14">
        <v>43.5</v>
      </c>
    </row>
    <row r="13" spans="1:6" x14ac:dyDescent="0.25">
      <c r="A13" s="14">
        <v>52.3</v>
      </c>
    </row>
    <row r="14" spans="1:6" x14ac:dyDescent="0.25">
      <c r="A14" s="14">
        <v>56.35</v>
      </c>
    </row>
    <row r="15" spans="1:6" x14ac:dyDescent="0.25">
      <c r="A15" s="14">
        <v>41.85</v>
      </c>
    </row>
    <row r="16" spans="1:6" x14ac:dyDescent="0.25">
      <c r="D16" s="187"/>
    </row>
    <row r="17" spans="4:4" x14ac:dyDescent="0.25">
      <c r="D17" s="187"/>
    </row>
    <row r="18" spans="4:4" x14ac:dyDescent="0.25">
      <c r="D18" s="187"/>
    </row>
  </sheetData>
  <pageMargins left="0.7" right="0.7" top="0.75" bottom="0.75" header="0.3" footer="0.3"/>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4">
    <tabColor rgb="FF0000FF"/>
  </sheetPr>
  <dimension ref="A2:E22"/>
  <sheetViews>
    <sheetView zoomScale="145" zoomScaleNormal="145" workbookViewId="0">
      <selection activeCell="E3" sqref="E3"/>
    </sheetView>
  </sheetViews>
  <sheetFormatPr defaultRowHeight="15" x14ac:dyDescent="0.25"/>
  <cols>
    <col min="1" max="1" width="11.42578125" customWidth="1"/>
    <col min="2" max="2" width="2" customWidth="1"/>
    <col min="3" max="3" width="14.85546875" customWidth="1"/>
    <col min="4" max="4" width="13.42578125" customWidth="1"/>
    <col min="5" max="5" width="30.28515625" customWidth="1"/>
  </cols>
  <sheetData>
    <row r="2" spans="1:5" ht="30" x14ac:dyDescent="0.25">
      <c r="A2" s="28" t="s">
        <v>787</v>
      </c>
      <c r="C2" s="28" t="s">
        <v>819</v>
      </c>
      <c r="D2" s="28" t="s">
        <v>818</v>
      </c>
    </row>
    <row r="3" spans="1:5" x14ac:dyDescent="0.25">
      <c r="A3" s="5">
        <v>65.52</v>
      </c>
      <c r="C3" s="14" t="str">
        <f>"         Time &lt;= "&amp;D17</f>
        <v xml:space="preserve">         Time &lt;= 40</v>
      </c>
      <c r="D3" s="14">
        <f t="array" ref="D3:D8">FREQUENCY(A3:A15,D17:D21)</f>
        <v>1</v>
      </c>
    </row>
    <row r="4" spans="1:5" x14ac:dyDescent="0.25">
      <c r="A4" s="5">
        <v>52.1</v>
      </c>
      <c r="C4" s="14" t="str">
        <f>D17&amp;" &lt; Time &lt;= "&amp;D18</f>
        <v>40 &lt; Time &lt;= 45</v>
      </c>
      <c r="D4" s="14">
        <v>3</v>
      </c>
    </row>
    <row r="5" spans="1:5" x14ac:dyDescent="0.25">
      <c r="A5" s="5">
        <v>46.5</v>
      </c>
      <c r="C5" s="14" t="str">
        <f>D18&amp;" &lt; Time &lt;= "&amp;D19</f>
        <v>45 &lt; Time &lt;= 50</v>
      </c>
      <c r="D5" s="14">
        <v>5</v>
      </c>
    </row>
    <row r="6" spans="1:5" x14ac:dyDescent="0.25">
      <c r="A6" s="14">
        <v>39.4</v>
      </c>
      <c r="C6" s="14" t="str">
        <f>D19&amp;" &lt; Time &lt;= "&amp;D20</f>
        <v>50 &lt; Time &lt;= 55</v>
      </c>
      <c r="D6" s="14">
        <v>2</v>
      </c>
    </row>
    <row r="7" spans="1:5" x14ac:dyDescent="0.25">
      <c r="A7" s="14">
        <v>43.5</v>
      </c>
      <c r="C7" s="14" t="str">
        <f>D20&amp;" &lt; Time &lt;= "&amp;D21</f>
        <v>55 &lt; Time &lt;= 60</v>
      </c>
      <c r="D7" s="14">
        <v>1</v>
      </c>
    </row>
    <row r="8" spans="1:5" x14ac:dyDescent="0.25">
      <c r="A8" s="14">
        <v>46.8</v>
      </c>
      <c r="C8" s="14" t="str">
        <f>D21&amp;" &lt; Time"</f>
        <v>60 &lt; Time</v>
      </c>
      <c r="D8" s="14">
        <v>1</v>
      </c>
    </row>
    <row r="9" spans="1:5" x14ac:dyDescent="0.25">
      <c r="A9" s="14">
        <v>47.8</v>
      </c>
    </row>
    <row r="10" spans="1:5" x14ac:dyDescent="0.25">
      <c r="A10" s="14">
        <v>48.1</v>
      </c>
      <c r="C10" s="187"/>
    </row>
    <row r="11" spans="1:5" x14ac:dyDescent="0.25">
      <c r="A11" s="14">
        <v>48</v>
      </c>
    </row>
    <row r="12" spans="1:5" x14ac:dyDescent="0.25">
      <c r="A12" s="14">
        <v>43.5</v>
      </c>
    </row>
    <row r="13" spans="1:5" x14ac:dyDescent="0.25">
      <c r="A13" s="14">
        <v>52.3</v>
      </c>
    </row>
    <row r="14" spans="1:5" x14ac:dyDescent="0.25">
      <c r="A14" s="14">
        <v>56.35</v>
      </c>
    </row>
    <row r="15" spans="1:5" x14ac:dyDescent="0.25">
      <c r="A15" s="14">
        <v>41.85</v>
      </c>
    </row>
    <row r="16" spans="1:5" x14ac:dyDescent="0.25">
      <c r="C16" s="187"/>
      <c r="D16" s="28" t="s">
        <v>791</v>
      </c>
      <c r="E16" s="28" t="s">
        <v>817</v>
      </c>
    </row>
    <row r="17" spans="3:5" x14ac:dyDescent="0.25">
      <c r="C17" s="187"/>
      <c r="D17" s="5">
        <v>40</v>
      </c>
      <c r="E17" s="5" t="s">
        <v>1767</v>
      </c>
    </row>
    <row r="18" spans="3:5" x14ac:dyDescent="0.25">
      <c r="C18" s="187"/>
      <c r="D18" s="5">
        <v>45</v>
      </c>
      <c r="E18" s="5" t="s">
        <v>1768</v>
      </c>
    </row>
    <row r="19" spans="3:5" x14ac:dyDescent="0.25">
      <c r="D19" s="5">
        <v>50</v>
      </c>
      <c r="E19" s="5" t="s">
        <v>1769</v>
      </c>
    </row>
    <row r="20" spans="3:5" x14ac:dyDescent="0.25">
      <c r="D20" s="5">
        <v>55</v>
      </c>
      <c r="E20" s="5" t="s">
        <v>1770</v>
      </c>
    </row>
    <row r="21" spans="3:5" x14ac:dyDescent="0.25">
      <c r="D21" s="5">
        <v>60</v>
      </c>
      <c r="E21" s="5" t="s">
        <v>1771</v>
      </c>
    </row>
    <row r="22" spans="3:5" x14ac:dyDescent="0.25">
      <c r="E22" s="5" t="s">
        <v>1772</v>
      </c>
    </row>
  </sheetData>
  <pageMargins left="0.7" right="0.7" top="0.75" bottom="0.75" header="0.3" footer="0.3"/>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5">
    <tabColor rgb="FF0000FF"/>
  </sheetPr>
  <dimension ref="A1:F17"/>
  <sheetViews>
    <sheetView zoomScale="145" zoomScaleNormal="145" workbookViewId="0">
      <selection activeCell="E3" sqref="E3"/>
    </sheetView>
  </sheetViews>
  <sheetFormatPr defaultRowHeight="15" x14ac:dyDescent="0.25"/>
  <cols>
    <col min="1" max="1" width="5.5703125" customWidth="1"/>
    <col min="2" max="2" width="2" customWidth="1"/>
    <col min="3" max="3" width="7" customWidth="1"/>
    <col min="4" max="4" width="14.7109375" customWidth="1"/>
    <col min="5" max="5" width="10.140625" customWidth="1"/>
    <col min="6" max="6" width="68.85546875" customWidth="1"/>
  </cols>
  <sheetData>
    <row r="1" spans="1:6" ht="30" x14ac:dyDescent="0.25">
      <c r="A1" s="28" t="s">
        <v>25</v>
      </c>
      <c r="C1" s="28" t="s">
        <v>791</v>
      </c>
      <c r="D1" s="28" t="s">
        <v>815</v>
      </c>
      <c r="E1" s="28" t="s">
        <v>786</v>
      </c>
    </row>
    <row r="2" spans="1:6" x14ac:dyDescent="0.25">
      <c r="A2" s="5">
        <v>7</v>
      </c>
      <c r="C2" s="5">
        <v>25</v>
      </c>
      <c r="D2" s="14" t="str">
        <f>"         Units &lt;= "&amp;C2</f>
        <v xml:space="preserve">         Units &lt;= 25</v>
      </c>
      <c r="E2" s="6">
        <f t="array" ref="E2:E5">FREQUENCY(A2:A14,C2:C4)</f>
        <v>3</v>
      </c>
      <c r="F2" t="s">
        <v>1773</v>
      </c>
    </row>
    <row r="3" spans="1:6" x14ac:dyDescent="0.25">
      <c r="A3" s="5">
        <v>34</v>
      </c>
      <c r="C3" s="5">
        <v>50</v>
      </c>
      <c r="D3" s="14" t="str">
        <f>C2&amp;" &lt; Units &lt;= "&amp;C3</f>
        <v>25 &lt; Units &lt;= 50</v>
      </c>
      <c r="E3" s="6">
        <v>6</v>
      </c>
      <c r="F3" t="s">
        <v>1773</v>
      </c>
    </row>
    <row r="4" spans="1:6" x14ac:dyDescent="0.25">
      <c r="A4" s="5">
        <v>4</v>
      </c>
      <c r="C4" s="5">
        <v>75</v>
      </c>
      <c r="D4" s="14" t="str">
        <f>C3&amp;" &lt; Units &lt;= "&amp;C4</f>
        <v>50 &lt; Units &lt;= 75</v>
      </c>
      <c r="E4" s="6">
        <v>3</v>
      </c>
      <c r="F4" t="s">
        <v>1773</v>
      </c>
    </row>
    <row r="5" spans="1:6" x14ac:dyDescent="0.25">
      <c r="A5" s="14">
        <v>9</v>
      </c>
      <c r="D5" s="14" t="str">
        <f>C4&amp;" &lt; Units"</f>
        <v>75 &lt; Units</v>
      </c>
      <c r="E5" s="6">
        <v>1</v>
      </c>
      <c r="F5" t="s">
        <v>1773</v>
      </c>
    </row>
    <row r="6" spans="1:6" x14ac:dyDescent="0.25">
      <c r="A6" s="14">
        <v>31</v>
      </c>
    </row>
    <row r="7" spans="1:6" ht="30" x14ac:dyDescent="0.25">
      <c r="A7" s="14">
        <v>30</v>
      </c>
      <c r="C7" s="28" t="s">
        <v>791</v>
      </c>
      <c r="D7" s="28" t="s">
        <v>815</v>
      </c>
      <c r="E7" s="28" t="s">
        <v>786</v>
      </c>
    </row>
    <row r="8" spans="1:6" x14ac:dyDescent="0.25">
      <c r="A8" s="14">
        <v>28</v>
      </c>
      <c r="C8" s="5">
        <v>25</v>
      </c>
      <c r="D8" s="14" t="str">
        <f>"         Units &lt;= "&amp;C8</f>
        <v xml:space="preserve">         Units &lt;= 25</v>
      </c>
      <c r="E8" s="6">
        <f>COUNTIFS($A$2:$A$14,"&lt;="&amp;C8)</f>
        <v>3</v>
      </c>
      <c r="F8" t="s">
        <v>1774</v>
      </c>
    </row>
    <row r="9" spans="1:6" x14ac:dyDescent="0.25">
      <c r="A9" s="14">
        <v>30</v>
      </c>
      <c r="C9" s="5">
        <v>50</v>
      </c>
      <c r="D9" s="14" t="str">
        <f>C8&amp;" &lt; Units &lt;= "&amp;C9</f>
        <v>25 &lt; Units &lt;= 50</v>
      </c>
      <c r="E9" s="6">
        <f>COUNTIFS($A$2:$A$14,"&lt;="&amp;C9,$A$2:$A$14,"&gt;"&amp;C8)</f>
        <v>6</v>
      </c>
      <c r="F9" t="s">
        <v>1775</v>
      </c>
    </row>
    <row r="10" spans="1:6" x14ac:dyDescent="0.25">
      <c r="A10" s="14">
        <v>51</v>
      </c>
      <c r="C10" s="5">
        <v>75</v>
      </c>
      <c r="D10" s="14" t="str">
        <f>C9&amp;" &lt; Units &lt;= "&amp;C10</f>
        <v>50 &lt; Units &lt;= 75</v>
      </c>
      <c r="E10" s="6">
        <f>COUNTIFS($A$2:$A$14,"&lt;="&amp;C10,$A$2:$A$14,"&gt;"&amp;C9)</f>
        <v>3</v>
      </c>
      <c r="F10" t="s">
        <v>1776</v>
      </c>
    </row>
    <row r="11" spans="1:6" x14ac:dyDescent="0.25">
      <c r="A11" s="14">
        <v>83</v>
      </c>
      <c r="D11" s="14" t="str">
        <f>C10&amp;" &lt; Units"</f>
        <v>75 &lt; Units</v>
      </c>
      <c r="E11" s="6">
        <f>COUNTIFS($A$2:$A$14,"&gt;"&amp;C10)</f>
        <v>1</v>
      </c>
      <c r="F11" t="s">
        <v>1777</v>
      </c>
    </row>
    <row r="12" spans="1:6" x14ac:dyDescent="0.25">
      <c r="A12" s="14">
        <v>44</v>
      </c>
    </row>
    <row r="13" spans="1:6" ht="30" x14ac:dyDescent="0.25">
      <c r="A13" s="14">
        <v>74</v>
      </c>
      <c r="C13" s="28" t="s">
        <v>791</v>
      </c>
      <c r="D13" s="28" t="s">
        <v>815</v>
      </c>
      <c r="E13" s="28" t="s">
        <v>786</v>
      </c>
    </row>
    <row r="14" spans="1:6" x14ac:dyDescent="0.25">
      <c r="A14" s="14">
        <v>58</v>
      </c>
      <c r="C14" s="5">
        <v>25</v>
      </c>
      <c r="D14" s="14" t="str">
        <f>"         Units &lt;= "&amp;C14</f>
        <v xml:space="preserve">         Units &lt;= 25</v>
      </c>
      <c r="E14" s="6">
        <f>COUNTIF($A$2:$A$14,"&lt;="&amp;C14)</f>
        <v>3</v>
      </c>
      <c r="F14" t="s">
        <v>1778</v>
      </c>
    </row>
    <row r="15" spans="1:6" x14ac:dyDescent="0.25">
      <c r="C15" s="5">
        <v>50</v>
      </c>
      <c r="D15" s="14" t="str">
        <f>C14&amp;" &lt; Units &lt;= "&amp;C15</f>
        <v>25 &lt; Units &lt;= 50</v>
      </c>
      <c r="E15" s="6">
        <f>COUNTIF($A$2:$A$14,"&lt;="&amp;C15)-COUNTIF($A$2:$A$14,"&lt;="&amp;C14)</f>
        <v>6</v>
      </c>
      <c r="F15" t="s">
        <v>1779</v>
      </c>
    </row>
    <row r="16" spans="1:6" x14ac:dyDescent="0.25">
      <c r="C16" s="5">
        <v>75</v>
      </c>
      <c r="D16" s="14" t="str">
        <f>C15&amp;" &lt; Units &lt;= "&amp;C16</f>
        <v>50 &lt; Units &lt;= 75</v>
      </c>
      <c r="E16" s="6">
        <f>COUNTIF($A$2:$A$14,"&lt;="&amp;C16)-COUNTIF($A$2:$A$14,"&lt;="&amp;C15)</f>
        <v>3</v>
      </c>
      <c r="F16" t="s">
        <v>1780</v>
      </c>
    </row>
    <row r="17" spans="4:6" x14ac:dyDescent="0.25">
      <c r="D17" s="14" t="str">
        <f>C16&amp;" &lt; Units"</f>
        <v>75 &lt; Units</v>
      </c>
      <c r="E17" s="6">
        <f>COUNTIF($A$2:$A$14,"&gt;"&amp;C16)</f>
        <v>1</v>
      </c>
      <c r="F17" t="s">
        <v>1781</v>
      </c>
    </row>
  </sheetData>
  <pageMargins left="0.7" right="0.7" top="0.75" bottom="0.75" header="0.3" footer="0.3"/>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6">
    <tabColor rgb="FF0000FF"/>
  </sheetPr>
  <dimension ref="A1:G14"/>
  <sheetViews>
    <sheetView zoomScale="145" zoomScaleNormal="145" workbookViewId="0">
      <selection activeCell="E3" sqref="E3"/>
    </sheetView>
  </sheetViews>
  <sheetFormatPr defaultRowHeight="15" x14ac:dyDescent="0.25"/>
  <cols>
    <col min="1" max="1" width="5.5703125" customWidth="1"/>
    <col min="2" max="2" width="2" customWidth="1"/>
    <col min="3" max="3" width="6.28515625" customWidth="1"/>
    <col min="4" max="4" width="6" customWidth="1"/>
    <col min="5" max="5" width="14.28515625" customWidth="1"/>
    <col min="6" max="6" width="10.28515625" customWidth="1"/>
    <col min="7" max="7" width="67.140625" customWidth="1"/>
  </cols>
  <sheetData>
    <row r="1" spans="1:7" x14ac:dyDescent="0.25">
      <c r="A1" s="28" t="s">
        <v>25</v>
      </c>
      <c r="E1" s="28" t="s">
        <v>394</v>
      </c>
      <c r="F1" s="6">
        <f>MAX(A2:A14)</f>
        <v>72</v>
      </c>
    </row>
    <row r="2" spans="1:7" x14ac:dyDescent="0.25">
      <c r="A2" s="5">
        <v>45</v>
      </c>
      <c r="E2" s="28" t="s">
        <v>396</v>
      </c>
      <c r="F2" s="6">
        <f>MIN(A2:A14)</f>
        <v>6</v>
      </c>
    </row>
    <row r="3" spans="1:7" x14ac:dyDescent="0.25">
      <c r="A3" s="5">
        <v>72</v>
      </c>
    </row>
    <row r="4" spans="1:7" ht="60" x14ac:dyDescent="0.25">
      <c r="A4" s="5">
        <v>62</v>
      </c>
      <c r="C4" s="28" t="s">
        <v>820</v>
      </c>
      <c r="D4" s="28" t="s">
        <v>791</v>
      </c>
      <c r="E4" s="28" t="s">
        <v>815</v>
      </c>
      <c r="F4" s="28" t="s">
        <v>786</v>
      </c>
    </row>
    <row r="5" spans="1:7" x14ac:dyDescent="0.25">
      <c r="A5" s="14">
        <v>40</v>
      </c>
      <c r="C5" s="5">
        <v>0</v>
      </c>
      <c r="D5" s="5">
        <f>C5+25</f>
        <v>25</v>
      </c>
      <c r="E5" s="14" t="str">
        <f>C5&amp;" &lt;= Units &lt; "&amp;D5</f>
        <v>0 &lt;= Units &lt; 25</v>
      </c>
      <c r="F5" s="6">
        <f>COUNTIFS($A$2:$A$14,"&gt;="&amp;C5,$A$2:$A$14,"&lt;"&amp;D5)</f>
        <v>4</v>
      </c>
      <c r="G5" t="s">
        <v>1782</v>
      </c>
    </row>
    <row r="6" spans="1:7" x14ac:dyDescent="0.25">
      <c r="A6" s="14">
        <v>6</v>
      </c>
      <c r="C6" s="5">
        <f>D5</f>
        <v>25</v>
      </c>
      <c r="D6" s="5">
        <f>C6+25</f>
        <v>50</v>
      </c>
      <c r="E6" s="14" t="str">
        <f>C6&amp;" &lt;= Units &lt; "&amp;D6</f>
        <v>25 &lt;= Units &lt; 50</v>
      </c>
      <c r="F6" s="6">
        <f>COUNTIFS($A$2:$A$14,"&gt;="&amp;C6,$A$2:$A$14,"&lt;"&amp;D6)</f>
        <v>6</v>
      </c>
      <c r="G6" t="s">
        <v>1783</v>
      </c>
    </row>
    <row r="7" spans="1:7" x14ac:dyDescent="0.25">
      <c r="A7" s="14">
        <v>27</v>
      </c>
      <c r="C7" s="5">
        <f>D6</f>
        <v>50</v>
      </c>
      <c r="D7" s="5">
        <f>C7+25</f>
        <v>75</v>
      </c>
      <c r="E7" s="14" t="str">
        <f>C7&amp;" &lt;= Units &lt; "&amp;D7</f>
        <v>50 &lt;= Units &lt; 75</v>
      </c>
      <c r="F7" s="6">
        <f>COUNTIFS($A$2:$A$14,"&gt;="&amp;C7,$A$2:$A$14,"&lt;"&amp;D7)</f>
        <v>3</v>
      </c>
      <c r="G7" t="s">
        <v>1784</v>
      </c>
    </row>
    <row r="8" spans="1:7" x14ac:dyDescent="0.25">
      <c r="A8" s="14">
        <v>26</v>
      </c>
    </row>
    <row r="9" spans="1:7" ht="60" x14ac:dyDescent="0.25">
      <c r="A9" s="14">
        <v>42</v>
      </c>
      <c r="C9" s="28" t="s">
        <v>820</v>
      </c>
      <c r="D9" s="28" t="s">
        <v>791</v>
      </c>
      <c r="E9" s="28" t="s">
        <v>815</v>
      </c>
      <c r="F9" s="28" t="s">
        <v>786</v>
      </c>
    </row>
    <row r="10" spans="1:7" x14ac:dyDescent="0.25">
      <c r="A10" s="14">
        <v>20</v>
      </c>
      <c r="C10" s="5">
        <v>0</v>
      </c>
      <c r="D10" s="5">
        <f>C10+25</f>
        <v>25</v>
      </c>
      <c r="E10" s="14" t="str">
        <f>C10&amp;" &lt;= Units &lt; "&amp;D10</f>
        <v>0 &lt;= Units &lt; 25</v>
      </c>
      <c r="F10" s="6">
        <f>COUNTIF($A$2:$A$14,"&lt;"&amp;D10)-COUNTIF($A$2:$A$14,"&lt;"&amp;C10)</f>
        <v>4</v>
      </c>
      <c r="G10" t="s">
        <v>1785</v>
      </c>
    </row>
    <row r="11" spans="1:7" x14ac:dyDescent="0.25">
      <c r="A11" s="14">
        <v>22</v>
      </c>
      <c r="C11" s="5">
        <f>D10</f>
        <v>25</v>
      </c>
      <c r="D11" s="5">
        <f>C11+25</f>
        <v>50</v>
      </c>
      <c r="E11" s="14" t="str">
        <f>C11&amp;" &lt;= Units &lt; "&amp;D11</f>
        <v>25 &lt;= Units &lt; 50</v>
      </c>
      <c r="F11" s="6">
        <f>COUNTIF($A$2:$A$14,"&lt;"&amp;D11)-COUNTIF($A$2:$A$14,"&lt;"&amp;C11)</f>
        <v>6</v>
      </c>
      <c r="G11" t="s">
        <v>1786</v>
      </c>
    </row>
    <row r="12" spans="1:7" x14ac:dyDescent="0.25">
      <c r="A12" s="14">
        <v>26</v>
      </c>
      <c r="C12" s="5">
        <f>D11</f>
        <v>50</v>
      </c>
      <c r="D12" s="5">
        <f>C12+25</f>
        <v>75</v>
      </c>
      <c r="E12" s="14" t="str">
        <f>C12&amp;" &lt;= Units &lt; "&amp;D12</f>
        <v>50 &lt;= Units &lt; 75</v>
      </c>
      <c r="F12" s="6">
        <f>COUNTIF($A$2:$A$14,"&lt;"&amp;D12)-COUNTIF($A$2:$A$14,"&lt;"&amp;C12)</f>
        <v>3</v>
      </c>
      <c r="G12" t="s">
        <v>1787</v>
      </c>
    </row>
    <row r="13" spans="1:7" x14ac:dyDescent="0.25">
      <c r="A13" s="14">
        <v>20</v>
      </c>
    </row>
    <row r="14" spans="1:7" x14ac:dyDescent="0.25">
      <c r="A14" s="14">
        <v>56</v>
      </c>
    </row>
  </sheetData>
  <pageMargins left="0.7" right="0.7" top="0.75" bottom="0.75" header="0.3" footer="0.3"/>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7">
    <tabColor rgb="FF0000FF"/>
  </sheetPr>
  <dimension ref="A1:C11"/>
  <sheetViews>
    <sheetView zoomScale="160" zoomScaleNormal="160" workbookViewId="0">
      <selection activeCell="E3" sqref="E3"/>
    </sheetView>
  </sheetViews>
  <sheetFormatPr defaultRowHeight="15" x14ac:dyDescent="0.25"/>
  <cols>
    <col min="1" max="1" width="11.28515625" customWidth="1"/>
    <col min="2" max="2" width="10.5703125" customWidth="1"/>
    <col min="3" max="3" width="11" customWidth="1"/>
    <col min="4" max="4" width="40.140625" customWidth="1"/>
    <col min="5" max="5" width="10" customWidth="1"/>
    <col min="7" max="7" width="9.7109375" customWidth="1"/>
  </cols>
  <sheetData>
    <row r="1" spans="1:3" x14ac:dyDescent="0.25">
      <c r="A1" s="23" t="s">
        <v>829</v>
      </c>
    </row>
    <row r="2" spans="1:3" x14ac:dyDescent="0.25">
      <c r="A2" s="8" t="s">
        <v>821</v>
      </c>
      <c r="B2" s="8" t="s">
        <v>8</v>
      </c>
      <c r="C2" s="8" t="s">
        <v>822</v>
      </c>
    </row>
    <row r="3" spans="1:3" x14ac:dyDescent="0.25">
      <c r="A3" s="5">
        <v>1001</v>
      </c>
      <c r="B3" s="19">
        <v>41231</v>
      </c>
      <c r="C3" s="192">
        <v>-40.1</v>
      </c>
    </row>
    <row r="4" spans="1:3" x14ac:dyDescent="0.25">
      <c r="A4" s="5">
        <v>1001</v>
      </c>
      <c r="B4" s="19">
        <v>41229</v>
      </c>
      <c r="C4" s="192">
        <v>500.25</v>
      </c>
    </row>
    <row r="5" spans="1:3" x14ac:dyDescent="0.25">
      <c r="A5" s="5">
        <v>1012</v>
      </c>
      <c r="B5" s="19">
        <v>41229</v>
      </c>
      <c r="C5" s="192">
        <v>758.98</v>
      </c>
    </row>
    <row r="6" spans="1:3" x14ac:dyDescent="0.25">
      <c r="A6" s="5">
        <v>1001</v>
      </c>
      <c r="B6" s="19">
        <v>41229</v>
      </c>
      <c r="C6" s="192">
        <v>-500.25</v>
      </c>
    </row>
    <row r="7" spans="1:3" x14ac:dyDescent="0.25">
      <c r="A7" s="5">
        <v>1016</v>
      </c>
      <c r="B7" s="19">
        <v>41231</v>
      </c>
      <c r="C7" s="192">
        <v>1045.0999999999999</v>
      </c>
    </row>
    <row r="8" spans="1:3" x14ac:dyDescent="0.25">
      <c r="A8" s="5">
        <v>1016</v>
      </c>
      <c r="B8" s="19">
        <v>41231</v>
      </c>
      <c r="C8" s="192">
        <v>-1045.0999999999999</v>
      </c>
    </row>
    <row r="9" spans="1:3" ht="3.75" customHeight="1" x14ac:dyDescent="0.25"/>
    <row r="10" spans="1:3" x14ac:dyDescent="0.25">
      <c r="A10" s="8" t="s">
        <v>823</v>
      </c>
      <c r="B10" s="6">
        <f>SUMPRODUCT(--(FREQUENCY(A3:A8,A3:A8)&gt;0))</f>
        <v>3</v>
      </c>
      <c r="C10" t="s">
        <v>1788</v>
      </c>
    </row>
    <row r="11" spans="1:3" x14ac:dyDescent="0.25">
      <c r="A11" s="8" t="s">
        <v>824</v>
      </c>
      <c r="B11" s="6">
        <f>SUMPRODUCT(1/COUNTIF(A3:A8,A3:A8))</f>
        <v>3</v>
      </c>
      <c r="C11" t="s">
        <v>1789</v>
      </c>
    </row>
  </sheetData>
  <pageMargins left="0.7" right="0.7" top="0.75" bottom="0.75" header="0.3" footer="0.3"/>
</worksheet>
</file>

<file path=xl/worksheets/sheet2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8">
    <tabColor rgb="FF0000FF"/>
  </sheetPr>
  <dimension ref="A1:C13"/>
  <sheetViews>
    <sheetView zoomScale="160" zoomScaleNormal="160" workbookViewId="0">
      <selection activeCell="E3" sqref="E3"/>
    </sheetView>
  </sheetViews>
  <sheetFormatPr defaultRowHeight="15" x14ac:dyDescent="0.25"/>
  <cols>
    <col min="1" max="1" width="9.42578125" customWidth="1"/>
    <col min="2" max="2" width="6.7109375" customWidth="1"/>
    <col min="3" max="3" width="10.5703125" customWidth="1"/>
    <col min="4" max="4" width="55.85546875" customWidth="1"/>
    <col min="5" max="5" width="9.42578125" customWidth="1"/>
    <col min="6" max="6" width="13" bestFit="1" customWidth="1"/>
    <col min="7" max="7" width="5.5703125" bestFit="1" customWidth="1"/>
  </cols>
  <sheetData>
    <row r="1" spans="1:3" x14ac:dyDescent="0.25">
      <c r="A1" s="102" t="s">
        <v>825</v>
      </c>
      <c r="B1" s="103"/>
      <c r="C1" s="47"/>
    </row>
    <row r="2" spans="1:3" x14ac:dyDescent="0.25">
      <c r="A2" s="8" t="s">
        <v>8</v>
      </c>
      <c r="B2" s="8" t="s">
        <v>828</v>
      </c>
      <c r="C2" s="8" t="s">
        <v>222</v>
      </c>
    </row>
    <row r="3" spans="1:3" x14ac:dyDescent="0.25">
      <c r="A3" s="19">
        <v>41673</v>
      </c>
      <c r="B3" s="5">
        <v>5</v>
      </c>
      <c r="C3" s="5" t="s">
        <v>39</v>
      </c>
    </row>
    <row r="4" spans="1:3" x14ac:dyDescent="0.25">
      <c r="A4" s="19">
        <v>41673</v>
      </c>
      <c r="B4" s="5">
        <v>3</v>
      </c>
      <c r="C4" s="5" t="s">
        <v>92</v>
      </c>
    </row>
    <row r="5" spans="1:3" x14ac:dyDescent="0.25">
      <c r="A5" s="19">
        <v>41674</v>
      </c>
      <c r="B5" s="5">
        <v>4</v>
      </c>
      <c r="C5" s="5" t="s">
        <v>39</v>
      </c>
    </row>
    <row r="6" spans="1:3" x14ac:dyDescent="0.25">
      <c r="A6" s="19">
        <v>41676</v>
      </c>
      <c r="B6" s="5">
        <v>3</v>
      </c>
      <c r="C6" s="5" t="s">
        <v>92</v>
      </c>
    </row>
    <row r="7" spans="1:3" x14ac:dyDescent="0.25">
      <c r="A7" s="19">
        <v>41676</v>
      </c>
      <c r="B7" s="5">
        <v>6</v>
      </c>
      <c r="C7" s="5" t="s">
        <v>39</v>
      </c>
    </row>
    <row r="8" spans="1:3" x14ac:dyDescent="0.25">
      <c r="A8" s="19">
        <v>41676</v>
      </c>
      <c r="B8" s="5">
        <v>5</v>
      </c>
      <c r="C8" s="5" t="s">
        <v>766</v>
      </c>
    </row>
    <row r="9" spans="1:3" x14ac:dyDescent="0.25">
      <c r="A9" s="19">
        <v>41676</v>
      </c>
      <c r="B9" s="5">
        <v>6</v>
      </c>
      <c r="C9" s="5" t="s">
        <v>766</v>
      </c>
    </row>
    <row r="10" spans="1:3" ht="3.75" customHeight="1" x14ac:dyDescent="0.25"/>
    <row r="11" spans="1:3" x14ac:dyDescent="0.25">
      <c r="A11" s="23" t="str">
        <f>"Unique count of "&amp;LOWER(C2)&amp;"s"</f>
        <v>Unique count of employees</v>
      </c>
    </row>
    <row r="12" spans="1:3" x14ac:dyDescent="0.25">
      <c r="A12" s="6">
        <f>SUMPRODUCT(--(FREQUENCY(MATCH(C3:C9,C3:C9,0),ROW(C3:C9)-ROW(C3)+1)&gt;0))</f>
        <v>3</v>
      </c>
      <c r="B12" t="s">
        <v>1790</v>
      </c>
    </row>
    <row r="13" spans="1:3" x14ac:dyDescent="0.25">
      <c r="A13" s="6">
        <f>SUMPRODUCT(1/COUNTIF(C3:C9,C3:C9))</f>
        <v>3</v>
      </c>
      <c r="B13" t="s">
        <v>1791</v>
      </c>
    </row>
  </sheetData>
  <sortState ref="E4:G20">
    <sortCondition ref="E4"/>
  </sortState>
  <pageMargins left="0.7" right="0.7" top="0.75" bottom="0.75" header="0.3" footer="0.3"/>
  <pageSetup orientation="portrait" r:id="rId1"/>
</worksheet>
</file>

<file path=xl/worksheets/sheet2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1">
    <tabColor rgb="FF0000FF"/>
  </sheetPr>
  <dimension ref="A1:C13"/>
  <sheetViews>
    <sheetView zoomScale="160" zoomScaleNormal="160" workbookViewId="0">
      <selection activeCell="E3" sqref="E3"/>
    </sheetView>
  </sheetViews>
  <sheetFormatPr defaultRowHeight="15" x14ac:dyDescent="0.25"/>
  <cols>
    <col min="1" max="1" width="9.42578125" customWidth="1"/>
    <col min="2" max="2" width="6.7109375" customWidth="1"/>
    <col min="3" max="3" width="10.5703125" customWidth="1"/>
    <col min="4" max="4" width="55.85546875" customWidth="1"/>
  </cols>
  <sheetData>
    <row r="1" spans="1:3" x14ac:dyDescent="0.25">
      <c r="A1" s="102" t="s">
        <v>827</v>
      </c>
      <c r="B1" s="129"/>
      <c r="C1" s="130"/>
    </row>
    <row r="2" spans="1:3" x14ac:dyDescent="0.25">
      <c r="A2" s="8" t="s">
        <v>8</v>
      </c>
      <c r="B2" s="8" t="s">
        <v>91</v>
      </c>
      <c r="C2" s="8" t="s">
        <v>24</v>
      </c>
    </row>
    <row r="3" spans="1:3" x14ac:dyDescent="0.25">
      <c r="A3" s="19">
        <v>41680</v>
      </c>
      <c r="B3" s="5">
        <v>53</v>
      </c>
      <c r="C3" s="5" t="s">
        <v>826</v>
      </c>
    </row>
    <row r="4" spans="1:3" x14ac:dyDescent="0.25">
      <c r="A4" s="19">
        <v>41695</v>
      </c>
      <c r="B4" s="5">
        <v>1527</v>
      </c>
      <c r="C4" s="5">
        <v>4369</v>
      </c>
    </row>
    <row r="5" spans="1:3" x14ac:dyDescent="0.25">
      <c r="A5" s="19">
        <v>41696</v>
      </c>
      <c r="B5" s="5">
        <v>930</v>
      </c>
      <c r="C5" s="5">
        <v>4369</v>
      </c>
    </row>
    <row r="6" spans="1:3" x14ac:dyDescent="0.25">
      <c r="A6" s="19">
        <v>41745</v>
      </c>
      <c r="B6" s="5">
        <v>1910</v>
      </c>
      <c r="C6" s="5" t="s">
        <v>830</v>
      </c>
    </row>
    <row r="7" spans="1:3" x14ac:dyDescent="0.25">
      <c r="A7" s="19">
        <v>41770</v>
      </c>
      <c r="B7" s="5">
        <v>337</v>
      </c>
      <c r="C7" s="5" t="s">
        <v>826</v>
      </c>
    </row>
    <row r="8" spans="1:3" x14ac:dyDescent="0.25">
      <c r="A8" s="19">
        <v>41811</v>
      </c>
      <c r="B8" s="5">
        <v>122</v>
      </c>
      <c r="C8" s="5">
        <v>958641</v>
      </c>
    </row>
    <row r="9" spans="1:3" x14ac:dyDescent="0.25">
      <c r="A9" s="19">
        <v>41846</v>
      </c>
      <c r="B9" s="5">
        <v>997</v>
      </c>
      <c r="C9" s="5" t="s">
        <v>830</v>
      </c>
    </row>
    <row r="10" spans="1:3" ht="3.75" customHeight="1" x14ac:dyDescent="0.25"/>
    <row r="11" spans="1:3" x14ac:dyDescent="0.25">
      <c r="A11" s="23" t="str">
        <f>"Unique count of "&amp;LOWER(C2)&amp;"s"</f>
        <v>Unique count of customers</v>
      </c>
    </row>
    <row r="12" spans="1:3" x14ac:dyDescent="0.25">
      <c r="A12" s="6">
        <f>SUMPRODUCT(--(FREQUENCY(MATCH(C3:C9,C3:C9,0),ROW(C3:C9)-ROW(C3)+1)&gt;0))</f>
        <v>4</v>
      </c>
      <c r="B12" t="s">
        <v>1790</v>
      </c>
    </row>
    <row r="13" spans="1:3" x14ac:dyDescent="0.25">
      <c r="A13" s="6">
        <f>SUMPRODUCT(1/COUNTIF(C3:C9,C3:C9))</f>
        <v>4</v>
      </c>
      <c r="B13" t="s">
        <v>1791</v>
      </c>
    </row>
  </sheetData>
  <pageMargins left="0.7" right="0.7" top="0.75" bottom="0.75" header="0.3" footer="0.3"/>
  <pageSetup orientation="portrait" r:id="rId1"/>
</worksheet>
</file>

<file path=xl/worksheets/sheet2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9">
    <tabColor rgb="FF0000FF"/>
  </sheetPr>
  <dimension ref="A1:C13"/>
  <sheetViews>
    <sheetView zoomScale="160" zoomScaleNormal="160" workbookViewId="0">
      <selection activeCell="E3" sqref="E3"/>
    </sheetView>
  </sheetViews>
  <sheetFormatPr defaultRowHeight="15" x14ac:dyDescent="0.25"/>
  <cols>
    <col min="1" max="1" width="5" customWidth="1"/>
    <col min="2" max="2" width="6.7109375" customWidth="1"/>
    <col min="3" max="3" width="10.5703125" customWidth="1"/>
    <col min="4" max="4" width="60.28515625" customWidth="1"/>
  </cols>
  <sheetData>
    <row r="1" spans="1:3" x14ac:dyDescent="0.25">
      <c r="A1" s="102" t="s">
        <v>827</v>
      </c>
      <c r="B1" s="129"/>
      <c r="C1" s="130"/>
    </row>
    <row r="2" spans="1:3" x14ac:dyDescent="0.25">
      <c r="A2" s="8" t="s">
        <v>8</v>
      </c>
      <c r="B2" s="8" t="s">
        <v>91</v>
      </c>
      <c r="C2" s="8" t="s">
        <v>24</v>
      </c>
    </row>
    <row r="3" spans="1:3" x14ac:dyDescent="0.25">
      <c r="A3" s="193">
        <v>41680</v>
      </c>
      <c r="B3" s="5">
        <v>53</v>
      </c>
      <c r="C3" s="5" t="s">
        <v>826</v>
      </c>
    </row>
    <row r="4" spans="1:3" x14ac:dyDescent="0.25">
      <c r="A4" s="193">
        <v>41695</v>
      </c>
      <c r="B4" s="5">
        <v>1527</v>
      </c>
      <c r="C4" s="5">
        <v>4369</v>
      </c>
    </row>
    <row r="5" spans="1:3" x14ac:dyDescent="0.25">
      <c r="A5" s="193">
        <v>41696</v>
      </c>
      <c r="B5" s="5">
        <v>930</v>
      </c>
      <c r="C5" s="5">
        <v>4369</v>
      </c>
    </row>
    <row r="6" spans="1:3" x14ac:dyDescent="0.25">
      <c r="A6" s="193">
        <v>41745</v>
      </c>
      <c r="B6" s="5">
        <v>1910</v>
      </c>
      <c r="C6" s="5" t="s">
        <v>830</v>
      </c>
    </row>
    <row r="7" spans="1:3" x14ac:dyDescent="0.25">
      <c r="A7" s="193">
        <v>41770</v>
      </c>
      <c r="B7" s="5">
        <v>337</v>
      </c>
      <c r="C7" s="5" t="s">
        <v>826</v>
      </c>
    </row>
    <row r="8" spans="1:3" x14ac:dyDescent="0.25">
      <c r="A8" s="193">
        <v>41811</v>
      </c>
      <c r="B8" s="5">
        <v>122</v>
      </c>
      <c r="C8" s="5"/>
    </row>
    <row r="9" spans="1:3" x14ac:dyDescent="0.25">
      <c r="A9" s="193">
        <v>41846</v>
      </c>
      <c r="B9" s="5">
        <v>997</v>
      </c>
      <c r="C9" s="5" t="s">
        <v>830</v>
      </c>
    </row>
    <row r="10" spans="1:3" ht="3.75" customHeight="1" x14ac:dyDescent="0.25"/>
    <row r="11" spans="1:3" x14ac:dyDescent="0.25">
      <c r="A11" s="23" t="str">
        <f>"Unique count of "&amp;LOWER(C2)&amp;"s"</f>
        <v>Unique count of customers</v>
      </c>
    </row>
    <row r="12" spans="1:3" x14ac:dyDescent="0.25">
      <c r="A12" s="6">
        <f t="array" ref="A12">SUM(IF(FREQUENCY(IF(C3:C9&lt;&gt;"",MATCH(C3:C9,C3:C9,0)),ROW(C3:C9)-ROW(C3)+1),1))</f>
        <v>3</v>
      </c>
      <c r="B12" t="s">
        <v>1792</v>
      </c>
    </row>
    <row r="13" spans="1:3" x14ac:dyDescent="0.25">
      <c r="A13" s="6">
        <f>SUMPRODUCT((C3:C9&lt;&gt;"")/COUNTIF(C3:C9,C3:C9&amp;""))</f>
        <v>3</v>
      </c>
      <c r="B13" t="s">
        <v>1793</v>
      </c>
    </row>
  </sheetData>
  <pageMargins left="0.7" right="0.7" top="0.75" bottom="0.75" header="0.3" footer="0.3"/>
  <pageSetup orientation="portrait" r:id="rId1"/>
</worksheet>
</file>

<file path=xl/worksheets/sheet2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0">
    <tabColor rgb="FF0000FF"/>
  </sheetPr>
  <dimension ref="A1:F20"/>
  <sheetViews>
    <sheetView zoomScale="175" zoomScaleNormal="175" workbookViewId="0">
      <selection activeCell="E3" sqref="E3"/>
    </sheetView>
  </sheetViews>
  <sheetFormatPr defaultRowHeight="15" x14ac:dyDescent="0.25"/>
  <cols>
    <col min="1" max="1" width="6.42578125" customWidth="1"/>
    <col min="4" max="4" width="2" customWidth="1"/>
    <col min="10" max="10" width="10.5703125" customWidth="1"/>
  </cols>
  <sheetData>
    <row r="1" spans="1:6" x14ac:dyDescent="0.25">
      <c r="A1" s="51" t="s">
        <v>833</v>
      </c>
      <c r="B1" s="103"/>
      <c r="C1" s="47"/>
      <c r="E1" s="26" t="s">
        <v>21</v>
      </c>
    </row>
    <row r="2" spans="1:6" x14ac:dyDescent="0.25">
      <c r="A2" s="8" t="s">
        <v>778</v>
      </c>
      <c r="B2" s="8" t="s">
        <v>831</v>
      </c>
      <c r="C2" s="8" t="s">
        <v>832</v>
      </c>
      <c r="E2" s="8" t="s">
        <v>831</v>
      </c>
      <c r="F2" s="8" t="s">
        <v>832</v>
      </c>
    </row>
    <row r="3" spans="1:6" x14ac:dyDescent="0.25">
      <c r="A3" s="38" t="s">
        <v>39</v>
      </c>
      <c r="B3" s="195">
        <v>98500</v>
      </c>
      <c r="C3" s="38" t="s">
        <v>835</v>
      </c>
      <c r="E3" s="120">
        <v>40000</v>
      </c>
      <c r="F3" s="5" t="s">
        <v>835</v>
      </c>
    </row>
    <row r="4" spans="1:6" x14ac:dyDescent="0.25">
      <c r="A4" s="5" t="s">
        <v>766</v>
      </c>
      <c r="B4" s="120">
        <v>54205</v>
      </c>
      <c r="C4" s="5" t="s">
        <v>29</v>
      </c>
    </row>
    <row r="5" spans="1:6" x14ac:dyDescent="0.25">
      <c r="A5" s="5" t="s">
        <v>284</v>
      </c>
      <c r="B5" s="120">
        <v>22350</v>
      </c>
      <c r="C5" s="5" t="s">
        <v>835</v>
      </c>
    </row>
    <row r="6" spans="1:6" x14ac:dyDescent="0.25">
      <c r="A6" s="5" t="s">
        <v>39</v>
      </c>
      <c r="B6" s="120">
        <v>98500</v>
      </c>
      <c r="C6" s="5" t="s">
        <v>835</v>
      </c>
    </row>
    <row r="7" spans="1:6" x14ac:dyDescent="0.25">
      <c r="A7" s="5"/>
      <c r="B7" s="120">
        <v>65200</v>
      </c>
      <c r="C7" s="5" t="s">
        <v>835</v>
      </c>
    </row>
    <row r="8" spans="1:6" x14ac:dyDescent="0.25">
      <c r="A8" s="5" t="s">
        <v>770</v>
      </c>
      <c r="B8" s="120">
        <v>82000</v>
      </c>
      <c r="C8" s="5" t="s">
        <v>29</v>
      </c>
    </row>
    <row r="9" spans="1:6" x14ac:dyDescent="0.25">
      <c r="A9" s="5" t="s">
        <v>770</v>
      </c>
      <c r="B9" s="120">
        <v>82000</v>
      </c>
      <c r="C9" s="5" t="s">
        <v>29</v>
      </c>
    </row>
    <row r="10" spans="1:6" x14ac:dyDescent="0.25">
      <c r="A10" s="5" t="s">
        <v>766</v>
      </c>
      <c r="B10" s="120">
        <v>54205</v>
      </c>
      <c r="C10" s="5" t="s">
        <v>29</v>
      </c>
    </row>
    <row r="11" spans="1:6" x14ac:dyDescent="0.25">
      <c r="A11" s="5" t="s">
        <v>92</v>
      </c>
      <c r="B11" s="120">
        <v>125300</v>
      </c>
      <c r="C11" s="5" t="s">
        <v>29</v>
      </c>
    </row>
    <row r="12" spans="1:6" x14ac:dyDescent="0.25">
      <c r="A12" s="38" t="s">
        <v>834</v>
      </c>
      <c r="B12" s="195">
        <v>43100</v>
      </c>
      <c r="C12" s="38" t="s">
        <v>835</v>
      </c>
    </row>
    <row r="13" spans="1:6" ht="3.75" customHeight="1" x14ac:dyDescent="0.25"/>
    <row r="14" spans="1:6" x14ac:dyDescent="0.25">
      <c r="A14" s="23" t="str">
        <f>"Count unique "&amp;F3&amp;" voter names with income greater than "&amp;FIXED(E3,0)</f>
        <v>Count unique Yes voter names with income greater than 40,000</v>
      </c>
    </row>
    <row r="15" spans="1:6" x14ac:dyDescent="0.25">
      <c r="A15" s="6">
        <f t="array" ref="A15">SUM(IF(FREQUENCY(IF(A3:A12&lt;&gt;"",IF(B3:B12&gt;E3,IF(C3:C12=F3,MATCH(A3:A12,A3:A12,0)))),ROW(C3:C12)-ROW(C3)+1),1))</f>
        <v>2</v>
      </c>
      <c r="B15" t="s">
        <v>1794</v>
      </c>
    </row>
    <row r="19" spans="1:2" x14ac:dyDescent="0.25">
      <c r="A19" s="6">
        <f>SUMPRODUCT(((A3:A12&lt;&gt;"")*(B3:B12&gt;E3)*(C3:C12=F3))/COUNTIF(A3:A12,A3:A12&amp;""))</f>
        <v>2</v>
      </c>
      <c r="B19" t="s">
        <v>1795</v>
      </c>
    </row>
    <row r="20" spans="1:2" x14ac:dyDescent="0.25">
      <c r="B20" t="s">
        <v>837</v>
      </c>
    </row>
  </sheetData>
  <pageMargins left="0.7" right="0.7" top="0.75" bottom="0.75" header="0.3" footer="0.3"/>
  <pageSetup orientation="portrait" r:id="rId1"/>
</worksheet>
</file>

<file path=xl/worksheets/sheet2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2">
    <tabColor rgb="FF0000FF"/>
  </sheetPr>
  <dimension ref="A1:D13"/>
  <sheetViews>
    <sheetView zoomScale="160" zoomScaleNormal="160" workbookViewId="0">
      <selection activeCell="E3" sqref="E3"/>
    </sheetView>
  </sheetViews>
  <sheetFormatPr defaultRowHeight="15" x14ac:dyDescent="0.25"/>
  <cols>
    <col min="1" max="1" width="9.85546875" customWidth="1"/>
    <col min="2" max="2" width="1.42578125" customWidth="1"/>
    <col min="3" max="3" width="18.140625" customWidth="1"/>
    <col min="4" max="4" width="48.42578125" customWidth="1"/>
    <col min="5" max="5" width="14.140625" bestFit="1" customWidth="1"/>
  </cols>
  <sheetData>
    <row r="1" spans="1:4" x14ac:dyDescent="0.25">
      <c r="A1" s="8" t="s">
        <v>821</v>
      </c>
      <c r="C1" s="194" t="s">
        <v>510</v>
      </c>
    </row>
    <row r="2" spans="1:4" x14ac:dyDescent="0.25">
      <c r="A2" s="5">
        <v>1001</v>
      </c>
      <c r="C2" s="5" t="s">
        <v>838</v>
      </c>
      <c r="D2" t="s">
        <v>846</v>
      </c>
    </row>
    <row r="3" spans="1:4" x14ac:dyDescent="0.25">
      <c r="A3" s="5">
        <v>1001</v>
      </c>
    </row>
    <row r="4" spans="1:4" x14ac:dyDescent="0.25">
      <c r="A4" s="5" t="s">
        <v>839</v>
      </c>
      <c r="C4" s="23" t="s">
        <v>847</v>
      </c>
    </row>
    <row r="5" spans="1:4" x14ac:dyDescent="0.25">
      <c r="A5" s="5" t="s">
        <v>840</v>
      </c>
      <c r="C5" s="8" t="s">
        <v>844</v>
      </c>
    </row>
    <row r="6" spans="1:4" x14ac:dyDescent="0.25">
      <c r="A6" s="5"/>
      <c r="C6" s="6">
        <f>COUNTIF(A2:A9,"~"&amp;C2)</f>
        <v>1</v>
      </c>
      <c r="D6" t="s">
        <v>1796</v>
      </c>
    </row>
    <row r="7" spans="1:4" ht="30" x14ac:dyDescent="0.25">
      <c r="A7" s="5" t="s">
        <v>841</v>
      </c>
      <c r="C7" s="44" t="s">
        <v>845</v>
      </c>
    </row>
    <row r="8" spans="1:4" x14ac:dyDescent="0.25">
      <c r="A8" s="5" t="s">
        <v>838</v>
      </c>
      <c r="C8" s="6">
        <f>MATCH("~"&amp;C2,A2:A9,0)</f>
        <v>7</v>
      </c>
      <c r="D8" t="s">
        <v>1797</v>
      </c>
    </row>
    <row r="9" spans="1:4" x14ac:dyDescent="0.25">
      <c r="A9" s="5" t="s">
        <v>842</v>
      </c>
      <c r="C9" s="73" t="s">
        <v>843</v>
      </c>
    </row>
    <row r="10" spans="1:4" x14ac:dyDescent="0.25">
      <c r="C10" s="8" t="s">
        <v>844</v>
      </c>
    </row>
    <row r="11" spans="1:4" x14ac:dyDescent="0.25">
      <c r="C11" s="6">
        <f>COUNTIF(A2:A9,C2)</f>
        <v>2</v>
      </c>
      <c r="D11" t="s">
        <v>1798</v>
      </c>
    </row>
    <row r="12" spans="1:4" ht="30" x14ac:dyDescent="0.25">
      <c r="C12" s="44" t="s">
        <v>845</v>
      </c>
    </row>
    <row r="13" spans="1:4" x14ac:dyDescent="0.25">
      <c r="C13" s="6">
        <f>MATCH(C2,A2:A9,0)</f>
        <v>4</v>
      </c>
      <c r="D13" t="s">
        <v>1799</v>
      </c>
    </row>
  </sheetData>
  <pageMargins left="0.7" right="0.7" top="0.75" bottom="0.75" header="0.3" footer="0.3"/>
</worksheet>
</file>

<file path=xl/worksheets/sheet2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3">
    <tabColor rgb="FF0000FF"/>
  </sheetPr>
  <dimension ref="A1:C17"/>
  <sheetViews>
    <sheetView zoomScale="175" zoomScaleNormal="175" workbookViewId="0">
      <selection activeCell="E3" sqref="E3"/>
    </sheetView>
  </sheetViews>
  <sheetFormatPr defaultRowHeight="15" x14ac:dyDescent="0.25"/>
  <cols>
    <col min="1" max="1" width="13.5703125" customWidth="1"/>
    <col min="2" max="2" width="2" customWidth="1"/>
    <col min="3" max="3" width="38.140625" customWidth="1"/>
  </cols>
  <sheetData>
    <row r="1" spans="1:3" x14ac:dyDescent="0.25">
      <c r="A1" s="23" t="s">
        <v>849</v>
      </c>
    </row>
    <row r="2" spans="1:3" x14ac:dyDescent="0.25">
      <c r="A2" s="8" t="s">
        <v>139</v>
      </c>
    </row>
    <row r="3" spans="1:3" x14ac:dyDescent="0.25">
      <c r="A3" s="5">
        <v>1001</v>
      </c>
    </row>
    <row r="4" spans="1:3" x14ac:dyDescent="0.25">
      <c r="A4" s="5">
        <v>1001</v>
      </c>
    </row>
    <row r="5" spans="1:3" x14ac:dyDescent="0.25">
      <c r="A5" s="5" t="s">
        <v>840</v>
      </c>
    </row>
    <row r="6" spans="1:3" x14ac:dyDescent="0.25">
      <c r="A6" s="5"/>
    </row>
    <row r="7" spans="1:3" x14ac:dyDescent="0.25">
      <c r="A7" s="5" t="s">
        <v>841</v>
      </c>
    </row>
    <row r="8" spans="1:3" x14ac:dyDescent="0.25">
      <c r="A8" s="5" t="s">
        <v>838</v>
      </c>
      <c r="C8" s="52" t="s">
        <v>850</v>
      </c>
    </row>
    <row r="9" spans="1:3" x14ac:dyDescent="0.25">
      <c r="A9" s="5" t="s">
        <v>842</v>
      </c>
      <c r="C9" s="52" t="s">
        <v>848</v>
      </c>
    </row>
    <row r="11" spans="1:3" x14ac:dyDescent="0.25">
      <c r="A11" s="8" t="s">
        <v>836</v>
      </c>
    </row>
    <row r="12" spans="1:3" x14ac:dyDescent="0.25">
      <c r="A12" s="6">
        <f t="array" ref="A12">SUM(IF(FREQUENCY(IF(A3:A9&lt;&gt;"",MATCH("~"&amp;A3:A9,A3:A9&amp;"",0)),ROW(A3:A9)-ROW(A3)+1),1))</f>
        <v>5</v>
      </c>
      <c r="C12" t="s">
        <v>1800</v>
      </c>
    </row>
    <row r="15" spans="1:3" x14ac:dyDescent="0.25">
      <c r="A15" s="6">
        <f>SUMPRODUCT(--(A3:A9&lt;&gt;"")/COUNTIF(A3:A9,A3:A9&amp;""))</f>
        <v>4.5</v>
      </c>
      <c r="C15" t="s">
        <v>1801</v>
      </c>
    </row>
    <row r="16" spans="1:3" x14ac:dyDescent="0.25">
      <c r="C16" t="s">
        <v>851</v>
      </c>
    </row>
    <row r="17" spans="3:3" x14ac:dyDescent="0.25">
      <c r="C17" t="s">
        <v>852</v>
      </c>
    </row>
  </sheetData>
  <pageMargins left="0.7" right="0.7" top="0.75" bottom="0.75" header="0.3" footer="0.3"/>
</worksheet>
</file>

<file path=xl/worksheets/sheet2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4">
    <tabColor rgb="FF0000FF"/>
  </sheetPr>
  <dimension ref="A1:C12"/>
  <sheetViews>
    <sheetView zoomScale="175" zoomScaleNormal="175" workbookViewId="0">
      <selection activeCell="E3" sqref="E3"/>
    </sheetView>
  </sheetViews>
  <sheetFormatPr defaultRowHeight="15" x14ac:dyDescent="0.25"/>
  <cols>
    <col min="1" max="1" width="14" customWidth="1"/>
    <col min="2" max="2" width="10.5703125" customWidth="1"/>
    <col min="3" max="3" width="24.140625" customWidth="1"/>
    <col min="4" max="4" width="1.7109375" customWidth="1"/>
    <col min="5" max="5" width="13.7109375" customWidth="1"/>
  </cols>
  <sheetData>
    <row r="1" spans="1:3" x14ac:dyDescent="0.25">
      <c r="A1" s="23" t="s">
        <v>854</v>
      </c>
    </row>
    <row r="2" spans="1:3" x14ac:dyDescent="0.25">
      <c r="A2" s="8" t="s">
        <v>855</v>
      </c>
      <c r="B2" s="8" t="s">
        <v>132</v>
      </c>
    </row>
    <row r="3" spans="1:3" x14ac:dyDescent="0.25">
      <c r="A3" s="5" t="s">
        <v>258</v>
      </c>
      <c r="B3" s="6">
        <f>COUNTIF(A$3:A3,A3)</f>
        <v>1</v>
      </c>
      <c r="C3" t="s">
        <v>1802</v>
      </c>
    </row>
    <row r="4" spans="1:3" x14ac:dyDescent="0.25">
      <c r="A4" s="5" t="s">
        <v>258</v>
      </c>
      <c r="B4" s="6">
        <f>COUNTIF(A$3:A4,A4)</f>
        <v>2</v>
      </c>
      <c r="C4" t="s">
        <v>1803</v>
      </c>
    </row>
    <row r="5" spans="1:3" x14ac:dyDescent="0.25">
      <c r="A5" s="5" t="s">
        <v>284</v>
      </c>
      <c r="B5" s="6">
        <f>COUNTIF(A$3:A5,A5)</f>
        <v>1</v>
      </c>
      <c r="C5" t="s">
        <v>1804</v>
      </c>
    </row>
    <row r="6" spans="1:3" x14ac:dyDescent="0.25">
      <c r="A6" s="5"/>
      <c r="B6" s="6">
        <f>COUNTIF(A$3:A6,A6)</f>
        <v>0</v>
      </c>
      <c r="C6" t="s">
        <v>1805</v>
      </c>
    </row>
    <row r="7" spans="1:3" x14ac:dyDescent="0.25">
      <c r="A7" s="5">
        <v>43</v>
      </c>
      <c r="B7" s="6">
        <f>COUNTIF(A$3:A7,A7)</f>
        <v>1</v>
      </c>
      <c r="C7" t="s">
        <v>1806</v>
      </c>
    </row>
    <row r="8" spans="1:3" x14ac:dyDescent="0.25">
      <c r="A8" s="5" t="b">
        <v>1</v>
      </c>
      <c r="B8" s="6">
        <f>COUNTIF(A$3:A8,A8)</f>
        <v>1</v>
      </c>
      <c r="C8" t="s">
        <v>1807</v>
      </c>
    </row>
    <row r="9" spans="1:3" x14ac:dyDescent="0.25">
      <c r="A9" s="5" t="s">
        <v>853</v>
      </c>
      <c r="B9" s="6">
        <f>COUNTIF(A$3:A9,A9)</f>
        <v>1</v>
      </c>
      <c r="C9" t="s">
        <v>1808</v>
      </c>
    </row>
    <row r="10" spans="1:3" x14ac:dyDescent="0.25">
      <c r="A10" s="5" t="s">
        <v>258</v>
      </c>
      <c r="B10" s="6">
        <f>COUNTIF(A$3:A10,A10)</f>
        <v>3</v>
      </c>
      <c r="C10" t="s">
        <v>1809</v>
      </c>
    </row>
    <row r="12" spans="1:3" x14ac:dyDescent="0.25">
      <c r="A12" s="8" t="s">
        <v>836</v>
      </c>
      <c r="B12" s="6">
        <f>COUNTIF(B3:B10,1)</f>
        <v>5</v>
      </c>
      <c r="C12" t="s">
        <v>1810</v>
      </c>
    </row>
  </sheetData>
  <pageMargins left="0.7" right="0.7" top="0.75" bottom="0.75" header="0.3" footer="0.3"/>
</worksheet>
</file>

<file path=xl/worksheets/sheet2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5">
    <tabColor rgb="FF0000FF"/>
  </sheetPr>
  <dimension ref="A1:E15"/>
  <sheetViews>
    <sheetView zoomScale="175" zoomScaleNormal="175" workbookViewId="0">
      <selection activeCell="E3" sqref="E3"/>
    </sheetView>
  </sheetViews>
  <sheetFormatPr defaultRowHeight="15" x14ac:dyDescent="0.25"/>
  <cols>
    <col min="1" max="1" width="9" customWidth="1"/>
    <col min="5" max="5" width="67.7109375" customWidth="1"/>
  </cols>
  <sheetData>
    <row r="1" spans="1:5" x14ac:dyDescent="0.25">
      <c r="A1" s="102" t="s">
        <v>864</v>
      </c>
      <c r="B1" s="103"/>
      <c r="C1" s="103"/>
      <c r="D1" s="47"/>
    </row>
    <row r="2" spans="1:5" x14ac:dyDescent="0.25">
      <c r="A2" s="8" t="s">
        <v>387</v>
      </c>
      <c r="B2" s="8" t="s">
        <v>548</v>
      </c>
      <c r="C2" s="8" t="s">
        <v>856</v>
      </c>
      <c r="D2" s="8" t="s">
        <v>132</v>
      </c>
    </row>
    <row r="3" spans="1:5" x14ac:dyDescent="0.25">
      <c r="A3" s="5" t="s">
        <v>388</v>
      </c>
      <c r="B3" s="5" t="s">
        <v>859</v>
      </c>
      <c r="C3" s="5" t="s">
        <v>258</v>
      </c>
      <c r="D3" s="6">
        <f>COUNTIFS(A$3:A3,A3,B$3:B3,B3,C$3:C3,C3)</f>
        <v>1</v>
      </c>
      <c r="E3" t="s">
        <v>1814</v>
      </c>
    </row>
    <row r="4" spans="1:5" x14ac:dyDescent="0.25">
      <c r="A4" s="5" t="s">
        <v>857</v>
      </c>
      <c r="B4" s="5" t="s">
        <v>860</v>
      </c>
      <c r="C4" s="5" t="s">
        <v>766</v>
      </c>
      <c r="D4" s="6">
        <f>COUNTIFS(A$3:A4,A4,B$3:B4,B4,C$3:C4,C4)</f>
        <v>1</v>
      </c>
      <c r="E4" t="s">
        <v>1815</v>
      </c>
    </row>
    <row r="5" spans="1:5" x14ac:dyDescent="0.25">
      <c r="A5" s="5" t="s">
        <v>858</v>
      </c>
      <c r="B5" s="5" t="s">
        <v>861</v>
      </c>
      <c r="C5" s="5" t="s">
        <v>92</v>
      </c>
      <c r="D5" s="6">
        <f>COUNTIFS(A$3:A5,A5,B$3:B5,B5,C$3:C5,C5)</f>
        <v>1</v>
      </c>
      <c r="E5" t="s">
        <v>1816</v>
      </c>
    </row>
    <row r="6" spans="1:5" x14ac:dyDescent="0.25">
      <c r="A6" s="5" t="s">
        <v>388</v>
      </c>
      <c r="B6" s="5" t="s">
        <v>859</v>
      </c>
      <c r="C6" s="5" t="s">
        <v>258</v>
      </c>
      <c r="D6" s="6">
        <f>COUNTIFS(A$3:A6,A6,B$3:B6,B6,C$3:C6,C6)</f>
        <v>2</v>
      </c>
      <c r="E6" t="s">
        <v>1817</v>
      </c>
    </row>
    <row r="7" spans="1:5" x14ac:dyDescent="0.25">
      <c r="A7" s="5" t="s">
        <v>858</v>
      </c>
      <c r="B7" s="5" t="s">
        <v>861</v>
      </c>
      <c r="C7" s="5" t="s">
        <v>92</v>
      </c>
      <c r="D7" s="6">
        <f>COUNTIFS(A$3:A7,A7,B$3:B7,B7,C$3:C7,C7)</f>
        <v>2</v>
      </c>
      <c r="E7" t="s">
        <v>1818</v>
      </c>
    </row>
    <row r="8" spans="1:5" x14ac:dyDescent="0.25">
      <c r="A8" s="5" t="s">
        <v>388</v>
      </c>
      <c r="B8" s="5" t="s">
        <v>862</v>
      </c>
      <c r="C8" s="5" t="s">
        <v>766</v>
      </c>
      <c r="D8" s="6">
        <f>COUNTIFS(A$3:A8,A8,B$3:B8,B8,C$3:C8,C8)</f>
        <v>1</v>
      </c>
      <c r="E8" t="s">
        <v>1819</v>
      </c>
    </row>
    <row r="9" spans="1:5" ht="3.75" customHeight="1" x14ac:dyDescent="0.25"/>
    <row r="10" spans="1:5" x14ac:dyDescent="0.25">
      <c r="A10" s="23" t="s">
        <v>865</v>
      </c>
    </row>
    <row r="11" spans="1:5" x14ac:dyDescent="0.25">
      <c r="A11" s="6">
        <f>COUNTIF(D3:D8,1)</f>
        <v>4</v>
      </c>
      <c r="B11" t="s">
        <v>1811</v>
      </c>
    </row>
    <row r="12" spans="1:5" x14ac:dyDescent="0.25">
      <c r="A12" s="23" t="s">
        <v>866</v>
      </c>
    </row>
    <row r="13" spans="1:5" x14ac:dyDescent="0.25">
      <c r="A13" s="6">
        <f t="array" ref="A13">SUM(IF(FREQUENCY(MATCH(A3:A8&amp;B3:B8&amp;C3:C8,A3:A8&amp;B3:B8&amp;C3:C8,0),ROW(C3:C8)-ROW(C3)+1),1))</f>
        <v>4</v>
      </c>
      <c r="B13" t="s">
        <v>1812</v>
      </c>
    </row>
    <row r="15" spans="1:5" x14ac:dyDescent="0.25">
      <c r="A15" s="23" t="s">
        <v>863</v>
      </c>
      <c r="D15" s="6">
        <f>SUMPRODUCT(--(A$3:A3=A3),--(B$3:B3=B3),--(C$3:C3=C3))</f>
        <v>1</v>
      </c>
      <c r="E15" t="s">
        <v>1813</v>
      </c>
    </row>
  </sheetData>
  <pageMargins left="0.7" right="0.7" top="0.75" bottom="0.75" header="0.3" footer="0.3"/>
</worksheet>
</file>

<file path=xl/worksheets/sheet2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6">
    <tabColor rgb="FF0000FF"/>
  </sheetPr>
  <dimension ref="A1:C18"/>
  <sheetViews>
    <sheetView zoomScale="145" zoomScaleNormal="145" workbookViewId="0">
      <selection activeCell="E3" sqref="E3"/>
    </sheetView>
  </sheetViews>
  <sheetFormatPr defaultRowHeight="15" x14ac:dyDescent="0.25"/>
  <cols>
    <col min="2" max="3" width="14.42578125" customWidth="1"/>
    <col min="6" max="12" width="4.5703125" customWidth="1"/>
  </cols>
  <sheetData>
    <row r="1" spans="1:3" x14ac:dyDescent="0.25">
      <c r="A1" s="23" t="s">
        <v>884</v>
      </c>
      <c r="B1" s="23"/>
    </row>
    <row r="2" spans="1:3" x14ac:dyDescent="0.25">
      <c r="A2" s="23" t="s">
        <v>905</v>
      </c>
      <c r="B2" s="23"/>
    </row>
    <row r="3" spans="1:3" x14ac:dyDescent="0.25">
      <c r="A3" s="217" t="s">
        <v>877</v>
      </c>
      <c r="B3" s="217" t="s">
        <v>878</v>
      </c>
      <c r="C3" s="217" t="s">
        <v>885</v>
      </c>
    </row>
    <row r="4" spans="1:3" x14ac:dyDescent="0.25">
      <c r="A4" s="223">
        <v>27</v>
      </c>
      <c r="B4" s="223">
        <v>3</v>
      </c>
      <c r="C4" s="223">
        <v>37</v>
      </c>
    </row>
    <row r="5" spans="1:3" ht="3" customHeight="1" x14ac:dyDescent="0.25"/>
    <row r="6" spans="1:3" ht="3" customHeight="1" x14ac:dyDescent="0.25"/>
    <row r="7" spans="1:3" x14ac:dyDescent="0.25">
      <c r="A7" s="23" t="s">
        <v>906</v>
      </c>
      <c r="B7" s="23"/>
      <c r="C7" s="23"/>
    </row>
    <row r="8" spans="1:3" x14ac:dyDescent="0.25">
      <c r="A8" s="23"/>
      <c r="B8" s="23" t="s">
        <v>879</v>
      </c>
      <c r="C8" s="23" t="s">
        <v>880</v>
      </c>
    </row>
    <row r="9" spans="1:3" x14ac:dyDescent="0.25">
      <c r="A9" s="217" t="s">
        <v>877</v>
      </c>
      <c r="B9" s="224">
        <v>13</v>
      </c>
      <c r="C9" s="38">
        <v>16</v>
      </c>
    </row>
    <row r="10" spans="1:3" x14ac:dyDescent="0.25">
      <c r="A10" s="217" t="s">
        <v>878</v>
      </c>
      <c r="B10" s="224">
        <v>43</v>
      </c>
      <c r="C10" s="38">
        <v>69</v>
      </c>
    </row>
    <row r="11" spans="1:3" x14ac:dyDescent="0.25">
      <c r="A11" s="217" t="s">
        <v>885</v>
      </c>
      <c r="B11" s="224">
        <v>19</v>
      </c>
      <c r="C11" s="38">
        <v>14</v>
      </c>
    </row>
    <row r="12" spans="1:3" ht="3" customHeight="1" x14ac:dyDescent="0.25"/>
    <row r="13" spans="1:3" ht="45" x14ac:dyDescent="0.25">
      <c r="B13" s="214" t="str">
        <f>"Total for "&amp;$B$8</f>
        <v>Total for Women's Team</v>
      </c>
      <c r="C13" s="214" t="str">
        <f>"Total for "&amp;$C$8</f>
        <v>Total for Men's Team</v>
      </c>
    </row>
    <row r="14" spans="1:3" x14ac:dyDescent="0.25">
      <c r="B14" s="215">
        <f>A4*B9+B4*B10+C4*B11</f>
        <v>1183</v>
      </c>
      <c r="C14" s="215">
        <f>A4*C9+B4*C10+C4*C11</f>
        <v>1157</v>
      </c>
    </row>
    <row r="16" spans="1:3" x14ac:dyDescent="0.25">
      <c r="B16" t="s">
        <v>894</v>
      </c>
    </row>
    <row r="17" spans="2:2" x14ac:dyDescent="0.25">
      <c r="B17" t="s">
        <v>887</v>
      </c>
    </row>
    <row r="18" spans="2:2" x14ac:dyDescent="0.25">
      <c r="B18" t="s">
        <v>886</v>
      </c>
    </row>
  </sheetData>
  <pageMargins left="0.7" right="0.7" top="0.75" bottom="0.75" header="0.3" footer="0.3"/>
  <pageSetup orientation="portrait" r:id="rId1"/>
</worksheet>
</file>

<file path=xl/worksheets/sheet2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0">
    <tabColor rgb="FF0000FF"/>
  </sheetPr>
  <dimension ref="A1:L21"/>
  <sheetViews>
    <sheetView zoomScale="145" zoomScaleNormal="145" workbookViewId="0">
      <selection activeCell="E3" sqref="E3"/>
    </sheetView>
  </sheetViews>
  <sheetFormatPr defaultRowHeight="15" x14ac:dyDescent="0.25"/>
  <cols>
    <col min="1" max="1" width="7.140625" customWidth="1"/>
    <col min="2" max="3" width="14.42578125" customWidth="1"/>
    <col min="4" max="5" width="6.140625" customWidth="1"/>
    <col min="6" max="12" width="5.140625" customWidth="1"/>
    <col min="13" max="13" width="1.5703125" customWidth="1"/>
  </cols>
  <sheetData>
    <row r="1" spans="1:12" x14ac:dyDescent="0.25">
      <c r="A1" s="52" t="s">
        <v>884</v>
      </c>
      <c r="C1" s="23" t="s">
        <v>868</v>
      </c>
      <c r="F1" s="149" t="s">
        <v>872</v>
      </c>
      <c r="G1" s="204"/>
      <c r="H1" s="204"/>
      <c r="I1" s="204"/>
      <c r="J1" s="204"/>
      <c r="K1" s="204"/>
      <c r="L1" s="205"/>
    </row>
    <row r="2" spans="1:12" x14ac:dyDescent="0.25">
      <c r="A2" t="s">
        <v>905</v>
      </c>
      <c r="C2" s="23" t="s">
        <v>875</v>
      </c>
      <c r="D2" s="211" t="s">
        <v>882</v>
      </c>
      <c r="E2" s="211"/>
      <c r="F2" s="206" t="s">
        <v>873</v>
      </c>
      <c r="G2" s="207"/>
      <c r="H2" s="207"/>
      <c r="I2" s="207"/>
      <c r="J2" s="207"/>
      <c r="K2" s="207"/>
      <c r="L2" s="208"/>
    </row>
    <row r="3" spans="1:12" x14ac:dyDescent="0.25">
      <c r="A3" s="217" t="s">
        <v>877</v>
      </c>
      <c r="B3" s="217" t="s">
        <v>878</v>
      </c>
      <c r="C3" s="217" t="s">
        <v>885</v>
      </c>
      <c r="F3" s="23" t="s">
        <v>931</v>
      </c>
      <c r="J3" s="23" t="s">
        <v>930</v>
      </c>
    </row>
    <row r="4" spans="1:12" x14ac:dyDescent="0.25">
      <c r="A4" s="216">
        <v>27</v>
      </c>
      <c r="B4" s="216">
        <v>3</v>
      </c>
      <c r="C4" s="216">
        <v>37</v>
      </c>
      <c r="F4" s="178" t="s">
        <v>123</v>
      </c>
      <c r="G4" s="178" t="s">
        <v>867</v>
      </c>
      <c r="H4" s="178" t="s">
        <v>874</v>
      </c>
      <c r="I4" s="178"/>
      <c r="J4" s="178" t="s">
        <v>123</v>
      </c>
      <c r="K4" s="178" t="s">
        <v>867</v>
      </c>
      <c r="L4" s="178" t="s">
        <v>874</v>
      </c>
    </row>
    <row r="5" spans="1:12" x14ac:dyDescent="0.25">
      <c r="F5" s="213">
        <f>ROWS(A4:C4)</f>
        <v>1</v>
      </c>
      <c r="G5" s="178" t="s">
        <v>867</v>
      </c>
      <c r="H5" s="212">
        <f>COLUMNS(A4:C4)</f>
        <v>3</v>
      </c>
      <c r="I5" s="178"/>
      <c r="J5" s="212">
        <f>ROWS(B9:C11)</f>
        <v>3</v>
      </c>
      <c r="K5" s="178" t="s">
        <v>867</v>
      </c>
      <c r="L5" s="213">
        <f>COLUMNS(B9:C11)</f>
        <v>2</v>
      </c>
    </row>
    <row r="6" spans="1:12" x14ac:dyDescent="0.25">
      <c r="C6" s="23" t="s">
        <v>869</v>
      </c>
      <c r="F6" s="200"/>
      <c r="H6" s="196"/>
      <c r="J6" s="196"/>
      <c r="L6" s="200"/>
    </row>
    <row r="7" spans="1:12" x14ac:dyDescent="0.25">
      <c r="A7" t="s">
        <v>906</v>
      </c>
      <c r="C7" s="23" t="s">
        <v>876</v>
      </c>
      <c r="D7" s="211" t="s">
        <v>883</v>
      </c>
      <c r="E7" s="211"/>
      <c r="F7" s="200"/>
      <c r="H7" s="197" t="s">
        <v>909</v>
      </c>
      <c r="I7" s="199"/>
      <c r="J7" s="198"/>
      <c r="L7" s="200"/>
    </row>
    <row r="8" spans="1:12" x14ac:dyDescent="0.25">
      <c r="B8" s="52" t="s">
        <v>879</v>
      </c>
      <c r="C8" s="52" t="s">
        <v>880</v>
      </c>
      <c r="F8" s="200"/>
      <c r="L8" s="200"/>
    </row>
    <row r="9" spans="1:12" x14ac:dyDescent="0.25">
      <c r="A9" s="217" t="s">
        <v>877</v>
      </c>
      <c r="B9" s="57">
        <v>13</v>
      </c>
      <c r="C9" s="5">
        <v>16</v>
      </c>
      <c r="F9" s="201" t="s">
        <v>910</v>
      </c>
      <c r="G9" s="202"/>
      <c r="H9" s="202"/>
      <c r="I9" s="202"/>
      <c r="J9" s="202"/>
      <c r="K9" s="202"/>
      <c r="L9" s="203"/>
    </row>
    <row r="10" spans="1:12" x14ac:dyDescent="0.25">
      <c r="A10" s="217" t="s">
        <v>878</v>
      </c>
      <c r="B10" s="57">
        <v>43</v>
      </c>
      <c r="C10" s="5">
        <v>69</v>
      </c>
    </row>
    <row r="11" spans="1:12" x14ac:dyDescent="0.25">
      <c r="A11" s="217" t="s">
        <v>885</v>
      </c>
      <c r="B11" s="57">
        <v>19</v>
      </c>
      <c r="C11" s="5">
        <v>14</v>
      </c>
      <c r="F11" s="23" t="s">
        <v>881</v>
      </c>
    </row>
    <row r="12" spans="1:12" x14ac:dyDescent="0.25">
      <c r="H12" s="209"/>
      <c r="I12" s="209"/>
    </row>
    <row r="13" spans="1:12" ht="5.25" customHeight="1" x14ac:dyDescent="0.25"/>
    <row r="14" spans="1:12" ht="45" x14ac:dyDescent="0.25">
      <c r="B14" s="214" t="str">
        <f>"Total for "&amp;$B$8</f>
        <v>Total for Women's Team</v>
      </c>
      <c r="C14" s="214" t="str">
        <f>"Total for "&amp;$C$8</f>
        <v>Total for Men's Team</v>
      </c>
    </row>
    <row r="15" spans="1:12" x14ac:dyDescent="0.25">
      <c r="B15" s="215">
        <f t="array" ref="B15:C15">MMULT(A4:C4,B9:C11)</f>
        <v>1183</v>
      </c>
      <c r="C15" s="215">
        <v>1157</v>
      </c>
      <c r="D15" s="222"/>
    </row>
    <row r="17" spans="2:6" x14ac:dyDescent="0.25">
      <c r="B17" s="215">
        <f>A4*B9+B4*B10+C4*B11</f>
        <v>1183</v>
      </c>
      <c r="C17" s="215">
        <f>A4*C9+B4*C10+C4*C11</f>
        <v>1157</v>
      </c>
      <c r="D17" t="s">
        <v>888</v>
      </c>
      <c r="F17" t="s">
        <v>887</v>
      </c>
    </row>
    <row r="18" spans="2:6" x14ac:dyDescent="0.25">
      <c r="F18" t="s">
        <v>886</v>
      </c>
    </row>
    <row r="21" spans="2:6" x14ac:dyDescent="0.25">
      <c r="C21" s="222"/>
    </row>
  </sheetData>
  <pageMargins left="0.7" right="0.7" top="0.75" bottom="0.75" header="0.3" footer="0.3"/>
</worksheet>
</file>

<file path=xl/worksheets/sheet2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1">
    <tabColor rgb="FF0000FF"/>
  </sheetPr>
  <dimension ref="A1:D7"/>
  <sheetViews>
    <sheetView zoomScale="160" zoomScaleNormal="160" workbookViewId="0">
      <selection activeCell="E3" sqref="E3"/>
    </sheetView>
  </sheetViews>
  <sheetFormatPr defaultRowHeight="15" x14ac:dyDescent="0.25"/>
  <cols>
    <col min="3" max="4" width="14.42578125" customWidth="1"/>
    <col min="7" max="13" width="4.5703125" customWidth="1"/>
  </cols>
  <sheetData>
    <row r="1" spans="1:4" x14ac:dyDescent="0.25">
      <c r="B1" s="225" t="s">
        <v>877</v>
      </c>
      <c r="C1" s="225" t="s">
        <v>878</v>
      </c>
      <c r="D1" s="225" t="s">
        <v>885</v>
      </c>
    </row>
    <row r="2" spans="1:4" x14ac:dyDescent="0.25">
      <c r="A2" s="5" t="s">
        <v>908</v>
      </c>
      <c r="B2" s="210">
        <v>27</v>
      </c>
      <c r="C2" s="210">
        <v>3</v>
      </c>
      <c r="D2" s="210">
        <v>37</v>
      </c>
    </row>
    <row r="3" spans="1:4" x14ac:dyDescent="0.25">
      <c r="A3" s="5" t="s">
        <v>339</v>
      </c>
      <c r="B3" s="5">
        <v>13</v>
      </c>
      <c r="C3" s="5">
        <v>43</v>
      </c>
      <c r="D3" s="5">
        <v>19</v>
      </c>
    </row>
    <row r="4" spans="1:4" ht="4.5" customHeight="1" x14ac:dyDescent="0.25"/>
    <row r="5" spans="1:4" x14ac:dyDescent="0.25">
      <c r="A5" s="23" t="s">
        <v>907</v>
      </c>
    </row>
    <row r="6" spans="1:4" x14ac:dyDescent="0.25">
      <c r="A6" s="215">
        <f>SUMPRODUCT(B2:D2,B3:D3)</f>
        <v>1183</v>
      </c>
    </row>
    <row r="7" spans="1:4" x14ac:dyDescent="0.25">
      <c r="A7" t="s">
        <v>1820</v>
      </c>
    </row>
  </sheetData>
  <pageMargins left="0.7" right="0.7" top="0.75" bottom="0.75" header="0.3" footer="0.3"/>
</worksheet>
</file>

<file path=xl/worksheets/sheet2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2">
    <tabColor rgb="FF0000FF"/>
  </sheetPr>
  <dimension ref="A1:L21"/>
  <sheetViews>
    <sheetView zoomScale="145" zoomScaleNormal="145" workbookViewId="0">
      <selection activeCell="E3" sqref="E3"/>
    </sheetView>
  </sheetViews>
  <sheetFormatPr defaultRowHeight="15" x14ac:dyDescent="0.25"/>
  <cols>
    <col min="1" max="1" width="7.140625" customWidth="1"/>
    <col min="2" max="3" width="14.42578125" customWidth="1"/>
    <col min="4" max="5" width="6.140625" customWidth="1"/>
    <col min="6" max="12" width="5.140625" customWidth="1"/>
    <col min="13" max="13" width="1.5703125" customWidth="1"/>
  </cols>
  <sheetData>
    <row r="1" spans="1:12" x14ac:dyDescent="0.25">
      <c r="A1" s="52" t="s">
        <v>884</v>
      </c>
      <c r="C1" s="23" t="s">
        <v>868</v>
      </c>
      <c r="F1" s="149" t="s">
        <v>872</v>
      </c>
      <c r="G1" s="204"/>
      <c r="H1" s="204"/>
      <c r="I1" s="204"/>
      <c r="J1" s="204"/>
      <c r="K1" s="204"/>
      <c r="L1" s="205"/>
    </row>
    <row r="2" spans="1:12" x14ac:dyDescent="0.25">
      <c r="A2" t="s">
        <v>905</v>
      </c>
      <c r="C2" s="23" t="s">
        <v>875</v>
      </c>
      <c r="D2" s="211" t="s">
        <v>882</v>
      </c>
      <c r="E2" s="211"/>
      <c r="F2" s="206" t="s">
        <v>873</v>
      </c>
      <c r="G2" s="207"/>
      <c r="H2" s="207"/>
      <c r="I2" s="207"/>
      <c r="J2" s="207"/>
      <c r="K2" s="207"/>
      <c r="L2" s="208"/>
    </row>
    <row r="3" spans="1:12" x14ac:dyDescent="0.25">
      <c r="A3" s="217" t="s">
        <v>877</v>
      </c>
      <c r="B3" s="217" t="s">
        <v>878</v>
      </c>
      <c r="C3" s="217" t="s">
        <v>885</v>
      </c>
      <c r="F3" s="23" t="s">
        <v>931</v>
      </c>
      <c r="J3" s="23" t="s">
        <v>930</v>
      </c>
    </row>
    <row r="4" spans="1:12" x14ac:dyDescent="0.25">
      <c r="A4" s="216">
        <v>27</v>
      </c>
      <c r="B4" s="216">
        <v>3</v>
      </c>
      <c r="C4" s="216">
        <v>37</v>
      </c>
      <c r="F4" s="178" t="s">
        <v>123</v>
      </c>
      <c r="G4" s="178" t="s">
        <v>867</v>
      </c>
      <c r="H4" s="178" t="s">
        <v>874</v>
      </c>
      <c r="I4" s="178"/>
      <c r="J4" s="178" t="s">
        <v>123</v>
      </c>
      <c r="K4" s="178" t="s">
        <v>867</v>
      </c>
      <c r="L4" s="178" t="s">
        <v>874</v>
      </c>
    </row>
    <row r="5" spans="1:12" x14ac:dyDescent="0.25">
      <c r="F5" s="213">
        <f>ROWS(A4:C4)</f>
        <v>1</v>
      </c>
      <c r="G5" s="178" t="s">
        <v>867</v>
      </c>
      <c r="H5" s="212">
        <f>COLUMNS(A4:C4)</f>
        <v>3</v>
      </c>
      <c r="I5" s="178"/>
      <c r="J5" s="212">
        <f>ROWS(B9:C11)</f>
        <v>3</v>
      </c>
      <c r="K5" s="178" t="s">
        <v>867</v>
      </c>
      <c r="L5" s="213">
        <f>COLUMNS(B9:C11)</f>
        <v>2</v>
      </c>
    </row>
    <row r="6" spans="1:12" x14ac:dyDescent="0.25">
      <c r="C6" s="23" t="s">
        <v>869</v>
      </c>
      <c r="F6" s="200"/>
      <c r="H6" s="196"/>
      <c r="J6" s="196"/>
      <c r="L6" s="200"/>
    </row>
    <row r="7" spans="1:12" x14ac:dyDescent="0.25">
      <c r="A7" t="s">
        <v>906</v>
      </c>
      <c r="C7" s="23" t="s">
        <v>876</v>
      </c>
      <c r="D7" s="211" t="s">
        <v>883</v>
      </c>
      <c r="E7" s="211"/>
      <c r="F7" s="200"/>
      <c r="H7" s="197" t="s">
        <v>909</v>
      </c>
      <c r="I7" s="199"/>
      <c r="J7" s="198"/>
      <c r="L7" s="200"/>
    </row>
    <row r="8" spans="1:12" x14ac:dyDescent="0.25">
      <c r="B8" s="52" t="s">
        <v>879</v>
      </c>
      <c r="C8" s="52" t="s">
        <v>880</v>
      </c>
      <c r="F8" s="200"/>
      <c r="L8" s="200"/>
    </row>
    <row r="9" spans="1:12" x14ac:dyDescent="0.25">
      <c r="A9" s="217" t="s">
        <v>877</v>
      </c>
      <c r="B9" s="57">
        <v>13</v>
      </c>
      <c r="C9" s="5">
        <v>16</v>
      </c>
      <c r="F9" s="201" t="s">
        <v>910</v>
      </c>
      <c r="G9" s="202"/>
      <c r="H9" s="202"/>
      <c r="I9" s="202"/>
      <c r="J9" s="202"/>
      <c r="K9" s="202"/>
      <c r="L9" s="203"/>
    </row>
    <row r="10" spans="1:12" x14ac:dyDescent="0.25">
      <c r="A10" s="217" t="s">
        <v>878</v>
      </c>
      <c r="B10" s="57">
        <v>43</v>
      </c>
      <c r="C10" s="5">
        <v>69</v>
      </c>
    </row>
    <row r="11" spans="1:12" x14ac:dyDescent="0.25">
      <c r="A11" s="217" t="s">
        <v>885</v>
      </c>
      <c r="B11" s="57">
        <v>19</v>
      </c>
      <c r="C11" s="5">
        <v>14</v>
      </c>
      <c r="F11" s="23" t="s">
        <v>881</v>
      </c>
    </row>
    <row r="12" spans="1:12" x14ac:dyDescent="0.25">
      <c r="H12" s="209"/>
      <c r="I12" s="209"/>
    </row>
    <row r="13" spans="1:12" ht="5.25" customHeight="1" x14ac:dyDescent="0.25"/>
    <row r="14" spans="1:12" ht="45" x14ac:dyDescent="0.25">
      <c r="B14" s="214" t="str">
        <f>"Total for "&amp;$B$8</f>
        <v>Total for Women's Team</v>
      </c>
      <c r="C14" s="214" t="str">
        <f>"Total for "&amp;$C$8</f>
        <v>Total for Men's Team</v>
      </c>
    </row>
    <row r="15" spans="1:12" x14ac:dyDescent="0.25">
      <c r="B15" s="215">
        <f t="array" ref="B15:C15">MMULT(A4:C4,B9:C11)</f>
        <v>1183</v>
      </c>
      <c r="C15" s="215">
        <v>1157</v>
      </c>
    </row>
    <row r="17" spans="2:6" x14ac:dyDescent="0.25">
      <c r="B17" s="215">
        <f>A4*B9+B4*B10+C4*B11</f>
        <v>1183</v>
      </c>
      <c r="C17" s="215">
        <f>A4*C9+B4*C10+C4*C11</f>
        <v>1157</v>
      </c>
      <c r="D17" t="s">
        <v>888</v>
      </c>
      <c r="F17" t="s">
        <v>887</v>
      </c>
    </row>
    <row r="18" spans="2:6" x14ac:dyDescent="0.25">
      <c r="F18" t="s">
        <v>886</v>
      </c>
    </row>
    <row r="21" spans="2:6" x14ac:dyDescent="0.25">
      <c r="C21" s="222"/>
    </row>
  </sheetData>
  <pageMargins left="0.7" right="0.7" top="0.75" bottom="0.75" header="0.3" footer="0.3"/>
</worksheet>
</file>

<file path=xl/worksheets/sheet2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7">
    <tabColor rgb="FF0000FF"/>
  </sheetPr>
  <dimension ref="A1:N18"/>
  <sheetViews>
    <sheetView zoomScale="160" zoomScaleNormal="160" workbookViewId="0">
      <selection activeCell="E3" sqref="E3"/>
    </sheetView>
  </sheetViews>
  <sheetFormatPr defaultRowHeight="15" x14ac:dyDescent="0.25"/>
  <cols>
    <col min="1" max="1" width="7.5703125" customWidth="1"/>
    <col min="2" max="2" width="8.42578125" customWidth="1"/>
    <col min="3" max="5" width="7.140625" customWidth="1"/>
    <col min="6" max="6" width="10.140625" customWidth="1"/>
    <col min="7" max="7" width="29.42578125" customWidth="1"/>
    <col min="8" max="14" width="4.28515625" customWidth="1"/>
    <col min="15" max="15" width="1.42578125" customWidth="1"/>
  </cols>
  <sheetData>
    <row r="1" spans="1:14" x14ac:dyDescent="0.25">
      <c r="A1" t="s">
        <v>893</v>
      </c>
      <c r="H1" s="149" t="s">
        <v>872</v>
      </c>
      <c r="I1" s="204"/>
      <c r="J1" s="204"/>
      <c r="K1" s="204"/>
      <c r="L1" s="204"/>
      <c r="M1" s="204"/>
      <c r="N1" s="205"/>
    </row>
    <row r="2" spans="1:14" x14ac:dyDescent="0.25">
      <c r="B2" t="s">
        <v>891</v>
      </c>
      <c r="H2" s="206" t="s">
        <v>873</v>
      </c>
      <c r="I2" s="207"/>
      <c r="J2" s="207"/>
      <c r="K2" s="207"/>
      <c r="L2" s="207"/>
      <c r="M2" s="207"/>
      <c r="N2" s="208"/>
    </row>
    <row r="3" spans="1:14" x14ac:dyDescent="0.25">
      <c r="A3" s="219" t="s">
        <v>778</v>
      </c>
      <c r="B3" s="219" t="s">
        <v>324</v>
      </c>
      <c r="C3" s="219" t="s">
        <v>325</v>
      </c>
      <c r="D3" s="219" t="s">
        <v>326</v>
      </c>
      <c r="E3" s="219" t="s">
        <v>327</v>
      </c>
      <c r="F3" s="219" t="s">
        <v>15</v>
      </c>
      <c r="H3" s="23" t="s">
        <v>931</v>
      </c>
      <c r="I3" s="23"/>
      <c r="J3" s="23"/>
      <c r="K3" s="23"/>
      <c r="L3" s="23" t="s">
        <v>930</v>
      </c>
      <c r="M3" s="23"/>
      <c r="N3" s="23"/>
    </row>
    <row r="4" spans="1:14" x14ac:dyDescent="0.25">
      <c r="A4" s="5" t="s">
        <v>39</v>
      </c>
      <c r="B4" s="38">
        <v>91</v>
      </c>
      <c r="C4" s="38">
        <v>94</v>
      </c>
      <c r="D4" s="38">
        <v>91</v>
      </c>
      <c r="E4" s="101">
        <v>87.5</v>
      </c>
      <c r="F4" s="49">
        <f t="array" ref="F4">MMULT(B4:E4,$B$11:$B$14)</f>
        <v>90.35</v>
      </c>
      <c r="G4" t="s">
        <v>1821</v>
      </c>
      <c r="H4" s="178" t="s">
        <v>123</v>
      </c>
      <c r="I4" s="178" t="s">
        <v>867</v>
      </c>
      <c r="J4" s="178" t="s">
        <v>874</v>
      </c>
      <c r="K4" s="178"/>
      <c r="L4" s="178" t="s">
        <v>123</v>
      </c>
      <c r="M4" s="178" t="s">
        <v>867</v>
      </c>
      <c r="N4" s="178" t="s">
        <v>874</v>
      </c>
    </row>
    <row r="5" spans="1:14" x14ac:dyDescent="0.25">
      <c r="A5" s="5" t="s">
        <v>92</v>
      </c>
      <c r="B5" s="39">
        <v>98</v>
      </c>
      <c r="C5" s="39">
        <v>87.5</v>
      </c>
      <c r="D5" s="39">
        <v>79</v>
      </c>
      <c r="E5" s="75">
        <v>86</v>
      </c>
      <c r="F5" s="49">
        <f t="array" ref="F5">MMULT(B5:E5,$B$11:$B$14)</f>
        <v>87.724999999999994</v>
      </c>
      <c r="G5" s="322" t="s">
        <v>1473</v>
      </c>
      <c r="H5" s="213">
        <f>ROWS(B4:E4)</f>
        <v>1</v>
      </c>
      <c r="I5" s="178" t="s">
        <v>867</v>
      </c>
      <c r="J5" s="212">
        <f>COLUMNS(B4:E5)</f>
        <v>4</v>
      </c>
      <c r="K5" s="178"/>
      <c r="L5" s="212">
        <f>ROWS(B11:B14)</f>
        <v>4</v>
      </c>
      <c r="M5" s="178" t="s">
        <v>867</v>
      </c>
      <c r="N5" s="213">
        <f>COLUMNS(B11:B14)</f>
        <v>1</v>
      </c>
    </row>
    <row r="6" spans="1:14" x14ac:dyDescent="0.25">
      <c r="A6" s="5" t="s">
        <v>258</v>
      </c>
      <c r="B6" s="39">
        <v>73</v>
      </c>
      <c r="C6" s="39">
        <v>36</v>
      </c>
      <c r="D6" s="39">
        <v>56</v>
      </c>
      <c r="E6" s="75">
        <v>78</v>
      </c>
      <c r="F6" s="49">
        <f t="array" ref="F6">MMULT(B6:E6,$B$11:$B$14)</f>
        <v>63.2</v>
      </c>
      <c r="H6" s="200"/>
      <c r="J6" s="196"/>
      <c r="L6" s="196"/>
      <c r="N6" s="200"/>
    </row>
    <row r="7" spans="1:14" x14ac:dyDescent="0.25">
      <c r="A7" s="5" t="s">
        <v>259</v>
      </c>
      <c r="B7" s="39">
        <v>65</v>
      </c>
      <c r="C7" s="39">
        <v>70</v>
      </c>
      <c r="D7" s="75">
        <v>72</v>
      </c>
      <c r="E7" s="75">
        <v>84</v>
      </c>
      <c r="F7" s="49">
        <f t="array" ref="F7">MMULT(B7:E7,$B$11:$B$14)</f>
        <v>74.900000000000006</v>
      </c>
      <c r="H7" s="200"/>
      <c r="J7" s="196"/>
      <c r="L7" s="196"/>
      <c r="N7" s="200"/>
    </row>
    <row r="8" spans="1:14" x14ac:dyDescent="0.25">
      <c r="H8" s="200"/>
      <c r="J8" s="197" t="s">
        <v>871</v>
      </c>
      <c r="K8" s="199"/>
      <c r="L8" s="198"/>
      <c r="N8" s="200"/>
    </row>
    <row r="9" spans="1:14" x14ac:dyDescent="0.25">
      <c r="A9" s="23" t="s">
        <v>1037</v>
      </c>
      <c r="B9" s="23"/>
      <c r="C9" t="s">
        <v>892</v>
      </c>
      <c r="H9" s="200"/>
      <c r="N9" s="200"/>
    </row>
    <row r="10" spans="1:14" x14ac:dyDescent="0.25">
      <c r="A10" s="219" t="s">
        <v>889</v>
      </c>
      <c r="B10" s="219" t="s">
        <v>890</v>
      </c>
      <c r="H10" s="201" t="s">
        <v>870</v>
      </c>
      <c r="I10" s="202"/>
      <c r="J10" s="202"/>
      <c r="K10" s="202"/>
      <c r="L10" s="202"/>
      <c r="M10" s="202"/>
      <c r="N10" s="203"/>
    </row>
    <row r="11" spans="1:14" x14ac:dyDescent="0.25">
      <c r="A11" s="5" t="s">
        <v>324</v>
      </c>
      <c r="B11" s="38">
        <v>0.2</v>
      </c>
      <c r="H11" s="23" t="s">
        <v>881</v>
      </c>
    </row>
    <row r="12" spans="1:14" x14ac:dyDescent="0.25">
      <c r="A12" s="5" t="s">
        <v>325</v>
      </c>
      <c r="B12" s="38">
        <v>0.25</v>
      </c>
      <c r="K12" s="209"/>
    </row>
    <row r="13" spans="1:14" x14ac:dyDescent="0.25">
      <c r="A13" s="5" t="s">
        <v>326</v>
      </c>
      <c r="B13" s="38">
        <v>0.15</v>
      </c>
      <c r="F13" s="219" t="s">
        <v>894</v>
      </c>
    </row>
    <row r="14" spans="1:14" x14ac:dyDescent="0.25">
      <c r="A14" s="5" t="s">
        <v>327</v>
      </c>
      <c r="B14" s="38">
        <f>1-SUM(B11:B13)</f>
        <v>0.4</v>
      </c>
      <c r="F14" s="6">
        <f>$B$11*B4+$B$12*C4+$B$13*D4+$B$14*E4</f>
        <v>90.35</v>
      </c>
      <c r="G14" t="s">
        <v>1822</v>
      </c>
    </row>
    <row r="15" spans="1:14" x14ac:dyDescent="0.25">
      <c r="F15" s="6">
        <f>$B$11*B5+$B$12*C5+$B$13*D5+$B$14*E5</f>
        <v>87.724999999999994</v>
      </c>
      <c r="G15" t="s">
        <v>1823</v>
      </c>
    </row>
    <row r="16" spans="1:14" x14ac:dyDescent="0.25">
      <c r="F16" s="6">
        <f>$B$11*B6+$B$12*C6+$B$13*D6+$B$14*E6</f>
        <v>63.2</v>
      </c>
      <c r="G16" t="s">
        <v>1824</v>
      </c>
    </row>
    <row r="17" spans="6:7" x14ac:dyDescent="0.25">
      <c r="F17" s="6">
        <f>$B$11*B7+$B$12*C7+$B$13*D7+$B$14*E7</f>
        <v>74.900000000000006</v>
      </c>
      <c r="G17" t="s">
        <v>1825</v>
      </c>
    </row>
    <row r="18" spans="6:7" ht="7.5" customHeight="1" x14ac:dyDescent="0.25"/>
  </sheetData>
  <pageMargins left="0.7" right="0.7" top="0.75" bottom="0.75" header="0.3" footer="0.3"/>
</worksheet>
</file>

<file path=xl/worksheets/sheet2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3">
    <tabColor rgb="FF0000FF"/>
  </sheetPr>
  <dimension ref="A1:S12"/>
  <sheetViews>
    <sheetView zoomScale="130" zoomScaleNormal="130" workbookViewId="0">
      <selection activeCell="E3" sqref="E3"/>
    </sheetView>
  </sheetViews>
  <sheetFormatPr defaultRowHeight="15" x14ac:dyDescent="0.25"/>
  <cols>
    <col min="1" max="11" width="4" customWidth="1"/>
    <col min="12" max="12" width="2.85546875" customWidth="1"/>
    <col min="13" max="19" width="4.85546875" customWidth="1"/>
  </cols>
  <sheetData>
    <row r="1" spans="1:19" x14ac:dyDescent="0.25">
      <c r="B1" s="38">
        <v>1</v>
      </c>
      <c r="C1" s="38">
        <v>2</v>
      </c>
      <c r="D1" s="38">
        <v>3</v>
      </c>
      <c r="E1" s="38">
        <v>4</v>
      </c>
      <c r="F1" s="38">
        <v>5</v>
      </c>
      <c r="G1" s="38">
        <v>6</v>
      </c>
      <c r="H1" s="38">
        <v>7</v>
      </c>
      <c r="I1" s="38">
        <v>8</v>
      </c>
      <c r="J1" s="38">
        <v>9</v>
      </c>
      <c r="K1" s="38">
        <v>10</v>
      </c>
      <c r="L1" t="s">
        <v>933</v>
      </c>
    </row>
    <row r="2" spans="1:19" x14ac:dyDescent="0.25">
      <c r="A2" s="38">
        <v>1</v>
      </c>
      <c r="B2" s="6">
        <f t="array" ref="B2:K11">MMULT(A2:A11,B1:K1)</f>
        <v>1</v>
      </c>
      <c r="C2" s="6">
        <v>2</v>
      </c>
      <c r="D2" s="6">
        <v>3</v>
      </c>
      <c r="E2" s="6">
        <v>4</v>
      </c>
      <c r="F2" s="6">
        <v>5</v>
      </c>
      <c r="G2" s="6">
        <v>6</v>
      </c>
      <c r="H2" s="6">
        <v>7</v>
      </c>
      <c r="I2" s="6">
        <v>8</v>
      </c>
      <c r="J2" s="6">
        <v>9</v>
      </c>
      <c r="K2" s="6">
        <v>10</v>
      </c>
    </row>
    <row r="3" spans="1:19" x14ac:dyDescent="0.25">
      <c r="A3" s="38">
        <v>2</v>
      </c>
      <c r="B3" s="6">
        <v>2</v>
      </c>
      <c r="C3" s="6">
        <v>4</v>
      </c>
      <c r="D3" s="6">
        <v>6</v>
      </c>
      <c r="E3" s="6">
        <v>8</v>
      </c>
      <c r="F3" s="6">
        <v>10</v>
      </c>
      <c r="G3" s="6">
        <v>12</v>
      </c>
      <c r="H3" s="6">
        <v>14</v>
      </c>
      <c r="I3" s="6">
        <v>16</v>
      </c>
      <c r="J3" s="6">
        <v>18</v>
      </c>
      <c r="K3" s="6">
        <v>20</v>
      </c>
      <c r="M3" s="23" t="s">
        <v>931</v>
      </c>
      <c r="Q3" s="23" t="s">
        <v>930</v>
      </c>
    </row>
    <row r="4" spans="1:19" x14ac:dyDescent="0.25">
      <c r="A4" s="38">
        <v>3</v>
      </c>
      <c r="B4" s="6">
        <v>3</v>
      </c>
      <c r="C4" s="6">
        <v>6</v>
      </c>
      <c r="D4" s="6">
        <v>9</v>
      </c>
      <c r="E4" s="6">
        <v>12</v>
      </c>
      <c r="F4" s="6">
        <v>15</v>
      </c>
      <c r="G4" s="6">
        <v>18</v>
      </c>
      <c r="H4" s="6">
        <v>21</v>
      </c>
      <c r="I4" s="6">
        <v>24</v>
      </c>
      <c r="J4" s="6">
        <v>27</v>
      </c>
      <c r="K4" s="6">
        <v>30</v>
      </c>
      <c r="M4" t="s">
        <v>123</v>
      </c>
      <c r="N4" t="s">
        <v>867</v>
      </c>
      <c r="O4" t="s">
        <v>874</v>
      </c>
      <c r="Q4" t="s">
        <v>123</v>
      </c>
      <c r="R4" t="s">
        <v>867</v>
      </c>
      <c r="S4" t="s">
        <v>874</v>
      </c>
    </row>
    <row r="5" spans="1:19" x14ac:dyDescent="0.25">
      <c r="A5" s="38">
        <v>4</v>
      </c>
      <c r="B5" s="6">
        <v>4</v>
      </c>
      <c r="C5" s="6">
        <v>8</v>
      </c>
      <c r="D5" s="6">
        <v>12</v>
      </c>
      <c r="E5" s="6">
        <v>16</v>
      </c>
      <c r="F5" s="6">
        <v>20</v>
      </c>
      <c r="G5" s="6">
        <v>24</v>
      </c>
      <c r="H5" s="6">
        <v>28</v>
      </c>
      <c r="I5" s="6">
        <v>32</v>
      </c>
      <c r="J5" s="6">
        <v>36</v>
      </c>
      <c r="K5" s="6">
        <v>40</v>
      </c>
      <c r="M5" s="218">
        <f>ROWS(A2:A11)</f>
        <v>10</v>
      </c>
      <c r="N5" t="s">
        <v>867</v>
      </c>
      <c r="O5" s="217">
        <f>COLUMNS(A2:A11)</f>
        <v>1</v>
      </c>
      <c r="P5" s="227"/>
      <c r="Q5" s="217">
        <f>ROWS(B1:K1)</f>
        <v>1</v>
      </c>
      <c r="R5" t="s">
        <v>867</v>
      </c>
      <c r="S5" s="218">
        <f>COLUMNS(B1:K1)</f>
        <v>10</v>
      </c>
    </row>
    <row r="6" spans="1:19" x14ac:dyDescent="0.25">
      <c r="A6" s="38">
        <v>5</v>
      </c>
      <c r="B6" s="6">
        <v>5</v>
      </c>
      <c r="C6" s="6">
        <v>10</v>
      </c>
      <c r="D6" s="6">
        <v>15</v>
      </c>
      <c r="E6" s="6">
        <v>20</v>
      </c>
      <c r="F6" s="6">
        <v>25</v>
      </c>
      <c r="G6" s="6">
        <v>30</v>
      </c>
      <c r="H6" s="6">
        <v>35</v>
      </c>
      <c r="I6" s="6">
        <v>40</v>
      </c>
      <c r="J6" s="6">
        <v>45</v>
      </c>
      <c r="K6" s="6">
        <v>50</v>
      </c>
      <c r="M6" s="200"/>
      <c r="O6" s="196"/>
      <c r="Q6" s="196"/>
      <c r="S6" s="200"/>
    </row>
    <row r="7" spans="1:19" x14ac:dyDescent="0.25">
      <c r="A7" s="38">
        <v>6</v>
      </c>
      <c r="B7" s="6">
        <v>6</v>
      </c>
      <c r="C7" s="6">
        <v>12</v>
      </c>
      <c r="D7" s="6">
        <v>18</v>
      </c>
      <c r="E7" s="6">
        <v>24</v>
      </c>
      <c r="F7" s="6">
        <v>30</v>
      </c>
      <c r="G7" s="6">
        <v>36</v>
      </c>
      <c r="H7" s="6">
        <v>42</v>
      </c>
      <c r="I7" s="6">
        <v>48</v>
      </c>
      <c r="J7" s="6">
        <v>54</v>
      </c>
      <c r="K7" s="6">
        <v>60</v>
      </c>
      <c r="M7" s="200"/>
      <c r="O7" s="196"/>
      <c r="Q7" s="196"/>
      <c r="S7" s="200"/>
    </row>
    <row r="8" spans="1:19" x14ac:dyDescent="0.25">
      <c r="A8" s="38">
        <v>7</v>
      </c>
      <c r="B8" s="6">
        <v>7</v>
      </c>
      <c r="C8" s="6">
        <v>14</v>
      </c>
      <c r="D8" s="6">
        <v>21</v>
      </c>
      <c r="E8" s="6">
        <v>28</v>
      </c>
      <c r="F8" s="6">
        <v>35</v>
      </c>
      <c r="G8" s="6">
        <v>42</v>
      </c>
      <c r="H8" s="6">
        <v>49</v>
      </c>
      <c r="I8" s="6">
        <v>56</v>
      </c>
      <c r="J8" s="6">
        <v>63</v>
      </c>
      <c r="K8" s="6">
        <v>70</v>
      </c>
      <c r="M8" s="200"/>
      <c r="O8" s="197" t="str">
        <f>"1) Equal = "&amp;O5&amp;" x "&amp;Q5</f>
        <v>1) Equal = 1 x 1</v>
      </c>
      <c r="P8" s="199"/>
      <c r="Q8" s="198"/>
      <c r="S8" s="200"/>
    </row>
    <row r="9" spans="1:19" x14ac:dyDescent="0.25">
      <c r="A9" s="38">
        <v>8</v>
      </c>
      <c r="B9" s="6">
        <v>8</v>
      </c>
      <c r="C9" s="6">
        <v>16</v>
      </c>
      <c r="D9" s="6">
        <v>24</v>
      </c>
      <c r="E9" s="6">
        <v>32</v>
      </c>
      <c r="F9" s="6">
        <v>40</v>
      </c>
      <c r="G9" s="6">
        <v>48</v>
      </c>
      <c r="H9" s="6">
        <v>56</v>
      </c>
      <c r="I9" s="6">
        <v>64</v>
      </c>
      <c r="J9" s="6">
        <v>72</v>
      </c>
      <c r="K9" s="6">
        <v>80</v>
      </c>
      <c r="M9" s="200"/>
      <c r="S9" s="200"/>
    </row>
    <row r="10" spans="1:19" x14ac:dyDescent="0.25">
      <c r="A10" s="38">
        <v>9</v>
      </c>
      <c r="B10" s="6">
        <v>9</v>
      </c>
      <c r="C10" s="6">
        <v>18</v>
      </c>
      <c r="D10" s="6">
        <v>27</v>
      </c>
      <c r="E10" s="6">
        <v>36</v>
      </c>
      <c r="F10" s="6">
        <v>45</v>
      </c>
      <c r="G10" s="6">
        <v>54</v>
      </c>
      <c r="H10" s="6">
        <v>63</v>
      </c>
      <c r="I10" s="6">
        <v>72</v>
      </c>
      <c r="J10" s="6">
        <v>81</v>
      </c>
      <c r="K10" s="6">
        <v>90</v>
      </c>
      <c r="M10" s="201" t="str">
        <f>"2) Resultant Array = "&amp;M5&amp;" x "&amp;S5</f>
        <v>2) Resultant Array = 10 x 10</v>
      </c>
      <c r="N10" s="202"/>
      <c r="O10" s="202"/>
      <c r="P10" s="202"/>
      <c r="Q10" s="202"/>
      <c r="R10" s="202"/>
      <c r="S10" s="203"/>
    </row>
    <row r="11" spans="1:19" x14ac:dyDescent="0.25">
      <c r="A11" s="38">
        <v>10</v>
      </c>
      <c r="B11" s="6">
        <v>10</v>
      </c>
      <c r="C11" s="6">
        <v>20</v>
      </c>
      <c r="D11" s="6">
        <v>30</v>
      </c>
      <c r="E11" s="6">
        <v>40</v>
      </c>
      <c r="F11" s="6">
        <v>50</v>
      </c>
      <c r="G11" s="6">
        <v>60</v>
      </c>
      <c r="H11" s="6">
        <v>70</v>
      </c>
      <c r="I11" s="6">
        <v>80</v>
      </c>
      <c r="J11" s="6">
        <v>90</v>
      </c>
      <c r="K11" s="6">
        <v>100</v>
      </c>
    </row>
    <row r="12" spans="1:19" x14ac:dyDescent="0.25">
      <c r="A12" t="s">
        <v>932</v>
      </c>
    </row>
  </sheetData>
  <pageMargins left="0.7" right="0.7" top="0.75" bottom="0.75" header="0.3" footer="0.3"/>
</worksheet>
</file>

<file path=xl/worksheets/sheet2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8">
    <tabColor rgb="FF0000FF"/>
  </sheetPr>
  <dimension ref="A1:M16"/>
  <sheetViews>
    <sheetView zoomScale="175" zoomScaleNormal="175" workbookViewId="0">
      <selection activeCell="E3" sqref="E3"/>
    </sheetView>
  </sheetViews>
  <sheetFormatPr defaultRowHeight="15" x14ac:dyDescent="0.25"/>
  <cols>
    <col min="1" max="2" width="7.140625" customWidth="1"/>
    <col min="3" max="4" width="9.5703125" customWidth="1"/>
    <col min="5" max="5" width="14.140625" customWidth="1"/>
    <col min="6" max="6" width="10.5703125" customWidth="1"/>
    <col min="7" max="13" width="4.7109375" customWidth="1"/>
    <col min="14" max="14" width="1.5703125" customWidth="1"/>
  </cols>
  <sheetData>
    <row r="1" spans="1:13" x14ac:dyDescent="0.25">
      <c r="B1" s="86" t="s">
        <v>299</v>
      </c>
      <c r="C1" s="67">
        <v>0.6</v>
      </c>
      <c r="D1" s="67">
        <v>0.4</v>
      </c>
      <c r="E1" t="s">
        <v>895</v>
      </c>
      <c r="G1" s="23" t="s">
        <v>931</v>
      </c>
      <c r="K1" s="23" t="s">
        <v>930</v>
      </c>
    </row>
    <row r="2" spans="1:13" ht="45" x14ac:dyDescent="0.25">
      <c r="A2" s="87" t="s">
        <v>300</v>
      </c>
      <c r="B2" s="88"/>
      <c r="C2" s="89" t="s">
        <v>896</v>
      </c>
      <c r="D2" s="89" t="s">
        <v>897</v>
      </c>
      <c r="G2" s="284" t="s">
        <v>123</v>
      </c>
      <c r="H2" s="285" t="s">
        <v>867</v>
      </c>
      <c r="I2" s="225" t="s">
        <v>874</v>
      </c>
      <c r="J2" s="227"/>
      <c r="K2" s="225" t="s">
        <v>123</v>
      </c>
      <c r="L2" s="286" t="s">
        <v>867</v>
      </c>
      <c r="M2" s="284" t="s">
        <v>874</v>
      </c>
    </row>
    <row r="3" spans="1:13" x14ac:dyDescent="0.25">
      <c r="A3" s="90" t="s">
        <v>301</v>
      </c>
      <c r="B3" s="90">
        <v>0.5</v>
      </c>
      <c r="C3" s="91" t="s">
        <v>302</v>
      </c>
      <c r="D3" s="91">
        <v>-0.15</v>
      </c>
      <c r="G3" s="289">
        <f>ROWS(B3:B5)</f>
        <v>3</v>
      </c>
      <c r="H3" s="287" t="s">
        <v>867</v>
      </c>
      <c r="I3" s="290">
        <f>COLUMNS(B3:B5)</f>
        <v>1</v>
      </c>
      <c r="J3" s="288"/>
      <c r="K3" s="290">
        <f>ROWS(C1:D1)</f>
        <v>1</v>
      </c>
      <c r="L3" s="287" t="s">
        <v>867</v>
      </c>
      <c r="M3" s="289">
        <f>COLUMNS(C1:D1)</f>
        <v>2</v>
      </c>
    </row>
    <row r="4" spans="1:13" x14ac:dyDescent="0.25">
      <c r="A4" s="90" t="s">
        <v>303</v>
      </c>
      <c r="B4" s="90">
        <v>0.4</v>
      </c>
      <c r="C4" s="91">
        <v>0.05</v>
      </c>
      <c r="D4" s="91">
        <v>0.05</v>
      </c>
      <c r="G4" s="200"/>
      <c r="I4" s="196"/>
      <c r="K4" s="196"/>
      <c r="M4" s="200"/>
    </row>
    <row r="5" spans="1:13" x14ac:dyDescent="0.25">
      <c r="A5" s="90" t="s">
        <v>304</v>
      </c>
      <c r="B5" s="90">
        <v>0.1</v>
      </c>
      <c r="C5" s="91">
        <v>0.1</v>
      </c>
      <c r="D5" s="91">
        <v>0.2</v>
      </c>
      <c r="G5" s="200"/>
      <c r="I5" s="197" t="str">
        <f>"1) Equal = "&amp;I3&amp;" x "&amp;K3</f>
        <v>1) Equal = 1 x 1</v>
      </c>
      <c r="J5" s="199"/>
      <c r="K5" s="198"/>
      <c r="M5" s="200"/>
    </row>
    <row r="6" spans="1:13" x14ac:dyDescent="0.25">
      <c r="G6" s="200"/>
      <c r="M6" s="200"/>
    </row>
    <row r="7" spans="1:13" x14ac:dyDescent="0.25">
      <c r="G7" s="201" t="str">
        <f>"2) Resultant Array = "&amp;G3&amp;" x "&amp;M3</f>
        <v>2) Resultant Array = 3 x 2</v>
      </c>
      <c r="H7" s="202"/>
      <c r="I7" s="202"/>
      <c r="J7" s="202"/>
      <c r="K7" s="202"/>
      <c r="L7" s="202"/>
      <c r="M7" s="203"/>
    </row>
    <row r="8" spans="1:13" x14ac:dyDescent="0.25">
      <c r="A8" s="52"/>
      <c r="B8" s="221" t="s">
        <v>7</v>
      </c>
      <c r="C8" t="s">
        <v>900</v>
      </c>
    </row>
    <row r="9" spans="1:13" x14ac:dyDescent="0.25">
      <c r="A9" s="176" t="s">
        <v>306</v>
      </c>
      <c r="B9" s="234"/>
      <c r="C9" s="111"/>
      <c r="D9" s="6" t="e">
        <f>SUMPRODUCT(C3:D5*B3:B5*C1:D1)</f>
        <v>#VALUE!</v>
      </c>
      <c r="E9" t="s">
        <v>1826</v>
      </c>
    </row>
    <row r="10" spans="1:13" x14ac:dyDescent="0.25">
      <c r="A10" s="176" t="s">
        <v>306</v>
      </c>
      <c r="B10" s="234"/>
      <c r="C10" s="111"/>
      <c r="D10" s="6">
        <f>SUMPRODUCT(C3:D5,MMULT(B3:B5,C1:D1))</f>
        <v>4.0000000000000053E-3</v>
      </c>
      <c r="E10" t="s">
        <v>1827</v>
      </c>
    </row>
    <row r="11" spans="1:13" ht="7.5" customHeight="1" x14ac:dyDescent="0.25"/>
    <row r="13" spans="1:13" x14ac:dyDescent="0.25">
      <c r="A13" t="s">
        <v>898</v>
      </c>
    </row>
    <row r="14" spans="1:13" x14ac:dyDescent="0.25">
      <c r="A14" s="220" t="s">
        <v>899</v>
      </c>
    </row>
    <row r="15" spans="1:13" x14ac:dyDescent="0.25">
      <c r="A15" t="s">
        <v>911</v>
      </c>
    </row>
    <row r="16" spans="1:13" x14ac:dyDescent="0.25">
      <c r="A16" t="s">
        <v>912</v>
      </c>
    </row>
  </sheetData>
  <pageMargins left="0.7" right="0.7" top="0.75" bottom="0.75" header="0.3" footer="0.3"/>
</worksheet>
</file>

<file path=xl/worksheets/sheet2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4">
    <tabColor rgb="FF0000FF"/>
  </sheetPr>
  <dimension ref="A1:M12"/>
  <sheetViews>
    <sheetView zoomScale="160" zoomScaleNormal="160" workbookViewId="0">
      <selection activeCell="E3" sqref="E3"/>
    </sheetView>
  </sheetViews>
  <sheetFormatPr defaultRowHeight="15" x14ac:dyDescent="0.25"/>
  <cols>
    <col min="1" max="5" width="8.7109375" customWidth="1"/>
    <col min="6" max="6" width="1.7109375" customWidth="1"/>
    <col min="7" max="13" width="4.5703125" customWidth="1"/>
    <col min="14" max="14" width="1.5703125" customWidth="1"/>
  </cols>
  <sheetData>
    <row r="1" spans="1:13" x14ac:dyDescent="0.25">
      <c r="A1" s="219" t="s">
        <v>931</v>
      </c>
      <c r="G1" s="23" t="s">
        <v>931</v>
      </c>
      <c r="K1" s="23" t="s">
        <v>930</v>
      </c>
    </row>
    <row r="2" spans="1:13" x14ac:dyDescent="0.25">
      <c r="A2" s="5">
        <v>1</v>
      </c>
      <c r="B2" s="5">
        <v>5</v>
      </c>
      <c r="C2" s="5">
        <v>2</v>
      </c>
      <c r="D2" s="231"/>
      <c r="G2" s="218" t="s">
        <v>123</v>
      </c>
      <c r="H2" s="226" t="s">
        <v>867</v>
      </c>
      <c r="I2" s="217" t="s">
        <v>874</v>
      </c>
      <c r="J2" s="227"/>
      <c r="K2" s="217" t="s">
        <v>123</v>
      </c>
      <c r="L2" s="38" t="s">
        <v>867</v>
      </c>
      <c r="M2" s="218" t="s">
        <v>874</v>
      </c>
    </row>
    <row r="3" spans="1:13" x14ac:dyDescent="0.25">
      <c r="A3" s="5">
        <v>1</v>
      </c>
      <c r="B3" s="5">
        <v>1</v>
      </c>
      <c r="C3" s="5"/>
      <c r="G3" s="228">
        <f>ROWS(A2:C3)</f>
        <v>2</v>
      </c>
      <c r="H3" s="229" t="s">
        <v>867</v>
      </c>
      <c r="I3" s="230">
        <f>COLUMNS(A2:C3)</f>
        <v>3</v>
      </c>
      <c r="J3" s="227"/>
      <c r="K3" s="230">
        <f>ROWS(A5:E7)</f>
        <v>3</v>
      </c>
      <c r="L3" s="229" t="s">
        <v>867</v>
      </c>
      <c r="M3" s="228">
        <f>COLUMNS(A5:E7)</f>
        <v>5</v>
      </c>
    </row>
    <row r="4" spans="1:13" x14ac:dyDescent="0.25">
      <c r="A4" s="219" t="s">
        <v>930</v>
      </c>
      <c r="G4" s="200"/>
      <c r="I4" s="196"/>
      <c r="K4" s="196"/>
      <c r="M4" s="200"/>
    </row>
    <row r="5" spans="1:13" x14ac:dyDescent="0.25">
      <c r="A5" s="5">
        <v>1</v>
      </c>
      <c r="B5" s="5">
        <v>1</v>
      </c>
      <c r="C5" s="5">
        <v>3</v>
      </c>
      <c r="D5" s="5">
        <v>0</v>
      </c>
      <c r="E5" s="5">
        <v>3</v>
      </c>
      <c r="G5" s="200"/>
      <c r="I5" s="196"/>
      <c r="K5" s="196"/>
      <c r="M5" s="200"/>
    </row>
    <row r="6" spans="1:13" x14ac:dyDescent="0.25">
      <c r="A6" s="5">
        <v>2</v>
      </c>
      <c r="B6" s="5">
        <v>3</v>
      </c>
      <c r="C6" s="5">
        <v>3</v>
      </c>
      <c r="D6" s="5">
        <v>2</v>
      </c>
      <c r="E6" s="5">
        <v>1</v>
      </c>
      <c r="G6" s="200"/>
      <c r="I6" s="197" t="str">
        <f>"1) Equal = "&amp;I3&amp;" x "&amp;K3</f>
        <v>1) Equal = 3 x 3</v>
      </c>
      <c r="J6" s="199"/>
      <c r="K6" s="198"/>
      <c r="M6" s="200"/>
    </row>
    <row r="7" spans="1:13" x14ac:dyDescent="0.25">
      <c r="A7" s="5">
        <v>2</v>
      </c>
      <c r="B7" s="5">
        <v>1</v>
      </c>
      <c r="C7" s="5">
        <v>1</v>
      </c>
      <c r="D7" s="5">
        <v>1</v>
      </c>
      <c r="E7" s="5">
        <v>3</v>
      </c>
      <c r="G7" s="200"/>
      <c r="M7" s="200"/>
    </row>
    <row r="8" spans="1:13" x14ac:dyDescent="0.25">
      <c r="G8" s="201" t="str">
        <f>"2) Resultant Array = "&amp;G3&amp;" x "&amp;M3</f>
        <v>2) Resultant Array = 2 x 5</v>
      </c>
      <c r="H8" s="202"/>
      <c r="I8" s="202"/>
      <c r="J8" s="202"/>
      <c r="K8" s="202"/>
      <c r="L8" s="202"/>
      <c r="M8" s="203"/>
    </row>
    <row r="9" spans="1:13" x14ac:dyDescent="0.25">
      <c r="A9" s="23" t="s">
        <v>929</v>
      </c>
    </row>
    <row r="10" spans="1:13" x14ac:dyDescent="0.25">
      <c r="A10" s="6" t="e">
        <f t="array" ref="A10:E11">MMULT(A2:C3,A5:E7)</f>
        <v>#VALUE!</v>
      </c>
      <c r="B10" s="6" t="e">
        <v>#VALUE!</v>
      </c>
      <c r="C10" s="6" t="e">
        <v>#VALUE!</v>
      </c>
      <c r="D10" s="6" t="e">
        <v>#VALUE!</v>
      </c>
      <c r="E10" s="6" t="e">
        <v>#VALUE!</v>
      </c>
    </row>
    <row r="11" spans="1:13" x14ac:dyDescent="0.25">
      <c r="A11" s="6" t="e">
        <v>#VALUE!</v>
      </c>
      <c r="B11" s="6" t="e">
        <v>#VALUE!</v>
      </c>
      <c r="C11" s="6" t="e">
        <v>#VALUE!</v>
      </c>
      <c r="D11" s="6" t="e">
        <v>#VALUE!</v>
      </c>
      <c r="E11" s="6" t="e">
        <v>#VALUE!</v>
      </c>
    </row>
    <row r="12" spans="1:13" ht="9" customHeight="1" x14ac:dyDescent="0.25"/>
  </sheetData>
  <pageMargins left="0.7" right="0.7" top="0.75" bottom="0.75" header="0.3" footer="0.3"/>
</worksheet>
</file>

<file path=xl/worksheets/sheet2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5">
    <tabColor rgb="FF0000FF"/>
  </sheetPr>
  <dimension ref="A1:T7"/>
  <sheetViews>
    <sheetView zoomScale="130" zoomScaleNormal="130" workbookViewId="0">
      <selection activeCell="E3" sqref="E3"/>
    </sheetView>
  </sheetViews>
  <sheetFormatPr defaultRowHeight="15" x14ac:dyDescent="0.25"/>
  <cols>
    <col min="1" max="8" width="5.42578125" style="232" customWidth="1"/>
    <col min="9" max="12" width="9.140625" style="232"/>
    <col min="13" max="20" width="5.42578125" style="232" customWidth="1"/>
    <col min="21" max="16384" width="9.140625" style="232"/>
  </cols>
  <sheetData>
    <row r="1" spans="1:20" ht="18.75" x14ac:dyDescent="0.35">
      <c r="A1" s="233" t="s">
        <v>904</v>
      </c>
      <c r="D1" s="233" t="s">
        <v>935</v>
      </c>
      <c r="G1" s="233" t="s">
        <v>936</v>
      </c>
    </row>
    <row r="2" spans="1:20" ht="18.75" x14ac:dyDescent="0.35">
      <c r="A2" s="235">
        <v>2</v>
      </c>
      <c r="B2" s="235">
        <v>1</v>
      </c>
      <c r="C2" s="339" t="s">
        <v>867</v>
      </c>
      <c r="D2" s="236">
        <f t="array" ref="D2:E3">MINVERSE(A2:B3)</f>
        <v>2.9999999999999973</v>
      </c>
      <c r="E2" s="236">
        <v>-0.99999999999999889</v>
      </c>
      <c r="F2" s="338" t="s">
        <v>934</v>
      </c>
      <c r="G2" s="236">
        <f t="array" ref="G2:H3">MMULT(A2:B3,D2:E3)</f>
        <v>0.99999999999999911</v>
      </c>
      <c r="H2" s="236">
        <v>4.4408920985006262E-16</v>
      </c>
      <c r="M2" s="233" t="s">
        <v>904</v>
      </c>
      <c r="P2" s="233" t="s">
        <v>935</v>
      </c>
      <c r="S2" s="233" t="s">
        <v>936</v>
      </c>
    </row>
    <row r="3" spans="1:20" x14ac:dyDescent="0.25">
      <c r="A3" s="235">
        <v>5</v>
      </c>
      <c r="B3" s="235">
        <v>3</v>
      </c>
      <c r="C3" s="339"/>
      <c r="D3" s="236">
        <v>-4.9999999999999956</v>
      </c>
      <c r="E3" s="236">
        <v>1.9999999999999982</v>
      </c>
      <c r="F3" s="338"/>
      <c r="G3" s="236">
        <v>0</v>
      </c>
      <c r="H3" s="236">
        <v>1</v>
      </c>
      <c r="M3" s="235">
        <v>2</v>
      </c>
      <c r="N3" s="235">
        <v>1</v>
      </c>
      <c r="O3" s="339" t="s">
        <v>867</v>
      </c>
      <c r="P3" s="236">
        <f t="array" ref="P3:Q4">MINVERSE(M3:N4)</f>
        <v>2.9999999999999973</v>
      </c>
      <c r="Q3" s="236">
        <v>-0.99999999999999889</v>
      </c>
      <c r="R3" s="338" t="s">
        <v>934</v>
      </c>
      <c r="S3" s="236">
        <f t="array" ref="S3:T4">MMULT(M3:N4,P3:Q4)</f>
        <v>0.99999999999999911</v>
      </c>
      <c r="T3" s="236">
        <v>4.4408920985006262E-16</v>
      </c>
    </row>
    <row r="4" spans="1:20" x14ac:dyDescent="0.25">
      <c r="M4" s="235">
        <v>5</v>
      </c>
      <c r="N4" s="235">
        <v>3</v>
      </c>
      <c r="O4" s="339"/>
      <c r="P4" s="236">
        <v>-4.9999999999999956</v>
      </c>
      <c r="Q4" s="236">
        <v>1.9999999999999982</v>
      </c>
      <c r="R4" s="338"/>
      <c r="S4" s="236">
        <v>0</v>
      </c>
      <c r="T4" s="236">
        <v>1</v>
      </c>
    </row>
    <row r="5" spans="1:20" ht="18" x14ac:dyDescent="0.35">
      <c r="G5" s="233" t="s">
        <v>936</v>
      </c>
    </row>
    <row r="6" spans="1:20" x14ac:dyDescent="0.25">
      <c r="G6" s="237">
        <f t="array" ref="G6:H7">_xlfn.MUNIT(2)</f>
        <v>1</v>
      </c>
      <c r="H6" s="237">
        <v>0</v>
      </c>
    </row>
    <row r="7" spans="1:20" x14ac:dyDescent="0.25">
      <c r="G7" s="237">
        <v>0</v>
      </c>
      <c r="H7" s="237">
        <v>1</v>
      </c>
    </row>
  </sheetData>
  <mergeCells count="4">
    <mergeCell ref="F2:F3"/>
    <mergeCell ref="C2:C3"/>
    <mergeCell ref="O3:O4"/>
    <mergeCell ref="R3:R4"/>
  </mergeCells>
  <pageMargins left="0.7" right="0.7" top="0.75" bottom="0.75" header="0.3" footer="0.3"/>
</worksheet>
</file>

<file path=xl/worksheets/sheet2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9">
    <tabColor rgb="FF0000FF"/>
  </sheetPr>
  <dimension ref="A1:T19"/>
  <sheetViews>
    <sheetView zoomScale="145" zoomScaleNormal="145" workbookViewId="0">
      <selection activeCell="E3" sqref="E3"/>
    </sheetView>
  </sheetViews>
  <sheetFormatPr defaultRowHeight="15" x14ac:dyDescent="0.25"/>
  <cols>
    <col min="1" max="7" width="4.5703125" customWidth="1"/>
    <col min="8" max="8" width="1.42578125" customWidth="1"/>
    <col min="9" max="15" width="4.7109375" customWidth="1"/>
    <col min="16" max="16" width="4" customWidth="1"/>
    <col min="17" max="17" width="4.7109375" customWidth="1"/>
    <col min="18" max="18" width="34.42578125" customWidth="1"/>
    <col min="19" max="19" width="1.140625" customWidth="1"/>
    <col min="20" max="20" width="18" customWidth="1"/>
    <col min="21" max="23" width="4.85546875" customWidth="1"/>
  </cols>
  <sheetData>
    <row r="1" spans="1:20" x14ac:dyDescent="0.25">
      <c r="A1" s="23" t="s">
        <v>937</v>
      </c>
      <c r="I1" s="23" t="s">
        <v>938</v>
      </c>
      <c r="J1" s="23"/>
      <c r="M1" s="23" t="s">
        <v>939</v>
      </c>
      <c r="Q1" s="23" t="s">
        <v>940</v>
      </c>
    </row>
    <row r="2" spans="1:20" x14ac:dyDescent="0.25">
      <c r="I2" t="s">
        <v>917</v>
      </c>
      <c r="M2" t="s">
        <v>918</v>
      </c>
    </row>
    <row r="3" spans="1:20" ht="18" x14ac:dyDescent="0.35">
      <c r="A3" s="38" t="s">
        <v>919</v>
      </c>
      <c r="B3" s="38" t="s">
        <v>913</v>
      </c>
      <c r="C3" s="38" t="s">
        <v>920</v>
      </c>
      <c r="D3" s="38" t="s">
        <v>914</v>
      </c>
      <c r="E3" s="38" t="s">
        <v>921</v>
      </c>
      <c r="F3" s="38" t="s">
        <v>915</v>
      </c>
      <c r="G3" s="38">
        <f>G17</f>
        <v>-4</v>
      </c>
      <c r="I3" s="5">
        <v>1</v>
      </c>
      <c r="J3" s="5">
        <v>-2</v>
      </c>
      <c r="K3" s="5">
        <v>1</v>
      </c>
      <c r="M3" s="5">
        <v>-4</v>
      </c>
      <c r="P3" s="23" t="s">
        <v>926</v>
      </c>
      <c r="Q3" s="6">
        <f t="array" ref="Q3:Q5">MMULT(MINVERSE(I3:K5),M3:M5)</f>
        <v>-1</v>
      </c>
      <c r="R3" t="s">
        <v>1828</v>
      </c>
      <c r="T3" t="e">
        <f t="array" ref="T3:T5">MMULT(M3:M5,MINVERSE(I3:K5))</f>
        <v>#VALUE!</v>
      </c>
    </row>
    <row r="4" spans="1:20" ht="18" x14ac:dyDescent="0.35">
      <c r="A4" s="38"/>
      <c r="B4" s="38"/>
      <c r="C4" s="38" t="s">
        <v>922</v>
      </c>
      <c r="D4" s="38" t="s">
        <v>914</v>
      </c>
      <c r="E4" s="38" t="s">
        <v>923</v>
      </c>
      <c r="F4" s="38" t="s">
        <v>915</v>
      </c>
      <c r="G4" s="38">
        <f>G18</f>
        <v>4</v>
      </c>
      <c r="I4" s="5">
        <v>0</v>
      </c>
      <c r="J4" s="5">
        <v>1</v>
      </c>
      <c r="K4" s="5">
        <v>2</v>
      </c>
      <c r="M4" s="5">
        <v>4</v>
      </c>
      <c r="P4" s="23" t="s">
        <v>927</v>
      </c>
      <c r="Q4" s="6">
        <v>2.0000000000000004</v>
      </c>
      <c r="R4" t="s">
        <v>1828</v>
      </c>
      <c r="T4" t="e">
        <v>#VALUE!</v>
      </c>
    </row>
    <row r="5" spans="1:20" ht="18" x14ac:dyDescent="0.35">
      <c r="A5" s="38" t="s">
        <v>924</v>
      </c>
      <c r="B5" s="38" t="s">
        <v>914</v>
      </c>
      <c r="C5" s="38" t="s">
        <v>925</v>
      </c>
      <c r="D5" s="38" t="s">
        <v>913</v>
      </c>
      <c r="E5" s="38" t="s">
        <v>923</v>
      </c>
      <c r="F5" s="38" t="s">
        <v>915</v>
      </c>
      <c r="G5" s="38">
        <f>G19</f>
        <v>2</v>
      </c>
      <c r="I5" s="5">
        <v>2</v>
      </c>
      <c r="J5" s="5">
        <v>3</v>
      </c>
      <c r="K5" s="5">
        <v>-2</v>
      </c>
      <c r="M5" s="5">
        <v>2</v>
      </c>
      <c r="P5" s="23" t="s">
        <v>928</v>
      </c>
      <c r="Q5" s="6">
        <v>1.0000000000000002</v>
      </c>
      <c r="R5" t="s">
        <v>1828</v>
      </c>
      <c r="T5" t="e">
        <v>#VALUE!</v>
      </c>
    </row>
    <row r="7" spans="1:20" x14ac:dyDescent="0.25">
      <c r="A7" s="23" t="s">
        <v>941</v>
      </c>
      <c r="I7" s="218" t="s">
        <v>123</v>
      </c>
      <c r="J7" s="226" t="s">
        <v>867</v>
      </c>
      <c r="K7" s="217" t="s">
        <v>874</v>
      </c>
      <c r="L7" s="227"/>
      <c r="M7" s="217" t="s">
        <v>123</v>
      </c>
      <c r="N7" s="38" t="s">
        <v>867</v>
      </c>
      <c r="O7" s="218" t="s">
        <v>874</v>
      </c>
    </row>
    <row r="8" spans="1:20" x14ac:dyDescent="0.25">
      <c r="A8" s="38" t="str">
        <f>A17&amp;"*"&amp;$Q$3</f>
        <v>1*-1</v>
      </c>
      <c r="B8" s="38" t="s">
        <v>913</v>
      </c>
      <c r="C8" s="38" t="str">
        <f>C17&amp;"*"&amp;$Q$4</f>
        <v>2*2</v>
      </c>
      <c r="D8" s="38" t="s">
        <v>914</v>
      </c>
      <c r="E8" s="38" t="str">
        <f>E17&amp;"*"&amp;$Q$5</f>
        <v>1*1</v>
      </c>
      <c r="F8" s="38" t="s">
        <v>915</v>
      </c>
      <c r="G8" s="38">
        <f t="array" ref="G8:G10">MMULT(I3:K5,Q3:Q5)</f>
        <v>-4.0000000000000009</v>
      </c>
      <c r="I8" s="228">
        <f>ROWS(I3:K5)</f>
        <v>3</v>
      </c>
      <c r="J8" s="229" t="s">
        <v>867</v>
      </c>
      <c r="K8" s="230">
        <f>COLUMNS(I3:K5)</f>
        <v>3</v>
      </c>
      <c r="L8" s="227"/>
      <c r="M8" s="230">
        <f>ROWS(M3:M5)</f>
        <v>3</v>
      </c>
      <c r="N8" s="229" t="s">
        <v>867</v>
      </c>
      <c r="O8" s="228">
        <f>COLUMNS(M3:M5)</f>
        <v>1</v>
      </c>
    </row>
    <row r="9" spans="1:20" x14ac:dyDescent="0.25">
      <c r="A9" s="38" t="str">
        <f>A18&amp;"*"&amp;$Q$3</f>
        <v>0*-1</v>
      </c>
      <c r="B9" s="38" t="s">
        <v>914</v>
      </c>
      <c r="C9" s="38" t="str">
        <f>C18&amp;"*"&amp;$Q$4</f>
        <v>1*2</v>
      </c>
      <c r="D9" s="38" t="s">
        <v>914</v>
      </c>
      <c r="E9" s="38" t="str">
        <f>E18&amp;"*"&amp;$Q$5</f>
        <v>2*1</v>
      </c>
      <c r="F9" s="38" t="s">
        <v>915</v>
      </c>
      <c r="G9" s="38">
        <v>4.0000000000000009</v>
      </c>
      <c r="I9" s="200"/>
      <c r="K9" s="196"/>
      <c r="M9" s="196"/>
      <c r="O9" s="200"/>
    </row>
    <row r="10" spans="1:20" x14ac:dyDescent="0.25">
      <c r="A10" s="38" t="str">
        <f>A19&amp;"*"&amp;$Q$3</f>
        <v>2*-1</v>
      </c>
      <c r="B10" s="38" t="s">
        <v>914</v>
      </c>
      <c r="C10" s="38" t="str">
        <f>C19&amp;"*"&amp;$Q$4</f>
        <v>3*2</v>
      </c>
      <c r="D10" s="38" t="s">
        <v>913</v>
      </c>
      <c r="E10" s="38" t="str">
        <f>E19&amp;"*"&amp;$Q$5</f>
        <v>2*1</v>
      </c>
      <c r="F10" s="38" t="s">
        <v>915</v>
      </c>
      <c r="G10" s="38">
        <v>2.0000000000000013</v>
      </c>
      <c r="I10" s="200"/>
      <c r="K10" s="196"/>
      <c r="M10" s="196"/>
      <c r="O10" s="200"/>
    </row>
    <row r="11" spans="1:20" x14ac:dyDescent="0.25">
      <c r="I11" s="200"/>
      <c r="K11" s="197" t="str">
        <f>"1) Equal = "&amp;K8&amp;" x "&amp;M8</f>
        <v>1) Equal = 3 x 3</v>
      </c>
      <c r="L11" s="199"/>
      <c r="M11" s="198"/>
      <c r="O11" s="200"/>
    </row>
    <row r="12" spans="1:20" x14ac:dyDescent="0.25">
      <c r="I12" s="200"/>
      <c r="O12" s="200"/>
    </row>
    <row r="13" spans="1:20" x14ac:dyDescent="0.25">
      <c r="I13" s="201" t="str">
        <f>"2) Resultant Array = "&amp;I8&amp;" x "&amp;O8</f>
        <v>2) Resultant Array = 3 x 1</v>
      </c>
      <c r="J13" s="202"/>
      <c r="K13" s="202"/>
      <c r="L13" s="202"/>
      <c r="M13" s="202"/>
      <c r="N13" s="202"/>
      <c r="O13" s="203"/>
    </row>
    <row r="14" spans="1:20" ht="5.25" customHeight="1" x14ac:dyDescent="0.25"/>
    <row r="16" spans="1:20" x14ac:dyDescent="0.25">
      <c r="A16" t="s">
        <v>916</v>
      </c>
    </row>
    <row r="17" spans="1:7" x14ac:dyDescent="0.25">
      <c r="A17" s="38">
        <v>1</v>
      </c>
      <c r="B17" s="38" t="s">
        <v>913</v>
      </c>
      <c r="C17" s="38">
        <v>2</v>
      </c>
      <c r="D17" s="38" t="s">
        <v>914</v>
      </c>
      <c r="E17" s="38">
        <v>1</v>
      </c>
      <c r="F17" s="38" t="s">
        <v>915</v>
      </c>
      <c r="G17" s="38">
        <v>-4</v>
      </c>
    </row>
    <row r="18" spans="1:7" x14ac:dyDescent="0.25">
      <c r="A18" s="38">
        <v>0</v>
      </c>
      <c r="B18" s="38"/>
      <c r="C18" s="38">
        <v>1</v>
      </c>
      <c r="D18" s="38" t="s">
        <v>914</v>
      </c>
      <c r="E18" s="38">
        <v>2</v>
      </c>
      <c r="F18" s="38" t="s">
        <v>915</v>
      </c>
      <c r="G18" s="38">
        <v>4</v>
      </c>
    </row>
    <row r="19" spans="1:7" x14ac:dyDescent="0.25">
      <c r="A19" s="38">
        <v>2</v>
      </c>
      <c r="B19" s="38" t="s">
        <v>914</v>
      </c>
      <c r="C19" s="38">
        <v>3</v>
      </c>
      <c r="D19" s="38" t="s">
        <v>913</v>
      </c>
      <c r="E19" s="38">
        <v>2</v>
      </c>
      <c r="F19" s="38" t="s">
        <v>915</v>
      </c>
      <c r="G19" s="38">
        <v>2</v>
      </c>
    </row>
  </sheetData>
  <pageMargins left="0.7" right="0.7" top="0.75" bottom="0.75" header="0.3" footer="0.3"/>
</worksheet>
</file>

<file path=xl/worksheets/sheet2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6">
    <tabColor rgb="FF0000FF"/>
  </sheetPr>
  <dimension ref="A1:J23"/>
  <sheetViews>
    <sheetView zoomScale="160" zoomScaleNormal="160" workbookViewId="0">
      <selection activeCell="E3" sqref="E3"/>
    </sheetView>
  </sheetViews>
  <sheetFormatPr defaultRowHeight="15" x14ac:dyDescent="0.25"/>
  <cols>
    <col min="1" max="4" width="10.140625" customWidth="1"/>
    <col min="5" max="5" width="2.140625" customWidth="1"/>
    <col min="6" max="6" width="33.7109375" customWidth="1"/>
    <col min="7" max="7" width="12.7109375" customWidth="1"/>
    <col min="8" max="8" width="10.7109375" customWidth="1"/>
    <col min="9" max="9" width="14.5703125" customWidth="1"/>
    <col min="10" max="10" width="7.7109375" bestFit="1" customWidth="1"/>
  </cols>
  <sheetData>
    <row r="1" spans="1:10" x14ac:dyDescent="0.25">
      <c r="B1" s="86" t="s">
        <v>299</v>
      </c>
      <c r="C1" s="67">
        <v>0.6</v>
      </c>
      <c r="D1" s="67">
        <v>0.4</v>
      </c>
      <c r="F1" s="23" t="s">
        <v>903</v>
      </c>
    </row>
    <row r="2" spans="1:10" ht="49.5" customHeight="1" x14ac:dyDescent="0.35">
      <c r="A2" s="87" t="s">
        <v>300</v>
      </c>
      <c r="B2" s="88"/>
      <c r="C2" s="89" t="s">
        <v>896</v>
      </c>
      <c r="D2" s="89" t="s">
        <v>897</v>
      </c>
      <c r="F2" s="76" t="s">
        <v>1038</v>
      </c>
      <c r="G2" s="76" t="s">
        <v>1039</v>
      </c>
      <c r="H2" s="76" t="s">
        <v>1040</v>
      </c>
      <c r="I2" s="76" t="s">
        <v>1041</v>
      </c>
    </row>
    <row r="3" spans="1:10" x14ac:dyDescent="0.25">
      <c r="A3" s="90" t="s">
        <v>301</v>
      </c>
      <c r="B3" s="90">
        <v>0.5</v>
      </c>
      <c r="C3" s="91">
        <v>0</v>
      </c>
      <c r="D3" s="91">
        <v>-0.15</v>
      </c>
      <c r="F3" s="239">
        <f>SUMPRODUCT(C3:D3,$C$1:$D$1)</f>
        <v>-0.06</v>
      </c>
      <c r="G3" s="239">
        <f>F3-$D$6</f>
        <v>-6.4000000000000001E-2</v>
      </c>
      <c r="H3" s="239">
        <f>G3^2</f>
        <v>4.0959999999999998E-3</v>
      </c>
      <c r="I3" s="239">
        <f>H3*B3</f>
        <v>2.0479999999999999E-3</v>
      </c>
    </row>
    <row r="4" spans="1:10" x14ac:dyDescent="0.25">
      <c r="A4" s="90" t="s">
        <v>303</v>
      </c>
      <c r="B4" s="90">
        <v>0.4</v>
      </c>
      <c r="C4" s="91">
        <v>0.05</v>
      </c>
      <c r="D4" s="91">
        <v>0.05</v>
      </c>
      <c r="F4" s="239">
        <f>SUMPRODUCT(C4:D4,$C$1:$D$1)</f>
        <v>0.05</v>
      </c>
      <c r="G4" s="239">
        <f>F4-$D$6</f>
        <v>4.5999999999999999E-2</v>
      </c>
      <c r="H4" s="239">
        <f>G4^2</f>
        <v>2.1159999999999998E-3</v>
      </c>
      <c r="I4" s="239">
        <f>H4*B4</f>
        <v>8.4639999999999997E-4</v>
      </c>
    </row>
    <row r="5" spans="1:10" x14ac:dyDescent="0.25">
      <c r="A5" s="90" t="s">
        <v>304</v>
      </c>
      <c r="B5" s="90">
        <v>0.1</v>
      </c>
      <c r="C5" s="91">
        <v>0.1</v>
      </c>
      <c r="D5" s="91">
        <v>0.2</v>
      </c>
      <c r="F5" s="239">
        <f>SUMPRODUCT(C5:D5,$C$1:$D$1)</f>
        <v>0.14000000000000001</v>
      </c>
      <c r="G5" s="239">
        <f>F5-$D$6</f>
        <v>0.13600000000000001</v>
      </c>
      <c r="H5" s="239">
        <f>G5^2</f>
        <v>1.8496000000000002E-2</v>
      </c>
      <c r="I5" s="239">
        <f>H5*B5</f>
        <v>1.8496000000000003E-3</v>
      </c>
    </row>
    <row r="6" spans="1:10" x14ac:dyDescent="0.25">
      <c r="A6" s="176" t="s">
        <v>943</v>
      </c>
      <c r="B6" s="110"/>
      <c r="C6" s="111"/>
      <c r="D6" s="239">
        <f>SUMPRODUCT(C3:D5,MMULT(B3:B5,C1:D1))</f>
        <v>4.0000000000000053E-3</v>
      </c>
      <c r="G6" s="62" t="s">
        <v>902</v>
      </c>
      <c r="H6" s="61"/>
      <c r="I6" s="240">
        <f>SUM(I3:I5)</f>
        <v>4.744E-3</v>
      </c>
      <c r="J6" s="25" t="s">
        <v>949</v>
      </c>
    </row>
    <row r="7" spans="1:10" x14ac:dyDescent="0.25">
      <c r="A7" s="5" t="s">
        <v>1843</v>
      </c>
      <c r="B7" s="57"/>
      <c r="G7" s="176" t="s">
        <v>942</v>
      </c>
      <c r="H7" s="111"/>
      <c r="I7" s="239">
        <f>SQRT(I6)</f>
        <v>6.8876701430890253E-2</v>
      </c>
      <c r="J7" s="25" t="s">
        <v>950</v>
      </c>
    </row>
    <row r="8" spans="1:10" x14ac:dyDescent="0.25">
      <c r="A8" s="176" t="s">
        <v>944</v>
      </c>
      <c r="B8" s="110"/>
      <c r="C8" s="111"/>
      <c r="D8" s="6"/>
      <c r="I8" t="s">
        <v>1829</v>
      </c>
    </row>
    <row r="9" spans="1:10" x14ac:dyDescent="0.25">
      <c r="I9" t="s">
        <v>1830</v>
      </c>
    </row>
    <row r="10" spans="1:10" x14ac:dyDescent="0.25">
      <c r="F10" t="s">
        <v>1831</v>
      </c>
      <c r="G10" t="s">
        <v>1832</v>
      </c>
      <c r="H10" t="s">
        <v>1833</v>
      </c>
      <c r="I10" t="s">
        <v>1834</v>
      </c>
    </row>
    <row r="11" spans="1:10" x14ac:dyDescent="0.25">
      <c r="F11" t="s">
        <v>1835</v>
      </c>
      <c r="G11" t="s">
        <v>1836</v>
      </c>
      <c r="H11" t="s">
        <v>1837</v>
      </c>
      <c r="I11" t="s">
        <v>1838</v>
      </c>
    </row>
    <row r="12" spans="1:10" x14ac:dyDescent="0.25">
      <c r="F12" t="s">
        <v>1839</v>
      </c>
      <c r="G12" t="s">
        <v>1840</v>
      </c>
      <c r="H12" t="s">
        <v>1841</v>
      </c>
      <c r="I12" t="s">
        <v>1842</v>
      </c>
    </row>
    <row r="13" spans="1:10" x14ac:dyDescent="0.25">
      <c r="B13">
        <v>2</v>
      </c>
      <c r="C13">
        <v>1</v>
      </c>
    </row>
    <row r="15" spans="1:10" x14ac:dyDescent="0.25">
      <c r="B15">
        <v>1</v>
      </c>
      <c r="C15">
        <v>1</v>
      </c>
    </row>
    <row r="17" spans="2:3" x14ac:dyDescent="0.25">
      <c r="B17">
        <v>2</v>
      </c>
      <c r="C17">
        <v>2</v>
      </c>
    </row>
    <row r="18" spans="2:3" x14ac:dyDescent="0.25">
      <c r="B18">
        <v>2</v>
      </c>
      <c r="C18">
        <v>2</v>
      </c>
    </row>
    <row r="19" spans="2:3" x14ac:dyDescent="0.25">
      <c r="B19">
        <v>2</v>
      </c>
      <c r="C19">
        <v>2</v>
      </c>
    </row>
    <row r="21" spans="2:3" x14ac:dyDescent="0.25">
      <c r="B21">
        <f t="array" ref="B21:C23">B13:C15*B17:C19</f>
        <v>4</v>
      </c>
      <c r="C21">
        <v>2</v>
      </c>
    </row>
    <row r="22" spans="2:3" x14ac:dyDescent="0.25">
      <c r="B22">
        <v>0</v>
      </c>
      <c r="C22">
        <v>0</v>
      </c>
    </row>
    <row r="23" spans="2:3" x14ac:dyDescent="0.25">
      <c r="B23">
        <v>2</v>
      </c>
      <c r="C23">
        <v>2</v>
      </c>
    </row>
  </sheetData>
  <pageMargins left="0.7" right="0.7" top="0.75" bottom="0.75" header="0.3" footer="0.3"/>
  <pageSetup orientation="portrait" r:id="rId1"/>
</worksheet>
</file>

<file path=xl/worksheets/sheet2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7">
    <tabColor rgb="FF0000FF"/>
  </sheetPr>
  <dimension ref="A1:AH19"/>
  <sheetViews>
    <sheetView showGridLines="0" zoomScale="115" zoomScaleNormal="115" workbookViewId="0">
      <selection activeCell="E3" sqref="E3"/>
    </sheetView>
  </sheetViews>
  <sheetFormatPr defaultRowHeight="15" x14ac:dyDescent="0.25"/>
  <cols>
    <col min="1" max="4" width="10.140625" customWidth="1"/>
    <col min="5" max="5" width="2.140625" customWidth="1"/>
    <col min="6" max="6" width="11.140625" customWidth="1"/>
    <col min="7" max="7" width="12.7109375" customWidth="1"/>
    <col min="8" max="8" width="12.85546875" customWidth="1"/>
    <col min="9" max="9" width="14.5703125" customWidth="1"/>
    <col min="10" max="10" width="7.7109375" bestFit="1" customWidth="1"/>
    <col min="15" max="15" width="7.28515625" customWidth="1"/>
    <col min="16" max="16" width="11.85546875" customWidth="1"/>
    <col min="17" max="17" width="4.140625" customWidth="1"/>
    <col min="18" max="19" width="10" customWidth="1"/>
    <col min="20" max="20" width="4.140625" customWidth="1"/>
    <col min="21" max="22" width="10" customWidth="1"/>
    <col min="23" max="23" width="4.140625" customWidth="1"/>
    <col min="26" max="26" width="4.140625" customWidth="1"/>
    <col min="28" max="28" width="4.140625" customWidth="1"/>
  </cols>
  <sheetData>
    <row r="1" spans="1:10" x14ac:dyDescent="0.25">
      <c r="B1" s="86" t="s">
        <v>299</v>
      </c>
      <c r="C1" s="67">
        <v>0.6</v>
      </c>
      <c r="D1" s="67">
        <v>0.4</v>
      </c>
      <c r="F1" s="23" t="s">
        <v>903</v>
      </c>
    </row>
    <row r="2" spans="1:10" ht="49.5" customHeight="1" x14ac:dyDescent="0.35">
      <c r="A2" s="87" t="s">
        <v>300</v>
      </c>
      <c r="B2" s="88"/>
      <c r="C2" s="89" t="s">
        <v>896</v>
      </c>
      <c r="D2" s="89" t="s">
        <v>897</v>
      </c>
      <c r="F2" s="76" t="s">
        <v>1038</v>
      </c>
      <c r="G2" s="76" t="s">
        <v>1039</v>
      </c>
      <c r="H2" s="76" t="s">
        <v>1040</v>
      </c>
      <c r="I2" s="76" t="s">
        <v>1041</v>
      </c>
    </row>
    <row r="3" spans="1:10" x14ac:dyDescent="0.25">
      <c r="A3" s="90" t="s">
        <v>301</v>
      </c>
      <c r="B3" s="90">
        <v>0.5</v>
      </c>
      <c r="C3" s="91">
        <v>0</v>
      </c>
      <c r="D3" s="91">
        <v>-0.15</v>
      </c>
      <c r="F3" s="239">
        <f>SUMPRODUCT(C3:D3,$C$1:$D$1)</f>
        <v>-0.06</v>
      </c>
      <c r="G3" s="239">
        <f>F3-$D$6</f>
        <v>-6.4000000000000001E-2</v>
      </c>
      <c r="H3" s="239">
        <f>G3^2</f>
        <v>4.0959999999999998E-3</v>
      </c>
      <c r="I3" s="239">
        <f>H3*B3</f>
        <v>2.0479999999999999E-3</v>
      </c>
    </row>
    <row r="4" spans="1:10" x14ac:dyDescent="0.25">
      <c r="A4" s="90" t="s">
        <v>303</v>
      </c>
      <c r="B4" s="90">
        <v>0.4</v>
      </c>
      <c r="C4" s="91">
        <v>0.05</v>
      </c>
      <c r="D4" s="91">
        <v>0.05</v>
      </c>
      <c r="F4" s="239">
        <f>SUMPRODUCT(C4:D4,$C$1:$D$1)</f>
        <v>0.05</v>
      </c>
      <c r="G4" s="239">
        <f>F4-$D$6</f>
        <v>4.5999999999999999E-2</v>
      </c>
      <c r="H4" s="239">
        <f>G4^2</f>
        <v>2.1159999999999998E-3</v>
      </c>
      <c r="I4" s="239">
        <f>H4*B4</f>
        <v>8.4639999999999997E-4</v>
      </c>
    </row>
    <row r="5" spans="1:10" x14ac:dyDescent="0.25">
      <c r="A5" s="90" t="s">
        <v>304</v>
      </c>
      <c r="B5" s="90">
        <v>0.1</v>
      </c>
      <c r="C5" s="91">
        <v>0.1</v>
      </c>
      <c r="D5" s="91">
        <v>0.2</v>
      </c>
      <c r="F5" s="239">
        <f>SUMPRODUCT(C5:D5,$C$1:$D$1)</f>
        <v>0.14000000000000001</v>
      </c>
      <c r="G5" s="239">
        <f>F5-$D$6</f>
        <v>0.13600000000000001</v>
      </c>
      <c r="H5" s="239">
        <f>G5^2</f>
        <v>1.8496000000000002E-2</v>
      </c>
      <c r="I5" s="239">
        <f>H5*B5</f>
        <v>1.8496000000000003E-3</v>
      </c>
    </row>
    <row r="6" spans="1:10" x14ac:dyDescent="0.25">
      <c r="A6" s="176" t="s">
        <v>943</v>
      </c>
      <c r="B6" s="110"/>
      <c r="C6" s="111"/>
      <c r="D6" s="239">
        <f>SUMPRODUCT(C3:D5,MMULT(B3:B5,C1:D1))</f>
        <v>4.0000000000000053E-3</v>
      </c>
      <c r="G6" s="62" t="s">
        <v>902</v>
      </c>
      <c r="H6" s="61"/>
      <c r="I6" s="240">
        <f>SUM(I3:I5)</f>
        <v>4.744E-3</v>
      </c>
      <c r="J6" s="25" t="s">
        <v>949</v>
      </c>
    </row>
    <row r="7" spans="1:10" x14ac:dyDescent="0.25">
      <c r="G7" s="176" t="s">
        <v>942</v>
      </c>
      <c r="H7" s="111"/>
      <c r="I7" s="239">
        <f>SQRT(I6)</f>
        <v>6.8876701430890253E-2</v>
      </c>
      <c r="J7" s="25" t="s">
        <v>950</v>
      </c>
    </row>
    <row r="8" spans="1:10" x14ac:dyDescent="0.25">
      <c r="A8" s="176" t="s">
        <v>944</v>
      </c>
      <c r="B8" s="110"/>
      <c r="C8" s="111"/>
      <c r="D8" s="239">
        <f>SQRT(SUMPRODUCT((MMULT(C1:D1*C3:D5,{1;1})-D6)^2*B3:B5))</f>
        <v>6.8876701430890253E-2</v>
      </c>
    </row>
    <row r="10" spans="1:10" ht="18.75" x14ac:dyDescent="0.3">
      <c r="A10" s="277" t="s">
        <v>1844</v>
      </c>
    </row>
    <row r="11" spans="1:10" ht="18.75" x14ac:dyDescent="0.3">
      <c r="A11" s="277" t="s">
        <v>1845</v>
      </c>
    </row>
    <row r="17" spans="16:34" ht="15.75" x14ac:dyDescent="0.25">
      <c r="P17" s="118" t="s">
        <v>952</v>
      </c>
      <c r="Q17" s="241" t="s">
        <v>951</v>
      </c>
      <c r="R17" s="5" t="str">
        <f t="shared" ref="R17:S19" si="0">ADDRESS(ROW(C$1),COLUMN(C$1),4)&amp;" * "&amp;ADDRESS(ROW(C3),COLUMN(C3),4)</f>
        <v>C1 * C3</v>
      </c>
      <c r="S17" s="5" t="str">
        <f t="shared" si="0"/>
        <v>D1 * D3</v>
      </c>
      <c r="T17" s="241" t="s">
        <v>951</v>
      </c>
      <c r="U17" s="5" t="str">
        <f t="shared" ref="U17:V19" si="1">C$1&amp;" * "&amp;C3</f>
        <v>0.6 * 0</v>
      </c>
      <c r="V17" s="5" t="str">
        <f t="shared" si="1"/>
        <v>0.4 * -0.15</v>
      </c>
      <c r="W17" s="241" t="s">
        <v>951</v>
      </c>
      <c r="X17" s="5">
        <f t="shared" ref="X17:Y19" si="2">C$1*C3</f>
        <v>0</v>
      </c>
      <c r="Y17" s="5">
        <f t="shared" si="2"/>
        <v>-0.06</v>
      </c>
      <c r="Z17" s="241" t="s">
        <v>951</v>
      </c>
      <c r="AA17" s="5" t="str">
        <f>X17&amp;"+"&amp;Y17</f>
        <v>0+-0.06</v>
      </c>
      <c r="AB17" s="241" t="s">
        <v>951</v>
      </c>
      <c r="AC17" s="5">
        <f>SUM(X17:Y17)</f>
        <v>-0.06</v>
      </c>
      <c r="AE17" s="5">
        <f t="shared" ref="AE17:AF19" si="3">X17</f>
        <v>0</v>
      </c>
      <c r="AF17" s="5">
        <f t="shared" si="3"/>
        <v>-0.06</v>
      </c>
      <c r="AH17" s="5">
        <f>SUM(AE17:AF17)</f>
        <v>-0.06</v>
      </c>
    </row>
    <row r="18" spans="16:34" x14ac:dyDescent="0.25">
      <c r="P18" s="242"/>
      <c r="R18" s="5" t="str">
        <f t="shared" si="0"/>
        <v>C1 * C4</v>
      </c>
      <c r="S18" s="5" t="str">
        <f t="shared" si="0"/>
        <v>D1 * D4</v>
      </c>
      <c r="U18" s="5" t="str">
        <f t="shared" si="1"/>
        <v>0.6 * 0.05</v>
      </c>
      <c r="V18" s="5" t="str">
        <f t="shared" si="1"/>
        <v>0.4 * 0.05</v>
      </c>
      <c r="X18" s="5">
        <f t="shared" si="2"/>
        <v>0.03</v>
      </c>
      <c r="Y18" s="5">
        <f t="shared" si="2"/>
        <v>2.0000000000000004E-2</v>
      </c>
      <c r="AA18" s="5" t="str">
        <f>X18&amp;"+"&amp;Y18</f>
        <v>0.03+0.02</v>
      </c>
      <c r="AC18" s="5">
        <f>SUM(X18:Y18)</f>
        <v>0.05</v>
      </c>
      <c r="AE18" s="5">
        <f t="shared" si="3"/>
        <v>0.03</v>
      </c>
      <c r="AF18" s="5">
        <f t="shared" si="3"/>
        <v>2.0000000000000004E-2</v>
      </c>
      <c r="AH18" s="5">
        <f>SUM(AE18:AF18)</f>
        <v>0.05</v>
      </c>
    </row>
    <row r="19" spans="16:34" x14ac:dyDescent="0.25">
      <c r="P19" s="35"/>
      <c r="R19" s="5" t="str">
        <f t="shared" si="0"/>
        <v>C1 * C5</v>
      </c>
      <c r="S19" s="5" t="str">
        <f t="shared" si="0"/>
        <v>D1 * D5</v>
      </c>
      <c r="U19" s="5" t="str">
        <f t="shared" si="1"/>
        <v>0.6 * 0.1</v>
      </c>
      <c r="V19" s="5" t="str">
        <f t="shared" si="1"/>
        <v>0.4 * 0.2</v>
      </c>
      <c r="X19" s="5">
        <f t="shared" si="2"/>
        <v>0.06</v>
      </c>
      <c r="Y19" s="5">
        <f t="shared" si="2"/>
        <v>8.0000000000000016E-2</v>
      </c>
      <c r="AA19" s="5" t="str">
        <f>X19&amp;"+"&amp;Y19</f>
        <v>0.06+0.08</v>
      </c>
      <c r="AC19" s="5">
        <f>SUM(X19:Y19)</f>
        <v>0.14000000000000001</v>
      </c>
      <c r="AE19" s="5">
        <f t="shared" si="3"/>
        <v>0.06</v>
      </c>
      <c r="AF19" s="5">
        <f t="shared" si="3"/>
        <v>8.0000000000000016E-2</v>
      </c>
      <c r="AH19" s="5">
        <f>SUM(AE19:AF19)</f>
        <v>0.14000000000000001</v>
      </c>
    </row>
  </sheetData>
  <pageMargins left="0.7" right="0.7" top="0.75" bottom="0.75" header="0.3" footer="0.3"/>
  <pageSetup orientation="portrait" r:id="rId1"/>
</worksheet>
</file>

<file path=xl/worksheets/sheet2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8">
    <tabColor rgb="FFFFFF00"/>
  </sheetPr>
  <dimension ref="A1:AM40"/>
  <sheetViews>
    <sheetView showGridLines="0" topLeftCell="C1" zoomScale="85" zoomScaleNormal="85" workbookViewId="0">
      <selection activeCell="E3" sqref="E3"/>
    </sheetView>
  </sheetViews>
  <sheetFormatPr defaultRowHeight="15" x14ac:dyDescent="0.25"/>
  <cols>
    <col min="1" max="4" width="10.140625" customWidth="1"/>
    <col min="5" max="5" width="2.140625" customWidth="1"/>
    <col min="6" max="6" width="33.7109375" customWidth="1"/>
    <col min="7" max="7" width="12.7109375" customWidth="1"/>
    <col min="8" max="8" width="10.140625" customWidth="1"/>
    <col min="9" max="9" width="14.5703125" customWidth="1"/>
    <col min="10" max="10" width="7.7109375" customWidth="1"/>
    <col min="11" max="11" width="9.140625" customWidth="1"/>
    <col min="12" max="12" width="2.140625" customWidth="1"/>
    <col min="13" max="13" width="11.85546875" customWidth="1"/>
    <col min="14" max="14" width="4.140625" customWidth="1"/>
    <col min="15" max="16" width="10" customWidth="1"/>
    <col min="17" max="17" width="4.140625" customWidth="1"/>
    <col min="18" max="19" width="10" customWidth="1"/>
    <col min="20" max="20" width="4.140625" customWidth="1"/>
    <col min="23" max="23" width="4.140625" customWidth="1"/>
    <col min="24" max="24" width="13.85546875" customWidth="1"/>
    <col min="25" max="25" width="4.140625" customWidth="1"/>
    <col min="29" max="31" width="5.42578125" customWidth="1"/>
    <col min="32" max="32" width="6.85546875" customWidth="1"/>
    <col min="33" max="35" width="5.42578125" customWidth="1"/>
    <col min="36" max="36" width="6.85546875" customWidth="1"/>
    <col min="37" max="39" width="5.42578125" customWidth="1"/>
  </cols>
  <sheetData>
    <row r="1" spans="1:39" x14ac:dyDescent="0.25">
      <c r="B1" s="86" t="s">
        <v>299</v>
      </c>
      <c r="C1" s="67">
        <v>0.6</v>
      </c>
      <c r="D1" s="67">
        <v>0.4</v>
      </c>
      <c r="F1" s="23" t="s">
        <v>903</v>
      </c>
    </row>
    <row r="2" spans="1:39" ht="48.75" x14ac:dyDescent="0.35">
      <c r="A2" s="87" t="s">
        <v>300</v>
      </c>
      <c r="B2" s="88"/>
      <c r="C2" s="89" t="s">
        <v>896</v>
      </c>
      <c r="D2" s="89" t="s">
        <v>897</v>
      </c>
      <c r="F2" s="76" t="s">
        <v>947</v>
      </c>
      <c r="G2" s="76" t="s">
        <v>946</v>
      </c>
      <c r="H2" s="76" t="s">
        <v>945</v>
      </c>
      <c r="I2" s="76" t="s">
        <v>948</v>
      </c>
    </row>
    <row r="3" spans="1:39" x14ac:dyDescent="0.25">
      <c r="A3" s="90" t="s">
        <v>301</v>
      </c>
      <c r="B3" s="90">
        <v>0.5</v>
      </c>
      <c r="C3" s="91">
        <v>0</v>
      </c>
      <c r="D3" s="91">
        <v>-0.15</v>
      </c>
      <c r="F3" s="239">
        <f>SUMPRODUCT(C3:D3,$C$1:$D$1)</f>
        <v>-0.06</v>
      </c>
      <c r="G3" s="239">
        <f>F3-$D$6</f>
        <v>-6.4000000000000001E-2</v>
      </c>
      <c r="H3" s="239">
        <f>G3^2</f>
        <v>4.0959999999999998E-3</v>
      </c>
      <c r="I3" s="239">
        <f>H3*B3</f>
        <v>2.0479999999999999E-3</v>
      </c>
    </row>
    <row r="4" spans="1:39" x14ac:dyDescent="0.25">
      <c r="A4" s="90" t="s">
        <v>303</v>
      </c>
      <c r="B4" s="90">
        <v>0.4</v>
      </c>
      <c r="C4" s="91">
        <v>0.05</v>
      </c>
      <c r="D4" s="91">
        <v>0.05</v>
      </c>
      <c r="F4" s="239">
        <f>SUMPRODUCT(C4:D4,$C$1:$D$1)</f>
        <v>0.05</v>
      </c>
      <c r="G4" s="239">
        <f>F4-$D$6</f>
        <v>4.5999999999999999E-2</v>
      </c>
      <c r="H4" s="239">
        <f>G4^2</f>
        <v>2.1159999999999998E-3</v>
      </c>
      <c r="I4" s="239">
        <f>H4*B4</f>
        <v>8.4639999999999997E-4</v>
      </c>
    </row>
    <row r="5" spans="1:39" x14ac:dyDescent="0.25">
      <c r="A5" s="90" t="s">
        <v>304</v>
      </c>
      <c r="B5" s="90">
        <v>0.1</v>
      </c>
      <c r="C5" s="91">
        <v>0.1</v>
      </c>
      <c r="D5" s="91">
        <v>0.2</v>
      </c>
      <c r="F5" s="239">
        <f>SUMPRODUCT(C5:D5,$C$1:$D$1)</f>
        <v>0.14000000000000001</v>
      </c>
      <c r="G5" s="239">
        <f>F5-$D$6</f>
        <v>0.13600000000000001</v>
      </c>
      <c r="H5" s="239">
        <f>G5^2</f>
        <v>1.8496000000000002E-2</v>
      </c>
      <c r="I5" s="239">
        <f>H5*B5</f>
        <v>1.8496000000000003E-3</v>
      </c>
    </row>
    <row r="6" spans="1:39" x14ac:dyDescent="0.25">
      <c r="A6" s="176" t="s">
        <v>943</v>
      </c>
      <c r="B6" s="110"/>
      <c r="C6" s="111"/>
      <c r="D6" s="239">
        <f>SUMPRODUCT(C3:D5,MMULT(B3:B5,C1:D1))</f>
        <v>4.0000000000000053E-3</v>
      </c>
      <c r="G6" s="62" t="s">
        <v>902</v>
      </c>
      <c r="H6" s="61"/>
      <c r="I6" s="240">
        <f>SUM(I3:I5)</f>
        <v>4.744E-3</v>
      </c>
      <c r="J6" s="25" t="s">
        <v>949</v>
      </c>
    </row>
    <row r="7" spans="1:39" x14ac:dyDescent="0.25">
      <c r="G7" s="176" t="s">
        <v>942</v>
      </c>
      <c r="H7" s="111"/>
      <c r="I7" s="239">
        <f>SQRT(I6)</f>
        <v>6.8876701430890253E-2</v>
      </c>
      <c r="J7" s="25" t="s">
        <v>950</v>
      </c>
    </row>
    <row r="8" spans="1:39" x14ac:dyDescent="0.25">
      <c r="A8" s="176" t="s">
        <v>944</v>
      </c>
      <c r="B8" s="110"/>
      <c r="C8" s="111"/>
      <c r="D8" s="6">
        <f>MMULT(C1:D1*C3:D5,{1;1})</f>
        <v>-0.06</v>
      </c>
    </row>
    <row r="16" spans="1:39" ht="18" x14ac:dyDescent="0.35">
      <c r="U16" t="s">
        <v>970</v>
      </c>
      <c r="Z16" t="s">
        <v>971</v>
      </c>
      <c r="AD16" s="50"/>
      <c r="AE16" s="50"/>
      <c r="AF16" s="50"/>
      <c r="AG16" s="50"/>
      <c r="AH16" s="50"/>
      <c r="AI16" s="50"/>
      <c r="AJ16" s="50"/>
      <c r="AK16" s="50"/>
      <c r="AL16" s="50"/>
      <c r="AM16" s="50"/>
    </row>
    <row r="17" spans="13:39" ht="15.75" x14ac:dyDescent="0.25">
      <c r="M17" s="118" t="s">
        <v>952</v>
      </c>
      <c r="N17" s="241" t="s">
        <v>951</v>
      </c>
      <c r="O17" s="5" t="str">
        <f t="shared" ref="O17:P19" si="0">ADDRESS(ROW(C$1),COLUMN(C$1),4)&amp;" * "&amp;ADDRESS(ROW(C3),COLUMN(C3),4)</f>
        <v>C1 * C3</v>
      </c>
      <c r="P17" s="5" t="str">
        <f t="shared" si="0"/>
        <v>D1 * D3</v>
      </c>
      <c r="Q17" s="241" t="s">
        <v>951</v>
      </c>
      <c r="R17" s="5" t="str">
        <f t="shared" ref="R17:S19" si="1">C$1&amp;" * "&amp;C3</f>
        <v>0.6 * 0</v>
      </c>
      <c r="S17" s="5" t="str">
        <f t="shared" si="1"/>
        <v>0.4 * -0.15</v>
      </c>
      <c r="T17" s="241" t="s">
        <v>951</v>
      </c>
      <c r="U17" s="5">
        <f t="shared" ref="U17:V19" si="2">C$1*C3</f>
        <v>0</v>
      </c>
      <c r="V17" s="5">
        <f t="shared" si="2"/>
        <v>-0.06</v>
      </c>
      <c r="W17" s="241" t="s">
        <v>951</v>
      </c>
      <c r="X17" s="276" t="str">
        <f>U17&amp;"+"&amp;V17</f>
        <v>0+-0.06</v>
      </c>
      <c r="Y17" s="241" t="s">
        <v>951</v>
      </c>
      <c r="Z17" s="5">
        <f>SUM(U17:V17)</f>
        <v>-0.06</v>
      </c>
      <c r="AB17" s="264" t="s">
        <v>966</v>
      </c>
      <c r="AC17" s="265" t="s">
        <v>955</v>
      </c>
      <c r="AD17" s="258"/>
      <c r="AE17" s="258"/>
      <c r="AF17" s="265" t="s">
        <v>876</v>
      </c>
      <c r="AG17" s="258"/>
      <c r="AH17" s="258"/>
      <c r="AI17" s="265" t="s">
        <v>956</v>
      </c>
      <c r="AJ17" s="258"/>
      <c r="AK17" s="258"/>
      <c r="AL17" s="258"/>
      <c r="AM17" s="63"/>
    </row>
    <row r="18" spans="13:39" x14ac:dyDescent="0.25">
      <c r="M18" s="242"/>
      <c r="O18" s="5" t="str">
        <f t="shared" si="0"/>
        <v>C1 * C4</v>
      </c>
      <c r="P18" s="5" t="str">
        <f t="shared" si="0"/>
        <v>D1 * D4</v>
      </c>
      <c r="R18" s="5" t="str">
        <f t="shared" si="1"/>
        <v>0.6 * 0.05</v>
      </c>
      <c r="S18" s="5" t="str">
        <f t="shared" si="1"/>
        <v>0.4 * 0.05</v>
      </c>
      <c r="U18" s="5">
        <f t="shared" si="2"/>
        <v>0.03</v>
      </c>
      <c r="V18" s="5">
        <f t="shared" si="2"/>
        <v>2.0000000000000004E-2</v>
      </c>
      <c r="X18" s="276" t="str">
        <f>U18&amp;"+"&amp;V18</f>
        <v>0.03+0.02</v>
      </c>
      <c r="Z18" s="5">
        <f>SUM(U18:V18)</f>
        <v>0.05</v>
      </c>
      <c r="AB18" s="259"/>
      <c r="AC18" s="50" t="s">
        <v>958</v>
      </c>
      <c r="AD18" s="50"/>
      <c r="AE18" s="50"/>
      <c r="AF18" s="50" t="s">
        <v>959</v>
      </c>
      <c r="AG18" s="50"/>
      <c r="AH18" s="50"/>
      <c r="AI18" s="50" t="s">
        <v>957</v>
      </c>
      <c r="AJ18" s="50"/>
      <c r="AK18" s="50"/>
      <c r="AL18" s="50"/>
      <c r="AM18" s="260"/>
    </row>
    <row r="19" spans="13:39" x14ac:dyDescent="0.25">
      <c r="M19" s="35"/>
      <c r="O19" s="5" t="str">
        <f t="shared" si="0"/>
        <v>C1 * C5</v>
      </c>
      <c r="P19" s="5" t="str">
        <f t="shared" si="0"/>
        <v>D1 * D5</v>
      </c>
      <c r="R19" s="5" t="str">
        <f t="shared" si="1"/>
        <v>0.6 * 0.1</v>
      </c>
      <c r="S19" s="5" t="str">
        <f t="shared" si="1"/>
        <v>0.4 * 0.2</v>
      </c>
      <c r="U19" s="5">
        <f t="shared" si="2"/>
        <v>0.06</v>
      </c>
      <c r="V19" s="5">
        <f t="shared" si="2"/>
        <v>8.0000000000000016E-2</v>
      </c>
      <c r="X19" s="276" t="str">
        <f>U19&amp;"+"&amp;V19</f>
        <v>0.06+0.08</v>
      </c>
      <c r="Z19" s="5">
        <f>SUM(U19:V19)</f>
        <v>0.14000000000000001</v>
      </c>
      <c r="AB19" s="259"/>
      <c r="AC19" s="48">
        <f t="shared" ref="AC19:AD21" si="3">U17</f>
        <v>0</v>
      </c>
      <c r="AD19" s="48">
        <f t="shared" si="3"/>
        <v>-0.06</v>
      </c>
      <c r="AE19" s="50"/>
      <c r="AF19" s="50"/>
      <c r="AG19" s="50"/>
      <c r="AH19" s="50"/>
      <c r="AI19" s="48">
        <f>SUM(AC19:AD19)</f>
        <v>-0.06</v>
      </c>
      <c r="AJ19" s="50"/>
      <c r="AK19" s="50"/>
      <c r="AL19" s="50"/>
      <c r="AM19" s="260"/>
    </row>
    <row r="20" spans="13:39" x14ac:dyDescent="0.25">
      <c r="AB20" s="259"/>
      <c r="AC20" s="48">
        <f t="shared" si="3"/>
        <v>0.03</v>
      </c>
      <c r="AD20" s="48">
        <f t="shared" si="3"/>
        <v>2.0000000000000004E-2</v>
      </c>
      <c r="AE20" s="50"/>
      <c r="AF20" s="50"/>
      <c r="AG20" s="50"/>
      <c r="AH20" s="50"/>
      <c r="AI20" s="48">
        <f>SUM(AC20:AD20)</f>
        <v>0.05</v>
      </c>
      <c r="AJ20" s="50"/>
      <c r="AK20" s="50"/>
      <c r="AL20" s="50"/>
      <c r="AM20" s="260"/>
    </row>
    <row r="21" spans="13:39" x14ac:dyDescent="0.25">
      <c r="AB21" s="261"/>
      <c r="AC21" s="48">
        <f t="shared" si="3"/>
        <v>0.06</v>
      </c>
      <c r="AD21" s="48">
        <f t="shared" si="3"/>
        <v>8.0000000000000016E-2</v>
      </c>
      <c r="AE21" s="262"/>
      <c r="AF21" s="262"/>
      <c r="AG21" s="262"/>
      <c r="AH21" s="262"/>
      <c r="AI21" s="48">
        <f>SUM(AC21:AD21)</f>
        <v>0.14000000000000001</v>
      </c>
      <c r="AJ21" s="262"/>
      <c r="AK21" s="262"/>
      <c r="AL21" s="262"/>
      <c r="AM21" s="263"/>
    </row>
    <row r="22" spans="13:39" ht="3" customHeight="1" x14ac:dyDescent="0.25"/>
    <row r="23" spans="13:39" x14ac:dyDescent="0.25">
      <c r="AB23" s="264" t="s">
        <v>968</v>
      </c>
      <c r="AC23" s="266" t="s">
        <v>963</v>
      </c>
      <c r="AD23" s="258"/>
      <c r="AE23" s="258"/>
      <c r="AF23" s="258"/>
      <c r="AG23" s="258"/>
      <c r="AH23" s="258"/>
      <c r="AI23" s="258"/>
      <c r="AJ23" s="258"/>
      <c r="AK23" s="258"/>
      <c r="AL23" s="258"/>
      <c r="AM23" s="63"/>
    </row>
    <row r="24" spans="13:39" ht="18" x14ac:dyDescent="0.35">
      <c r="U24" t="s">
        <v>970</v>
      </c>
      <c r="Z24" t="s">
        <v>971</v>
      </c>
      <c r="AB24" s="259"/>
      <c r="AC24" s="267" t="s">
        <v>875</v>
      </c>
      <c r="AD24" s="50"/>
      <c r="AE24" s="50"/>
      <c r="AF24" s="50"/>
      <c r="AG24" s="267" t="s">
        <v>876</v>
      </c>
      <c r="AH24" s="50"/>
      <c r="AI24" s="50"/>
      <c r="AJ24" s="50"/>
      <c r="AK24" s="267" t="s">
        <v>956</v>
      </c>
      <c r="AL24" s="50"/>
      <c r="AM24" s="260"/>
    </row>
    <row r="25" spans="13:39" ht="15.75" x14ac:dyDescent="0.25">
      <c r="U25" s="5">
        <f t="shared" ref="U25:V27" si="4">U17</f>
        <v>0</v>
      </c>
      <c r="V25" s="5">
        <f t="shared" si="4"/>
        <v>-0.06</v>
      </c>
      <c r="W25" s="241" t="s">
        <v>951</v>
      </c>
      <c r="X25" s="276" t="str">
        <f>U25&amp;"*1+"&amp;V25&amp;"*1"</f>
        <v>0*1+-0.06*1</v>
      </c>
      <c r="Y25" s="241" t="s">
        <v>951</v>
      </c>
      <c r="Z25" s="5">
        <f>SUM(U25:V25)</f>
        <v>-0.06</v>
      </c>
      <c r="AB25" s="259"/>
      <c r="AC25" s="268" t="s">
        <v>123</v>
      </c>
      <c r="AD25" s="269" t="s">
        <v>867</v>
      </c>
      <c r="AE25" s="270" t="s">
        <v>874</v>
      </c>
      <c r="AF25" s="271"/>
      <c r="AG25" s="270" t="s">
        <v>123</v>
      </c>
      <c r="AH25" s="269" t="s">
        <v>867</v>
      </c>
      <c r="AI25" s="268" t="s">
        <v>874</v>
      </c>
      <c r="AJ25" s="50"/>
      <c r="AK25" s="268" t="s">
        <v>123</v>
      </c>
      <c r="AL25" s="269" t="s">
        <v>867</v>
      </c>
      <c r="AM25" s="272" t="s">
        <v>874</v>
      </c>
    </row>
    <row r="26" spans="13:39" x14ac:dyDescent="0.25">
      <c r="U26" s="5">
        <f t="shared" si="4"/>
        <v>0.03</v>
      </c>
      <c r="V26" s="5">
        <f t="shared" si="4"/>
        <v>2.0000000000000004E-2</v>
      </c>
      <c r="X26" s="276" t="str">
        <f>U26&amp;"*1+"&amp;V26&amp;"*1"</f>
        <v>0.03*1+0.02*1</v>
      </c>
      <c r="Z26" s="5">
        <f>SUM(U26:V26)</f>
        <v>0.05</v>
      </c>
      <c r="AB26" s="259"/>
      <c r="AC26" s="244">
        <v>3</v>
      </c>
      <c r="AD26" s="243" t="s">
        <v>867</v>
      </c>
      <c r="AE26" s="252">
        <v>2</v>
      </c>
      <c r="AF26" s="50"/>
      <c r="AG26" s="252" t="s">
        <v>960</v>
      </c>
      <c r="AH26" s="249" t="s">
        <v>867</v>
      </c>
      <c r="AI26" s="251" t="s">
        <v>960</v>
      </c>
      <c r="AJ26" s="50"/>
      <c r="AK26" s="245">
        <v>3</v>
      </c>
      <c r="AL26" s="249" t="s">
        <v>867</v>
      </c>
      <c r="AM26" s="251">
        <v>1</v>
      </c>
    </row>
    <row r="27" spans="13:39" x14ac:dyDescent="0.25">
      <c r="U27" s="5">
        <f t="shared" si="4"/>
        <v>0.06</v>
      </c>
      <c r="V27" s="5">
        <f t="shared" si="4"/>
        <v>8.0000000000000016E-2</v>
      </c>
      <c r="X27" s="276" t="str">
        <f>U27&amp;"*1+"&amp;V27&amp;"*1"</f>
        <v>0.06*1+0.08*1</v>
      </c>
      <c r="Z27" s="5">
        <f>SUM(U27:V27)</f>
        <v>0.14000000000000001</v>
      </c>
      <c r="AB27" s="259"/>
      <c r="AC27" s="50"/>
      <c r="AD27" s="269"/>
      <c r="AE27" s="253"/>
      <c r="AF27" s="50"/>
      <c r="AG27" s="246"/>
      <c r="AH27" s="50"/>
      <c r="AI27" s="200"/>
      <c r="AJ27" s="50"/>
      <c r="AK27" s="50"/>
      <c r="AL27" s="50"/>
      <c r="AM27" s="250"/>
    </row>
    <row r="28" spans="13:39" x14ac:dyDescent="0.25">
      <c r="AB28" s="259"/>
      <c r="AC28" s="50"/>
      <c r="AD28" s="50"/>
      <c r="AE28" s="246"/>
      <c r="AF28" s="50"/>
      <c r="AG28" s="246"/>
      <c r="AH28" s="50"/>
      <c r="AI28" s="200"/>
      <c r="AJ28" s="50"/>
      <c r="AK28" s="50"/>
      <c r="AL28" s="50"/>
      <c r="AM28" s="250"/>
    </row>
    <row r="29" spans="13:39" x14ac:dyDescent="0.25">
      <c r="AB29" s="259"/>
      <c r="AC29" s="50"/>
      <c r="AD29" s="50"/>
      <c r="AE29" s="197" t="s">
        <v>961</v>
      </c>
      <c r="AF29" s="247"/>
      <c r="AG29" s="248"/>
      <c r="AH29" s="50"/>
      <c r="AI29" s="200"/>
      <c r="AJ29" s="50"/>
      <c r="AK29" s="50"/>
      <c r="AL29" s="50"/>
      <c r="AM29" s="250"/>
    </row>
    <row r="30" spans="13:39" ht="30" x14ac:dyDescent="0.25">
      <c r="AB30" s="259"/>
      <c r="AC30" s="50"/>
      <c r="AD30" s="50"/>
      <c r="AE30" s="50"/>
      <c r="AF30" s="50"/>
      <c r="AG30" s="50"/>
      <c r="AH30" s="50"/>
      <c r="AI30" s="254" t="s">
        <v>962</v>
      </c>
      <c r="AJ30" s="256"/>
      <c r="AK30" s="256"/>
      <c r="AL30" s="256"/>
      <c r="AM30" s="255"/>
    </row>
    <row r="31" spans="13:39" x14ac:dyDescent="0.25">
      <c r="AB31" s="259"/>
      <c r="AC31" s="267" t="s">
        <v>964</v>
      </c>
      <c r="AD31" s="50"/>
      <c r="AE31" s="50"/>
      <c r="AF31" s="50"/>
      <c r="AG31" s="50"/>
      <c r="AH31" s="50"/>
      <c r="AI31" s="50"/>
      <c r="AJ31" s="50"/>
      <c r="AK31" s="50"/>
      <c r="AL31" s="50"/>
      <c r="AM31" s="260"/>
    </row>
    <row r="32" spans="13:39" x14ac:dyDescent="0.25">
      <c r="AB32" s="259"/>
      <c r="AC32" s="50"/>
      <c r="AD32" s="50"/>
      <c r="AE32" s="50"/>
      <c r="AF32" s="50"/>
      <c r="AG32" s="273" t="s">
        <v>123</v>
      </c>
      <c r="AH32" s="274" t="s">
        <v>867</v>
      </c>
      <c r="AI32" s="275" t="s">
        <v>874</v>
      </c>
      <c r="AJ32" s="50"/>
      <c r="AK32" s="50"/>
      <c r="AL32" s="50"/>
      <c r="AM32" s="260"/>
    </row>
    <row r="33" spans="28:39" x14ac:dyDescent="0.25">
      <c r="AB33" s="261"/>
      <c r="AC33" s="262"/>
      <c r="AD33" s="262"/>
      <c r="AE33" s="262"/>
      <c r="AF33" s="262"/>
      <c r="AG33" s="212">
        <v>2</v>
      </c>
      <c r="AH33" s="257" t="s">
        <v>867</v>
      </c>
      <c r="AI33" s="213">
        <v>1</v>
      </c>
      <c r="AJ33" s="262"/>
      <c r="AK33" s="262"/>
      <c r="AL33" s="262"/>
      <c r="AM33" s="263"/>
    </row>
    <row r="34" spans="28:39" ht="3" customHeight="1" x14ac:dyDescent="0.25"/>
    <row r="35" spans="28:39" x14ac:dyDescent="0.25">
      <c r="AB35" s="264" t="s">
        <v>969</v>
      </c>
      <c r="AC35" s="266" t="s">
        <v>965</v>
      </c>
      <c r="AD35" s="258"/>
      <c r="AE35" s="258"/>
      <c r="AF35" s="258"/>
      <c r="AG35" s="258"/>
      <c r="AH35" s="258"/>
      <c r="AI35" s="258"/>
      <c r="AJ35" s="258"/>
      <c r="AK35" s="258"/>
      <c r="AL35" s="258"/>
      <c r="AM35" s="63"/>
    </row>
    <row r="36" spans="28:39" x14ac:dyDescent="0.25">
      <c r="AB36" s="259"/>
      <c r="AC36" s="267" t="s">
        <v>955</v>
      </c>
      <c r="AD36" s="50"/>
      <c r="AE36" s="50"/>
      <c r="AF36" s="267" t="s">
        <v>876</v>
      </c>
      <c r="AG36" s="50"/>
      <c r="AH36" s="50"/>
      <c r="AI36" s="267" t="s">
        <v>956</v>
      </c>
      <c r="AJ36" s="50"/>
      <c r="AK36" s="50"/>
      <c r="AL36" s="50"/>
      <c r="AM36" s="260"/>
    </row>
    <row r="37" spans="28:39" x14ac:dyDescent="0.25">
      <c r="AB37" s="259"/>
      <c r="AC37" s="50" t="s">
        <v>958</v>
      </c>
      <c r="AD37" s="50"/>
      <c r="AE37" s="50"/>
      <c r="AF37" s="50" t="s">
        <v>967</v>
      </c>
      <c r="AG37" s="50"/>
      <c r="AH37" s="50"/>
      <c r="AI37" s="50" t="s">
        <v>957</v>
      </c>
      <c r="AJ37" s="50"/>
      <c r="AK37" s="50"/>
      <c r="AL37" s="50"/>
      <c r="AM37" s="260"/>
    </row>
    <row r="38" spans="28:39" x14ac:dyDescent="0.25">
      <c r="AB38" s="259"/>
      <c r="AC38" s="48">
        <f t="shared" ref="AC38:AD40" si="5">AC19</f>
        <v>0</v>
      </c>
      <c r="AD38" s="48">
        <f t="shared" si="5"/>
        <v>-0.06</v>
      </c>
      <c r="AE38" s="50"/>
      <c r="AF38" s="5">
        <v>1</v>
      </c>
      <c r="AG38" s="50"/>
      <c r="AH38" s="50"/>
      <c r="AI38" s="48">
        <f t="array" ref="AI38:AI40">MMULT(AC38:AD40,AF38:AF39)</f>
        <v>-0.06</v>
      </c>
      <c r="AJ38" s="50"/>
      <c r="AK38" s="50"/>
      <c r="AL38" s="50"/>
      <c r="AM38" s="260"/>
    </row>
    <row r="39" spans="28:39" x14ac:dyDescent="0.25">
      <c r="AB39" s="259"/>
      <c r="AC39" s="48">
        <f t="shared" si="5"/>
        <v>0.03</v>
      </c>
      <c r="AD39" s="48">
        <f t="shared" si="5"/>
        <v>2.0000000000000004E-2</v>
      </c>
      <c r="AE39" s="50"/>
      <c r="AF39" s="5">
        <v>1</v>
      </c>
      <c r="AG39" s="50"/>
      <c r="AH39" s="50"/>
      <c r="AI39" s="48">
        <v>0.05</v>
      </c>
      <c r="AJ39" s="50"/>
      <c r="AK39" s="50"/>
      <c r="AL39" s="50"/>
      <c r="AM39" s="260"/>
    </row>
    <row r="40" spans="28:39" x14ac:dyDescent="0.25">
      <c r="AB40" s="261"/>
      <c r="AC40" s="48">
        <f t="shared" si="5"/>
        <v>0.06</v>
      </c>
      <c r="AD40" s="48">
        <f t="shared" si="5"/>
        <v>8.0000000000000016E-2</v>
      </c>
      <c r="AE40" s="262"/>
      <c r="AF40" s="262"/>
      <c r="AG40" s="262"/>
      <c r="AH40" s="262"/>
      <c r="AI40" s="48">
        <v>0.14000000000000001</v>
      </c>
      <c r="AJ40" s="262"/>
      <c r="AK40" s="262"/>
      <c r="AL40" s="262"/>
      <c r="AM40" s="263"/>
    </row>
  </sheetData>
  <pageMargins left="0.7" right="0.7" top="0.75" bottom="0.75" header="0.3" footer="0.3"/>
  <pageSetup orientation="portrait" r:id="rId1"/>
</worksheet>
</file>

<file path=xl/worksheets/sheet2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9">
    <tabColor rgb="FF0000FF"/>
  </sheetPr>
  <dimension ref="A1:J8"/>
  <sheetViews>
    <sheetView showGridLines="0" zoomScale="145" zoomScaleNormal="145" workbookViewId="0">
      <selection activeCell="E3" sqref="E3"/>
    </sheetView>
  </sheetViews>
  <sheetFormatPr defaultRowHeight="15" x14ac:dyDescent="0.25"/>
  <cols>
    <col min="1" max="4" width="10.140625" customWidth="1"/>
    <col min="5" max="5" width="2.140625" customWidth="1"/>
    <col min="6" max="6" width="11.140625" customWidth="1"/>
    <col min="7" max="7" width="12.7109375" customWidth="1"/>
    <col min="8" max="8" width="12.85546875" customWidth="1"/>
    <col min="9" max="9" width="14.5703125" customWidth="1"/>
    <col min="10" max="10" width="7.7109375" bestFit="1" customWidth="1"/>
    <col min="15" max="15" width="7.28515625" customWidth="1"/>
    <col min="16" max="16" width="11.85546875" customWidth="1"/>
    <col min="17" max="17" width="4.140625" customWidth="1"/>
    <col min="18" max="19" width="10" customWidth="1"/>
    <col min="20" max="20" width="4.140625" customWidth="1"/>
    <col min="21" max="22" width="10" customWidth="1"/>
    <col min="23" max="23" width="4.140625" customWidth="1"/>
    <col min="26" max="26" width="4.140625" customWidth="1"/>
    <col min="28" max="28" width="4.140625" customWidth="1"/>
  </cols>
  <sheetData>
    <row r="1" spans="1:10" x14ac:dyDescent="0.25">
      <c r="B1" s="86" t="s">
        <v>299</v>
      </c>
      <c r="C1" s="67">
        <v>0.6</v>
      </c>
      <c r="D1" s="67">
        <v>0.4</v>
      </c>
      <c r="F1" s="23" t="s">
        <v>903</v>
      </c>
    </row>
    <row r="2" spans="1:10" ht="48.75" x14ac:dyDescent="0.35">
      <c r="A2" s="87" t="s">
        <v>300</v>
      </c>
      <c r="B2" s="88"/>
      <c r="C2" s="89" t="s">
        <v>896</v>
      </c>
      <c r="D2" s="89" t="s">
        <v>897</v>
      </c>
      <c r="F2" s="76" t="s">
        <v>947</v>
      </c>
      <c r="G2" s="76" t="s">
        <v>946</v>
      </c>
      <c r="H2" s="76" t="s">
        <v>945</v>
      </c>
      <c r="I2" s="76" t="s">
        <v>948</v>
      </c>
    </row>
    <row r="3" spans="1:10" x14ac:dyDescent="0.25">
      <c r="A3" s="90" t="s">
        <v>301</v>
      </c>
      <c r="B3" s="90">
        <v>0.5</v>
      </c>
      <c r="C3" s="91">
        <v>0</v>
      </c>
      <c r="D3" s="91">
        <v>-0.15</v>
      </c>
      <c r="F3" s="239">
        <f>SUMPRODUCT(C3:D3,$C$1:$D$1)</f>
        <v>-0.06</v>
      </c>
      <c r="G3" s="239">
        <f>F3-$D$6</f>
        <v>-6.4000000000000001E-2</v>
      </c>
      <c r="H3" s="239">
        <f>G3^2</f>
        <v>4.0959999999999998E-3</v>
      </c>
      <c r="I3" s="239">
        <f>H3*B3</f>
        <v>2.0479999999999999E-3</v>
      </c>
    </row>
    <row r="4" spans="1:10" x14ac:dyDescent="0.25">
      <c r="A4" s="90" t="s">
        <v>303</v>
      </c>
      <c r="B4" s="90">
        <v>0.4</v>
      </c>
      <c r="C4" s="91">
        <v>0.05</v>
      </c>
      <c r="D4" s="91">
        <v>0.05</v>
      </c>
      <c r="F4" s="239">
        <f>SUMPRODUCT(C4:D4,$C$1:$D$1)</f>
        <v>0.05</v>
      </c>
      <c r="G4" s="239">
        <f>F4-$D$6</f>
        <v>4.5999999999999999E-2</v>
      </c>
      <c r="H4" s="239">
        <f>G4^2</f>
        <v>2.1159999999999998E-3</v>
      </c>
      <c r="I4" s="239">
        <f>H4*B4</f>
        <v>8.4639999999999997E-4</v>
      </c>
    </row>
    <row r="5" spans="1:10" x14ac:dyDescent="0.25">
      <c r="A5" s="90" t="s">
        <v>304</v>
      </c>
      <c r="B5" s="90">
        <v>0.1</v>
      </c>
      <c r="C5" s="91">
        <v>0.1</v>
      </c>
      <c r="D5" s="91">
        <v>0.2</v>
      </c>
      <c r="F5" s="239">
        <f>SUMPRODUCT(C5:D5,$C$1:$D$1)</f>
        <v>0.14000000000000001</v>
      </c>
      <c r="G5" s="239">
        <f>F5-$D$6</f>
        <v>0.13600000000000001</v>
      </c>
      <c r="H5" s="239">
        <f>G5^2</f>
        <v>1.8496000000000002E-2</v>
      </c>
      <c r="I5" s="239">
        <f>H5*B5</f>
        <v>1.8496000000000003E-3</v>
      </c>
    </row>
    <row r="6" spans="1:10" x14ac:dyDescent="0.25">
      <c r="A6" s="176" t="s">
        <v>943</v>
      </c>
      <c r="B6" s="110"/>
      <c r="C6" s="111"/>
      <c r="D6" s="239">
        <f>SUMPRODUCT(C3:D5,MMULT(B3:B5,C1:D1))</f>
        <v>4.0000000000000053E-3</v>
      </c>
      <c r="G6" s="62" t="s">
        <v>902</v>
      </c>
      <c r="H6" s="61"/>
      <c r="I6" s="240">
        <f>SUM(I3:I5)</f>
        <v>4.744E-3</v>
      </c>
      <c r="J6" s="25" t="s">
        <v>949</v>
      </c>
    </row>
    <row r="7" spans="1:10" x14ac:dyDescent="0.25">
      <c r="G7" s="176" t="s">
        <v>942</v>
      </c>
      <c r="H7" s="111"/>
      <c r="I7" s="239">
        <f>SQRT(I6)</f>
        <v>6.8876701430890253E-2</v>
      </c>
      <c r="J7" s="25" t="s">
        <v>950</v>
      </c>
    </row>
    <row r="8" spans="1:10" x14ac:dyDescent="0.25">
      <c r="A8" s="176" t="s">
        <v>944</v>
      </c>
      <c r="B8" s="110"/>
      <c r="C8" s="111"/>
      <c r="D8" s="239">
        <f t="array" ref="D8">SQRT(SUM((MMULT(C1:D1*C3:D5,TRANSPOSE(COLUMN(C1:D1)^0))-D6)^2*B3:B5))</f>
        <v>6.8876701430890253E-2</v>
      </c>
    </row>
  </sheetData>
  <pageMargins left="0.7" right="0.7" top="0.75" bottom="0.75" header="0.3" footer="0.3"/>
  <pageSetup orientation="portrait" r:id="rId1"/>
</worksheet>
</file>

<file path=xl/worksheets/sheet2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0">
    <tabColor rgb="FF0000FF"/>
  </sheetPr>
  <dimension ref="A1:AH19"/>
  <sheetViews>
    <sheetView showGridLines="0" zoomScale="160" zoomScaleNormal="160" workbookViewId="0">
      <selection activeCell="E3" sqref="E3"/>
    </sheetView>
  </sheetViews>
  <sheetFormatPr defaultRowHeight="15" x14ac:dyDescent="0.25"/>
  <cols>
    <col min="1" max="4" width="10.140625" customWidth="1"/>
    <col min="15" max="15" width="7.28515625" customWidth="1"/>
    <col min="16" max="16" width="11.85546875" customWidth="1"/>
    <col min="17" max="17" width="4.140625" customWidth="1"/>
    <col min="18" max="19" width="10" customWidth="1"/>
    <col min="20" max="20" width="4.140625" customWidth="1"/>
    <col min="21" max="22" width="10" customWidth="1"/>
    <col min="23" max="23" width="4.140625" customWidth="1"/>
    <col min="26" max="26" width="4.140625" customWidth="1"/>
    <col min="28" max="28" width="4.140625" customWidth="1"/>
  </cols>
  <sheetData>
    <row r="1" spans="1:4" x14ac:dyDescent="0.25">
      <c r="B1" s="86" t="s">
        <v>299</v>
      </c>
      <c r="C1" s="67">
        <v>0.6</v>
      </c>
      <c r="D1" s="67">
        <v>0.4</v>
      </c>
    </row>
    <row r="2" spans="1:4" x14ac:dyDescent="0.25">
      <c r="A2" s="87" t="s">
        <v>342</v>
      </c>
      <c r="B2" s="88"/>
      <c r="C2" s="89" t="s">
        <v>973</v>
      </c>
      <c r="D2" s="89" t="s">
        <v>974</v>
      </c>
    </row>
    <row r="3" spans="1:4" x14ac:dyDescent="0.25">
      <c r="A3" s="90" t="s">
        <v>301</v>
      </c>
      <c r="B3" s="90">
        <v>0.5</v>
      </c>
      <c r="C3" s="91">
        <v>0</v>
      </c>
      <c r="D3" s="91">
        <v>-0.15</v>
      </c>
    </row>
    <row r="4" spans="1:4" x14ac:dyDescent="0.25">
      <c r="A4" s="90" t="s">
        <v>303</v>
      </c>
      <c r="B4" s="90">
        <v>0.4</v>
      </c>
      <c r="C4" s="91">
        <v>0.05</v>
      </c>
      <c r="D4" s="91">
        <v>0.05</v>
      </c>
    </row>
    <row r="5" spans="1:4" x14ac:dyDescent="0.25">
      <c r="A5" s="90" t="s">
        <v>304</v>
      </c>
      <c r="B5" s="90">
        <v>0.1</v>
      </c>
      <c r="C5" s="91">
        <v>0.1</v>
      </c>
      <c r="D5" s="91">
        <v>0.2</v>
      </c>
    </row>
    <row r="7" spans="1:4" x14ac:dyDescent="0.25">
      <c r="C7" s="8" t="s">
        <v>972</v>
      </c>
      <c r="D7" s="238">
        <f>SUMPRODUCT(C3:D5,MMULT(B3:B5,C1:D1))</f>
        <v>4.0000000000000053E-3</v>
      </c>
    </row>
    <row r="8" spans="1:4" x14ac:dyDescent="0.25">
      <c r="C8" s="8" t="s">
        <v>901</v>
      </c>
      <c r="D8" s="238">
        <f t="array" ref="D8">SQRT(SUM((MMULT(C1:D1*C3:D5,TRANSPOSE(COLUMN(C1:D1)^0))-D7)^2*B3:B5))</f>
        <v>6.8876701430890253E-2</v>
      </c>
    </row>
    <row r="17" spans="16:34" ht="15.75" x14ac:dyDescent="0.25">
      <c r="P17" s="118" t="s">
        <v>952</v>
      </c>
      <c r="Q17" s="241" t="s">
        <v>951</v>
      </c>
      <c r="R17" s="5" t="str">
        <f t="shared" ref="R17:S19" si="0">ADDRESS(ROW(C$1),COLUMN(C$1),4)&amp;" * "&amp;ADDRESS(ROW(C3),COLUMN(C3),4)</f>
        <v>C1 * C3</v>
      </c>
      <c r="S17" s="5" t="str">
        <f t="shared" si="0"/>
        <v>D1 * D3</v>
      </c>
      <c r="T17" s="241" t="s">
        <v>951</v>
      </c>
      <c r="U17" s="5" t="str">
        <f t="shared" ref="U17:V19" si="1">C$1&amp;" * "&amp;C3</f>
        <v>0.6 * 0</v>
      </c>
      <c r="V17" s="5" t="str">
        <f t="shared" si="1"/>
        <v>0.4 * -0.15</v>
      </c>
      <c r="W17" s="241" t="s">
        <v>951</v>
      </c>
      <c r="X17" s="5">
        <f t="shared" ref="X17:Y19" si="2">C$1*C3</f>
        <v>0</v>
      </c>
      <c r="Y17" s="5">
        <f t="shared" si="2"/>
        <v>-0.06</v>
      </c>
      <c r="Z17" s="241" t="s">
        <v>951</v>
      </c>
      <c r="AA17" s="5" t="str">
        <f>X17&amp;"+"&amp;Y17</f>
        <v>0+-0.06</v>
      </c>
      <c r="AB17" s="241" t="s">
        <v>951</v>
      </c>
      <c r="AC17" s="5">
        <f>SUM(X17:Y17)</f>
        <v>-0.06</v>
      </c>
      <c r="AE17" s="5">
        <f t="shared" ref="AE17:AF19" si="3">X17</f>
        <v>0</v>
      </c>
      <c r="AF17" s="5">
        <f t="shared" si="3"/>
        <v>-0.06</v>
      </c>
      <c r="AH17" s="5">
        <f>SUM(AE17:AF17)</f>
        <v>-0.06</v>
      </c>
    </row>
    <row r="18" spans="16:34" x14ac:dyDescent="0.25">
      <c r="P18" s="242"/>
      <c r="R18" s="5" t="str">
        <f t="shared" si="0"/>
        <v>C1 * C4</v>
      </c>
      <c r="S18" s="5" t="str">
        <f t="shared" si="0"/>
        <v>D1 * D4</v>
      </c>
      <c r="U18" s="5" t="str">
        <f t="shared" si="1"/>
        <v>0.6 * 0.05</v>
      </c>
      <c r="V18" s="5" t="str">
        <f t="shared" si="1"/>
        <v>0.4 * 0.05</v>
      </c>
      <c r="X18" s="5">
        <f t="shared" si="2"/>
        <v>0.03</v>
      </c>
      <c r="Y18" s="5">
        <f t="shared" si="2"/>
        <v>2.0000000000000004E-2</v>
      </c>
      <c r="AA18" s="5" t="str">
        <f>X18&amp;"+"&amp;Y18</f>
        <v>0.03+0.02</v>
      </c>
      <c r="AC18" s="5">
        <f>SUM(X18:Y18)</f>
        <v>0.05</v>
      </c>
      <c r="AE18" s="5">
        <f t="shared" si="3"/>
        <v>0.03</v>
      </c>
      <c r="AF18" s="5">
        <f t="shared" si="3"/>
        <v>2.0000000000000004E-2</v>
      </c>
      <c r="AH18" s="5">
        <f>SUM(AE18:AF18)</f>
        <v>0.05</v>
      </c>
    </row>
    <row r="19" spans="16:34" x14ac:dyDescent="0.25">
      <c r="P19" s="35"/>
      <c r="R19" s="5" t="str">
        <f t="shared" si="0"/>
        <v>C1 * C5</v>
      </c>
      <c r="S19" s="5" t="str">
        <f t="shared" si="0"/>
        <v>D1 * D5</v>
      </c>
      <c r="U19" s="5" t="str">
        <f t="shared" si="1"/>
        <v>0.6 * 0.1</v>
      </c>
      <c r="V19" s="5" t="str">
        <f t="shared" si="1"/>
        <v>0.4 * 0.2</v>
      </c>
      <c r="X19" s="5">
        <f t="shared" si="2"/>
        <v>0.06</v>
      </c>
      <c r="Y19" s="5">
        <f t="shared" si="2"/>
        <v>8.0000000000000016E-2</v>
      </c>
      <c r="AA19" s="5" t="str">
        <f>X19&amp;"+"&amp;Y19</f>
        <v>0.06+0.08</v>
      </c>
      <c r="AC19" s="5">
        <f>SUM(X19:Y19)</f>
        <v>0.14000000000000001</v>
      </c>
      <c r="AE19" s="5">
        <f t="shared" si="3"/>
        <v>0.06</v>
      </c>
      <c r="AF19" s="5">
        <f t="shared" si="3"/>
        <v>8.0000000000000016E-2</v>
      </c>
      <c r="AH19" s="5">
        <f>SUM(AE19:AF19)</f>
        <v>0.14000000000000001</v>
      </c>
    </row>
  </sheetData>
  <pageMargins left="0.7" right="0.7" top="0.75" bottom="0.75" header="0.3" footer="0.3"/>
  <pageSetup orientation="portrait" r:id="rId1"/>
</worksheet>
</file>

<file path=xl/worksheets/sheet2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1">
    <tabColor rgb="FF0000FF"/>
  </sheetPr>
  <dimension ref="A1:T9"/>
  <sheetViews>
    <sheetView zoomScale="160" zoomScaleNormal="160" workbookViewId="0">
      <selection activeCell="E3" sqref="E3"/>
    </sheetView>
  </sheetViews>
  <sheetFormatPr defaultRowHeight="15" x14ac:dyDescent="0.25"/>
  <cols>
    <col min="1" max="1" width="5.85546875" bestFit="1" customWidth="1"/>
    <col min="2" max="2" width="10.42578125" bestFit="1" customWidth="1"/>
    <col min="3" max="3" width="5.7109375" bestFit="1" customWidth="1"/>
    <col min="4" max="4" width="9.140625" customWidth="1"/>
    <col min="5" max="5" width="10" customWidth="1"/>
    <col min="7" max="7" width="32.140625" customWidth="1"/>
    <col min="12" max="12" width="27.5703125" bestFit="1" customWidth="1"/>
  </cols>
  <sheetData>
    <row r="1" spans="1:20" x14ac:dyDescent="0.25">
      <c r="A1" s="8" t="s">
        <v>8</v>
      </c>
      <c r="B1" s="8" t="s">
        <v>979</v>
      </c>
      <c r="C1" s="8" t="s">
        <v>975</v>
      </c>
      <c r="E1" s="8" t="s">
        <v>979</v>
      </c>
      <c r="F1" s="8" t="s">
        <v>980</v>
      </c>
      <c r="R1" t="s">
        <v>8</v>
      </c>
      <c r="S1" t="s">
        <v>96</v>
      </c>
      <c r="T1" t="s">
        <v>975</v>
      </c>
    </row>
    <row r="2" spans="1:20" x14ac:dyDescent="0.25">
      <c r="A2" s="193">
        <v>41369</v>
      </c>
      <c r="B2" s="5" t="s">
        <v>100</v>
      </c>
      <c r="C2" s="5">
        <v>2</v>
      </c>
      <c r="E2" s="5" t="s">
        <v>100</v>
      </c>
      <c r="F2" s="6">
        <f>COUNTIF($B$2:$B$9,E2)</f>
        <v>2</v>
      </c>
      <c r="G2" t="s">
        <v>1846</v>
      </c>
      <c r="R2" s="278">
        <v>41369</v>
      </c>
      <c r="S2" t="str">
        <f ca="1">CHOOSE(WEEKDAY(R2,15),"Sumner",CHOOSE(RANDBETWEEN(1,7),"SeaTac","SeaTac","Mt Vernon","Burlington","SeaTac","SeaTac","SeaTac"),CHOOSE(RANDBETWEEN(1,4),"SeaTac","SeaTac","Sumner","Everett"))</f>
        <v>Sumner</v>
      </c>
      <c r="T2">
        <f ca="1">CHOOSE(RANDBETWEEN(1,15),1,2,3,4,5,6,7,8,2,3,4,2,3,4,2)</f>
        <v>2</v>
      </c>
    </row>
    <row r="3" spans="1:20" x14ac:dyDescent="0.25">
      <c r="A3" s="193">
        <v>41370</v>
      </c>
      <c r="B3" s="5" t="s">
        <v>97</v>
      </c>
      <c r="C3" s="5">
        <v>4</v>
      </c>
      <c r="E3" s="5" t="s">
        <v>97</v>
      </c>
      <c r="F3" s="6">
        <f>COUNTIF($B$2:$B$9,E3)</f>
        <v>3</v>
      </c>
      <c r="G3" t="s">
        <v>1847</v>
      </c>
    </row>
    <row r="4" spans="1:20" x14ac:dyDescent="0.25">
      <c r="A4" s="193">
        <v>41440</v>
      </c>
      <c r="B4" s="5" t="s">
        <v>977</v>
      </c>
      <c r="C4" s="5">
        <v>3</v>
      </c>
      <c r="E4" s="5" t="s">
        <v>977</v>
      </c>
      <c r="F4" s="6">
        <f>COUNTIF($B$2:$B$9,E4)</f>
        <v>1</v>
      </c>
      <c r="G4" t="s">
        <v>1848</v>
      </c>
    </row>
    <row r="5" spans="1:20" x14ac:dyDescent="0.25">
      <c r="A5" s="193">
        <v>41441</v>
      </c>
      <c r="B5" s="5" t="s">
        <v>97</v>
      </c>
      <c r="C5" s="5">
        <v>5</v>
      </c>
      <c r="E5" s="5" t="s">
        <v>978</v>
      </c>
      <c r="F5" s="6">
        <f>COUNTIF($B$2:$B$9,E5)</f>
        <v>1</v>
      </c>
      <c r="G5" t="s">
        <v>1849</v>
      </c>
    </row>
    <row r="6" spans="1:20" x14ac:dyDescent="0.25">
      <c r="A6" s="193">
        <v>41446</v>
      </c>
      <c r="B6" s="5" t="s">
        <v>100</v>
      </c>
      <c r="C6" s="5">
        <v>2</v>
      </c>
      <c r="E6" s="5" t="s">
        <v>976</v>
      </c>
      <c r="F6" s="6">
        <f>COUNTIF($B$2:$B$9,E6)</f>
        <v>1</v>
      </c>
      <c r="G6" t="s">
        <v>1850</v>
      </c>
    </row>
    <row r="7" spans="1:20" x14ac:dyDescent="0.25">
      <c r="A7" s="193">
        <v>41447</v>
      </c>
      <c r="B7" s="5" t="s">
        <v>978</v>
      </c>
      <c r="C7" s="5">
        <v>6</v>
      </c>
    </row>
    <row r="8" spans="1:20" x14ac:dyDescent="0.25">
      <c r="A8" s="193">
        <v>41448</v>
      </c>
      <c r="B8" s="5" t="s">
        <v>97</v>
      </c>
      <c r="C8" s="5">
        <v>2</v>
      </c>
    </row>
    <row r="9" spans="1:20" x14ac:dyDescent="0.25">
      <c r="A9" s="193">
        <v>41469</v>
      </c>
      <c r="B9" s="5" t="s">
        <v>976</v>
      </c>
      <c r="C9" s="5">
        <v>7</v>
      </c>
    </row>
  </sheetData>
  <pageMargins left="0.7" right="0.7" top="0.75" bottom="0.75" header="0.3" footer="0.3"/>
</worksheet>
</file>

<file path=xl/worksheets/sheet2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2">
    <tabColor rgb="FF0000FF"/>
  </sheetPr>
  <dimension ref="A1:U10"/>
  <sheetViews>
    <sheetView zoomScale="160" zoomScaleNormal="160" workbookViewId="0">
      <selection activeCell="E3" sqref="E3"/>
    </sheetView>
  </sheetViews>
  <sheetFormatPr defaultRowHeight="15" x14ac:dyDescent="0.25"/>
  <cols>
    <col min="1" max="1" width="5.85546875" bestFit="1" customWidth="1"/>
    <col min="2" max="2" width="9" customWidth="1"/>
    <col min="3" max="3" width="10.42578125" bestFit="1" customWidth="1"/>
    <col min="4" max="4" width="6.28515625" bestFit="1" customWidth="1"/>
    <col min="13" max="13" width="27.5703125" bestFit="1" customWidth="1"/>
  </cols>
  <sheetData>
    <row r="1" spans="1:21" x14ac:dyDescent="0.25">
      <c r="A1" s="8" t="s">
        <v>8</v>
      </c>
      <c r="B1" s="8" t="s">
        <v>981</v>
      </c>
      <c r="C1" s="8" t="s">
        <v>984</v>
      </c>
      <c r="D1" s="8" t="s">
        <v>33</v>
      </c>
      <c r="F1" s="8" t="s">
        <v>984</v>
      </c>
      <c r="S1" t="s">
        <v>8</v>
      </c>
      <c r="T1" t="s">
        <v>96</v>
      </c>
      <c r="U1" t="s">
        <v>975</v>
      </c>
    </row>
    <row r="2" spans="1:21" x14ac:dyDescent="0.25">
      <c r="A2" s="193">
        <v>41902</v>
      </c>
      <c r="B2" s="113">
        <v>50120</v>
      </c>
      <c r="C2" s="5" t="s">
        <v>982</v>
      </c>
      <c r="D2" s="5">
        <v>15</v>
      </c>
      <c r="F2" s="5" t="s">
        <v>982</v>
      </c>
      <c r="S2" s="278">
        <v>41369</v>
      </c>
      <c r="T2" t="str">
        <f ca="1">CHOOSE(WEEKDAY(S2,15),"Sumner",CHOOSE(RANDBETWEEN(1,7),"SeaTac","SeaTac","Mt Vernon","Burlington","SeaTac","SeaTac","SeaTac"),CHOOSE(RANDBETWEEN(1,4),"SeaTac","SeaTac","Sumner","Everett"))</f>
        <v>Sumner</v>
      </c>
      <c r="U2">
        <f ca="1">CHOOSE(RANDBETWEEN(1,15),1,2,3,4,5,6,7,8,2,3,4,2,3,4,2)</f>
        <v>4</v>
      </c>
    </row>
    <row r="3" spans="1:21" x14ac:dyDescent="0.25">
      <c r="A3" s="193">
        <v>41901</v>
      </c>
      <c r="B3" s="113">
        <v>50125</v>
      </c>
      <c r="C3" s="5" t="s">
        <v>982</v>
      </c>
      <c r="D3" s="5">
        <v>4</v>
      </c>
    </row>
    <row r="4" spans="1:21" x14ac:dyDescent="0.25">
      <c r="A4" s="193">
        <v>41902</v>
      </c>
      <c r="B4" s="113">
        <v>50123</v>
      </c>
      <c r="C4" s="5" t="s">
        <v>983</v>
      </c>
      <c r="D4" s="5">
        <v>3</v>
      </c>
      <c r="F4" s="8" t="s">
        <v>8</v>
      </c>
      <c r="G4" s="8" t="s">
        <v>981</v>
      </c>
      <c r="H4" s="8" t="s">
        <v>984</v>
      </c>
      <c r="I4" s="8" t="s">
        <v>33</v>
      </c>
    </row>
    <row r="5" spans="1:21" x14ac:dyDescent="0.25">
      <c r="A5" s="193">
        <v>41902</v>
      </c>
      <c r="B5" s="113">
        <v>50123</v>
      </c>
      <c r="C5" s="5" t="s">
        <v>983</v>
      </c>
      <c r="D5" s="5">
        <v>7</v>
      </c>
      <c r="F5" s="193">
        <v>41902</v>
      </c>
      <c r="G5" s="113">
        <v>50120</v>
      </c>
      <c r="H5" s="5" t="s">
        <v>982</v>
      </c>
      <c r="I5" s="5">
        <v>15</v>
      </c>
    </row>
    <row r="6" spans="1:21" x14ac:dyDescent="0.25">
      <c r="A6" s="193">
        <v>41904</v>
      </c>
      <c r="B6" s="113">
        <v>50129</v>
      </c>
      <c r="C6" s="5" t="s">
        <v>982</v>
      </c>
      <c r="D6" s="5">
        <v>3</v>
      </c>
      <c r="F6" s="193">
        <v>41901</v>
      </c>
      <c r="G6" s="113">
        <v>50125</v>
      </c>
      <c r="H6" s="5" t="s">
        <v>982</v>
      </c>
      <c r="I6" s="5">
        <v>4</v>
      </c>
    </row>
    <row r="7" spans="1:21" x14ac:dyDescent="0.25">
      <c r="A7" s="193">
        <v>41901</v>
      </c>
      <c r="B7" s="113">
        <v>50125</v>
      </c>
      <c r="C7" s="5" t="s">
        <v>982</v>
      </c>
      <c r="D7" s="5">
        <v>4</v>
      </c>
      <c r="F7" s="193">
        <v>41904</v>
      </c>
      <c r="G7" s="113">
        <v>50129</v>
      </c>
      <c r="H7" s="5" t="s">
        <v>982</v>
      </c>
      <c r="I7" s="5">
        <v>3</v>
      </c>
    </row>
    <row r="8" spans="1:21" x14ac:dyDescent="0.25">
      <c r="A8" s="193">
        <v>41904</v>
      </c>
      <c r="B8" s="113">
        <v>50131</v>
      </c>
      <c r="C8" s="5" t="s">
        <v>983</v>
      </c>
      <c r="D8" s="5">
        <v>3</v>
      </c>
    </row>
    <row r="9" spans="1:21" x14ac:dyDescent="0.25">
      <c r="A9" s="193">
        <v>41904</v>
      </c>
      <c r="B9" s="113">
        <v>50129</v>
      </c>
      <c r="C9" s="5" t="s">
        <v>982</v>
      </c>
      <c r="D9" s="5">
        <v>3</v>
      </c>
    </row>
    <row r="10" spans="1:21" x14ac:dyDescent="0.25">
      <c r="A10" s="193">
        <v>41902</v>
      </c>
      <c r="B10" s="113">
        <v>50120</v>
      </c>
      <c r="C10" s="5" t="s">
        <v>982</v>
      </c>
      <c r="D10" s="5">
        <v>15</v>
      </c>
    </row>
  </sheetData>
  <pageMargins left="0.7" right="0.7" top="0.75" bottom="0.75" header="0.3" footer="0.3"/>
</worksheet>
</file>

<file path=xl/worksheets/sheet2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3">
    <tabColor rgb="FF0000FF"/>
  </sheetPr>
  <dimension ref="A1:T9"/>
  <sheetViews>
    <sheetView zoomScale="160" zoomScaleNormal="160" workbookViewId="0">
      <selection activeCell="E3" sqref="E3"/>
    </sheetView>
  </sheetViews>
  <sheetFormatPr defaultRowHeight="15" x14ac:dyDescent="0.25"/>
  <cols>
    <col min="1" max="1" width="5.85546875" bestFit="1" customWidth="1"/>
    <col min="2" max="2" width="10.42578125" bestFit="1" customWidth="1"/>
    <col min="3" max="3" width="5.7109375" bestFit="1" customWidth="1"/>
    <col min="4" max="4" width="1.42578125" customWidth="1"/>
    <col min="5" max="5" width="12.42578125" customWidth="1"/>
    <col min="6" max="6" width="11.7109375" customWidth="1"/>
    <col min="7" max="7" width="33.7109375" customWidth="1"/>
    <col min="12" max="12" width="27.5703125" bestFit="1" customWidth="1"/>
  </cols>
  <sheetData>
    <row r="1" spans="1:20" ht="30" x14ac:dyDescent="0.25">
      <c r="A1" s="8" t="s">
        <v>8</v>
      </c>
      <c r="B1" s="8" t="s">
        <v>979</v>
      </c>
      <c r="C1" s="8" t="s">
        <v>975</v>
      </c>
      <c r="E1" s="33" t="s">
        <v>979</v>
      </c>
      <c r="F1" s="40" t="s">
        <v>985</v>
      </c>
      <c r="R1" t="s">
        <v>8</v>
      </c>
      <c r="S1" t="s">
        <v>96</v>
      </c>
      <c r="T1" t="s">
        <v>975</v>
      </c>
    </row>
    <row r="2" spans="1:20" x14ac:dyDescent="0.25">
      <c r="A2" s="193">
        <v>41369</v>
      </c>
      <c r="B2" s="5" t="s">
        <v>100</v>
      </c>
      <c r="C2" s="5">
        <v>2</v>
      </c>
      <c r="E2" t="s">
        <v>977</v>
      </c>
      <c r="F2" s="34">
        <v>1</v>
      </c>
      <c r="R2" s="278">
        <v>41369</v>
      </c>
      <c r="S2" t="str">
        <f ca="1">CHOOSE(WEEKDAY(R2,15),"Sumner",CHOOSE(RANDBETWEEN(1,7),"SeaTac","SeaTac","Mt Vernon","Burlington","SeaTac","SeaTac","SeaTac"),CHOOSE(RANDBETWEEN(1,4),"SeaTac","SeaTac","Sumner","Everett"))</f>
        <v>Sumner</v>
      </c>
      <c r="T2">
        <f ca="1">CHOOSE(RANDBETWEEN(1,15),1,2,3,4,5,6,7,8,2,3,4,2,3,4,2)</f>
        <v>2</v>
      </c>
    </row>
    <row r="3" spans="1:20" x14ac:dyDescent="0.25">
      <c r="A3" s="193">
        <v>41370</v>
      </c>
      <c r="B3" s="5" t="s">
        <v>97</v>
      </c>
      <c r="C3" s="5">
        <v>4</v>
      </c>
      <c r="E3" t="s">
        <v>976</v>
      </c>
      <c r="F3" s="34">
        <v>1</v>
      </c>
    </row>
    <row r="4" spans="1:20" x14ac:dyDescent="0.25">
      <c r="A4" s="193">
        <v>41440</v>
      </c>
      <c r="B4" s="5" t="s">
        <v>977</v>
      </c>
      <c r="C4" s="5">
        <v>3</v>
      </c>
      <c r="E4" t="s">
        <v>978</v>
      </c>
      <c r="F4" s="34">
        <v>1</v>
      </c>
    </row>
    <row r="5" spans="1:20" x14ac:dyDescent="0.25">
      <c r="A5" s="193">
        <v>41441</v>
      </c>
      <c r="B5" s="5" t="s">
        <v>97</v>
      </c>
      <c r="C5" s="5">
        <v>5</v>
      </c>
      <c r="E5" t="s">
        <v>97</v>
      </c>
      <c r="F5" s="34">
        <v>3</v>
      </c>
    </row>
    <row r="6" spans="1:20" x14ac:dyDescent="0.25">
      <c r="A6" s="193">
        <v>41446</v>
      </c>
      <c r="B6" s="5" t="s">
        <v>100</v>
      </c>
      <c r="C6" s="5">
        <v>2</v>
      </c>
      <c r="E6" t="s">
        <v>100</v>
      </c>
      <c r="F6" s="34">
        <v>2</v>
      </c>
    </row>
    <row r="7" spans="1:20" x14ac:dyDescent="0.25">
      <c r="A7" s="193">
        <v>41447</v>
      </c>
      <c r="B7" s="5" t="s">
        <v>978</v>
      </c>
      <c r="C7" s="5">
        <v>6</v>
      </c>
      <c r="E7" t="s">
        <v>89</v>
      </c>
      <c r="F7" s="34">
        <v>8</v>
      </c>
    </row>
    <row r="8" spans="1:20" x14ac:dyDescent="0.25">
      <c r="A8" s="193">
        <v>41448</v>
      </c>
      <c r="B8" s="5" t="s">
        <v>97</v>
      </c>
      <c r="C8" s="5">
        <v>2</v>
      </c>
    </row>
    <row r="9" spans="1:20" x14ac:dyDescent="0.25">
      <c r="A9" s="193">
        <v>41469</v>
      </c>
      <c r="B9" s="5" t="s">
        <v>976</v>
      </c>
      <c r="C9" s="5">
        <v>7</v>
      </c>
    </row>
  </sheetData>
  <pageMargins left="0.7" right="0.7" top="0.75" bottom="0.75" header="0.3" footer="0.3"/>
</worksheet>
</file>

<file path=xl/worksheets/sheet2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4">
    <tabColor rgb="FF0000FF"/>
  </sheetPr>
  <dimension ref="A1:E21"/>
  <sheetViews>
    <sheetView zoomScale="145" zoomScaleNormal="145" workbookViewId="0">
      <selection activeCell="E3" sqref="E3"/>
    </sheetView>
  </sheetViews>
  <sheetFormatPr defaultRowHeight="15" x14ac:dyDescent="0.25"/>
  <cols>
    <col min="1" max="1" width="5.140625" bestFit="1" customWidth="1"/>
    <col min="2" max="2" width="10.42578125" bestFit="1" customWidth="1"/>
    <col min="3" max="3" width="5.7109375" bestFit="1" customWidth="1"/>
    <col min="4" max="4" width="12.28515625" customWidth="1"/>
    <col min="5" max="5" width="62.85546875" customWidth="1"/>
    <col min="6" max="6" width="2" customWidth="1"/>
    <col min="7" max="7" width="3.5703125" customWidth="1"/>
    <col min="8" max="8" width="14.140625" customWidth="1"/>
    <col min="9" max="9" width="64.140625" bestFit="1" customWidth="1"/>
  </cols>
  <sheetData>
    <row r="1" spans="1:5" x14ac:dyDescent="0.25">
      <c r="A1" s="8" t="s">
        <v>8</v>
      </c>
      <c r="B1" s="8" t="s">
        <v>979</v>
      </c>
      <c r="C1" s="8" t="s">
        <v>975</v>
      </c>
      <c r="D1" s="8" t="s">
        <v>132</v>
      </c>
    </row>
    <row r="2" spans="1:5" x14ac:dyDescent="0.25">
      <c r="A2" s="193">
        <v>41369</v>
      </c>
      <c r="B2" s="5" t="s">
        <v>100</v>
      </c>
      <c r="C2" s="5">
        <v>2</v>
      </c>
      <c r="D2" s="6">
        <f>SUM(COUNTIF(B$2:B2,B2)=1,D1)</f>
        <v>1</v>
      </c>
      <c r="E2" t="s">
        <v>1851</v>
      </c>
    </row>
    <row r="3" spans="1:5" x14ac:dyDescent="0.25">
      <c r="A3" s="193">
        <v>41370</v>
      </c>
      <c r="B3" s="5" t="s">
        <v>97</v>
      </c>
      <c r="C3" s="5">
        <v>4</v>
      </c>
      <c r="D3" s="6">
        <f>SUM(COUNTIF(B$2:B3,B3)=1,D2)</f>
        <v>2</v>
      </c>
      <c r="E3" s="283" t="s">
        <v>1022</v>
      </c>
    </row>
    <row r="4" spans="1:5" x14ac:dyDescent="0.25">
      <c r="A4" s="193">
        <v>41440</v>
      </c>
      <c r="B4" s="5" t="s">
        <v>977</v>
      </c>
      <c r="C4" s="5">
        <v>3</v>
      </c>
      <c r="D4" s="6">
        <f>SUM(COUNTIF(B$2:B4,B4)=1,D3)</f>
        <v>3</v>
      </c>
    </row>
    <row r="5" spans="1:5" x14ac:dyDescent="0.25">
      <c r="A5" s="193">
        <v>41441</v>
      </c>
      <c r="B5" s="5" t="s">
        <v>97</v>
      </c>
      <c r="C5" s="5">
        <v>5</v>
      </c>
      <c r="D5" s="6">
        <f>SUM(COUNTIF(B$2:B5,B5)=1,D4)</f>
        <v>3</v>
      </c>
    </row>
    <row r="6" spans="1:5" x14ac:dyDescent="0.25">
      <c r="A6" s="193">
        <v>41446</v>
      </c>
      <c r="B6" s="5" t="s">
        <v>100</v>
      </c>
      <c r="C6" s="5">
        <v>2</v>
      </c>
      <c r="D6" s="6">
        <f>SUM(COUNTIF(B$2:B6,B6)=1,D5)</f>
        <v>3</v>
      </c>
    </row>
    <row r="7" spans="1:5" x14ac:dyDescent="0.25">
      <c r="A7" s="193">
        <v>41447</v>
      </c>
      <c r="B7" s="5"/>
      <c r="C7" s="5">
        <v>6</v>
      </c>
      <c r="D7" s="6">
        <f>SUM(COUNTIF(B$2:B7,B7)=1,D6)</f>
        <v>3</v>
      </c>
    </row>
    <row r="8" spans="1:5" x14ac:dyDescent="0.25">
      <c r="A8" s="193">
        <v>41448</v>
      </c>
      <c r="B8" s="5" t="s">
        <v>97</v>
      </c>
      <c r="C8" s="5">
        <v>2</v>
      </c>
      <c r="D8" s="6">
        <f>SUM(COUNTIF(B$2:B8,B8)=1,D7)</f>
        <v>3</v>
      </c>
    </row>
    <row r="9" spans="1:5" x14ac:dyDescent="0.25">
      <c r="A9" s="193">
        <v>41469</v>
      </c>
      <c r="B9" s="5" t="s">
        <v>976</v>
      </c>
      <c r="C9" s="5">
        <v>7</v>
      </c>
      <c r="D9" s="6">
        <f>SUM(COUNTIF(B$2:B9,B9)=1,D8)</f>
        <v>4</v>
      </c>
    </row>
    <row r="10" spans="1:5" ht="3.75" customHeight="1" x14ac:dyDescent="0.25"/>
    <row r="11" spans="1:5" x14ac:dyDescent="0.25">
      <c r="D11" s="8" t="s">
        <v>986</v>
      </c>
    </row>
    <row r="12" spans="1:5" x14ac:dyDescent="0.25">
      <c r="D12" s="6">
        <f>MAX(D2:D9)</f>
        <v>4</v>
      </c>
      <c r="E12" t="s">
        <v>1852</v>
      </c>
    </row>
    <row r="13" spans="1:5" ht="3.75" customHeight="1" x14ac:dyDescent="0.25"/>
    <row r="14" spans="1:5" x14ac:dyDescent="0.25">
      <c r="C14" s="8" t="s">
        <v>29</v>
      </c>
      <c r="D14" s="8" t="s">
        <v>979</v>
      </c>
    </row>
    <row r="15" spans="1:5" x14ac:dyDescent="0.25">
      <c r="C15" s="5">
        <v>1</v>
      </c>
      <c r="D15" s="6" t="str">
        <f t="shared" ref="D15:D21" si="0">IF(C15&gt;D$12,"",INDEX(B$2:B$9,MATCH(C15,$D$2:$D$9,0)))</f>
        <v>Sumner</v>
      </c>
      <c r="E15" t="s">
        <v>1853</v>
      </c>
    </row>
    <row r="16" spans="1:5" x14ac:dyDescent="0.25">
      <c r="C16" s="5">
        <v>2</v>
      </c>
      <c r="D16" s="6" t="str">
        <f t="shared" si="0"/>
        <v>SeaTac</v>
      </c>
      <c r="E16" s="283" t="s">
        <v>1022</v>
      </c>
    </row>
    <row r="17" spans="3:4" x14ac:dyDescent="0.25">
      <c r="C17" s="5">
        <v>3</v>
      </c>
      <c r="D17" s="6" t="str">
        <f t="shared" si="0"/>
        <v>Burlington</v>
      </c>
    </row>
    <row r="18" spans="3:4" x14ac:dyDescent="0.25">
      <c r="C18" s="5">
        <v>4</v>
      </c>
      <c r="D18" s="6" t="str">
        <f t="shared" si="0"/>
        <v>Everett</v>
      </c>
    </row>
    <row r="19" spans="3:4" x14ac:dyDescent="0.25">
      <c r="C19" s="5">
        <v>5</v>
      </c>
      <c r="D19" s="6" t="str">
        <f t="shared" si="0"/>
        <v/>
      </c>
    </row>
    <row r="20" spans="3:4" x14ac:dyDescent="0.25">
      <c r="C20" s="5">
        <v>6</v>
      </c>
      <c r="D20" s="6" t="str">
        <f t="shared" si="0"/>
        <v/>
      </c>
    </row>
    <row r="21" spans="3:4" x14ac:dyDescent="0.25">
      <c r="C21" s="5">
        <v>7</v>
      </c>
      <c r="D21" s="6" t="str">
        <f t="shared" si="0"/>
        <v/>
      </c>
    </row>
  </sheetData>
  <pageMargins left="0.7" right="0.7" top="0.75" bottom="0.75" header="0.3" footer="0.3"/>
</worksheet>
</file>

<file path=xl/worksheets/sheet2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5">
    <tabColor rgb="FF0000FF"/>
  </sheetPr>
  <dimension ref="A1:E9"/>
  <sheetViews>
    <sheetView zoomScale="160" zoomScaleNormal="160" workbookViewId="0">
      <selection activeCell="E3" sqref="E3"/>
    </sheetView>
  </sheetViews>
  <sheetFormatPr defaultRowHeight="15" x14ac:dyDescent="0.25"/>
  <cols>
    <col min="2" max="2" width="10.42578125" bestFit="1" customWidth="1"/>
    <col min="4" max="4" width="3" customWidth="1"/>
    <col min="5" max="5" width="14.140625" customWidth="1"/>
  </cols>
  <sheetData>
    <row r="1" spans="1:5" x14ac:dyDescent="0.25">
      <c r="A1" s="8" t="s">
        <v>8</v>
      </c>
      <c r="B1" s="8" t="s">
        <v>979</v>
      </c>
      <c r="C1" s="8" t="s">
        <v>975</v>
      </c>
      <c r="E1" s="8" t="s">
        <v>986</v>
      </c>
    </row>
    <row r="2" spans="1:5" x14ac:dyDescent="0.25">
      <c r="A2" s="193">
        <v>41369</v>
      </c>
      <c r="B2" s="5" t="s">
        <v>100</v>
      </c>
      <c r="C2" s="5">
        <v>2</v>
      </c>
      <c r="E2" s="6">
        <f t="array" ref="E2">SUM(IF(FREQUENCY(IF(B2:B9&lt;&gt;"",MATCH(B2:B9,B2:B9,0)),ROW(B2:B9)-ROW(B2)+1),1))</f>
        <v>4</v>
      </c>
    </row>
    <row r="3" spans="1:5" x14ac:dyDescent="0.25">
      <c r="A3" s="193">
        <v>41370</v>
      </c>
      <c r="B3" s="5" t="s">
        <v>97</v>
      </c>
      <c r="C3" s="5">
        <v>4</v>
      </c>
    </row>
    <row r="4" spans="1:5" x14ac:dyDescent="0.25">
      <c r="A4" s="193">
        <v>41440</v>
      </c>
      <c r="B4" s="5" t="s">
        <v>977</v>
      </c>
      <c r="C4" s="5">
        <v>3</v>
      </c>
      <c r="E4" s="8" t="s">
        <v>979</v>
      </c>
    </row>
    <row r="5" spans="1:5" x14ac:dyDescent="0.25">
      <c r="A5" s="193">
        <v>41441</v>
      </c>
      <c r="B5" s="5" t="s">
        <v>97</v>
      </c>
      <c r="C5" s="5">
        <v>5</v>
      </c>
      <c r="E5" s="6" t="str">
        <f t="array" ref="E5">IF(ROWS(E$5:E5)&gt;$E$2,"",INDEX($B$2:$B$9,SMALL(IF(FREQUENCY(IF($B$2:$B$9&lt;&gt;"",MATCH($B$2:$B$9,$B$2:$B$9,0)),ROW($B$2:$B$9)-ROW($B$2)+1),ROW($B$2:$B$9)-ROW($B$2)+1),ROWS(E$5:E5))))</f>
        <v>Sumner</v>
      </c>
    </row>
    <row r="6" spans="1:5" x14ac:dyDescent="0.25">
      <c r="A6" s="193">
        <v>41446</v>
      </c>
      <c r="B6" s="5" t="s">
        <v>100</v>
      </c>
      <c r="C6" s="5">
        <v>2</v>
      </c>
      <c r="E6" s="6" t="str">
        <f t="array" ref="E6">IF(ROWS(E$5:E6)&gt;$E$2,"",INDEX($B$2:$B$9,SMALL(IF(FREQUENCY(IF($B$2:$B$9&lt;&gt;"",MATCH($B$2:$B$9,$B$2:$B$9,0)),ROW($B$2:$B$9)-ROW($B$2)+1),ROW($B$2:$B$9)-ROW($B$2)+1),ROWS(E$5:E6))))</f>
        <v>SeaTac</v>
      </c>
    </row>
    <row r="7" spans="1:5" x14ac:dyDescent="0.25">
      <c r="A7" s="193">
        <v>41447</v>
      </c>
      <c r="B7" s="5"/>
      <c r="C7" s="5">
        <v>6</v>
      </c>
      <c r="E7" s="6" t="str">
        <f t="array" ref="E7">IF(ROWS(E$5:E7)&gt;$E$2,"",INDEX($B$2:$B$9,SMALL(IF(FREQUENCY(IF($B$2:$B$9&lt;&gt;"",MATCH($B$2:$B$9,$B$2:$B$9,0)),ROW($B$2:$B$9)-ROW($B$2)+1),ROW($B$2:$B$9)-ROW($B$2)+1),ROWS(E$5:E7))))</f>
        <v>Burlington</v>
      </c>
    </row>
    <row r="8" spans="1:5" x14ac:dyDescent="0.25">
      <c r="A8" s="193">
        <v>41448</v>
      </c>
      <c r="B8" s="5" t="s">
        <v>97</v>
      </c>
      <c r="C8" s="5">
        <v>2</v>
      </c>
      <c r="E8" s="6" t="str">
        <f t="array" ref="E8">IF(ROWS(E$5:E8)&gt;$E$2,"",INDEX($B$2:$B$9,SMALL(IF(FREQUENCY(IF($B$2:$B$9&lt;&gt;"",MATCH($B$2:$B$9,$B$2:$B$9,0)),ROW($B$2:$B$9)-ROW($B$2)+1),ROW($B$2:$B$9)-ROW($B$2)+1),ROWS(E$5:E8))))</f>
        <v>Everett</v>
      </c>
    </row>
    <row r="9" spans="1:5" x14ac:dyDescent="0.25">
      <c r="A9" s="193">
        <v>41469</v>
      </c>
      <c r="B9" s="5" t="s">
        <v>976</v>
      </c>
      <c r="C9" s="5">
        <v>7</v>
      </c>
      <c r="E9" s="6" t="str">
        <f t="array" ref="E9">IF(ROWS(E$5:E9)&gt;$E$2,"",INDEX($B$2:$B$9,SMALL(IF(FREQUENCY(IF($B$2:$B$9&lt;&gt;"",MATCH($B$2:$B$9,$B$2:$B$9,0)),ROW($B$2:$B$9)-ROW($B$2)+1),ROW($B$2:$B$9)-ROW($B$2)+1),ROWS(E$5:E9))))</f>
        <v/>
      </c>
    </row>
  </sheetData>
  <pageMargins left="0.7" right="0.7" top="0.75" bottom="0.75" header="0.3" footer="0.3"/>
</worksheet>
</file>

<file path=xl/worksheets/sheet2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6">
    <tabColor rgb="FF0000FF"/>
  </sheetPr>
  <dimension ref="A1:E9"/>
  <sheetViews>
    <sheetView zoomScale="160" zoomScaleNormal="160" workbookViewId="0">
      <selection activeCell="E3" sqref="E3"/>
    </sheetView>
  </sheetViews>
  <sheetFormatPr defaultRowHeight="15" x14ac:dyDescent="0.25"/>
  <cols>
    <col min="2" max="2" width="10.42578125" bestFit="1" customWidth="1"/>
    <col min="4" max="4" width="3" customWidth="1"/>
    <col min="5" max="5" width="14.140625" customWidth="1"/>
  </cols>
  <sheetData>
    <row r="1" spans="1:5" x14ac:dyDescent="0.25">
      <c r="A1" s="8" t="s">
        <v>8</v>
      </c>
      <c r="B1" s="8" t="s">
        <v>979</v>
      </c>
      <c r="C1" s="8" t="s">
        <v>975</v>
      </c>
      <c r="E1" s="8" t="s">
        <v>986</v>
      </c>
    </row>
    <row r="2" spans="1:5" x14ac:dyDescent="0.25">
      <c r="A2" s="193">
        <v>41369</v>
      </c>
      <c r="B2" s="5" t="s">
        <v>100</v>
      </c>
      <c r="C2" s="5">
        <v>2</v>
      </c>
      <c r="E2" s="6">
        <f t="array" ref="E2">SUM(IF(FREQUENCY(IF($B$2:$B$9&lt;&gt;"",MATCH($B$2:$B$9,$B$2:$B$9,0)),ROW($B$2:$B$9)-ROW($B$2)+1),1))</f>
        <v>5</v>
      </c>
    </row>
    <row r="3" spans="1:5" x14ac:dyDescent="0.25">
      <c r="A3" s="193">
        <v>41370</v>
      </c>
      <c r="B3" s="5" t="s">
        <v>97</v>
      </c>
      <c r="C3" s="5">
        <v>4</v>
      </c>
    </row>
    <row r="4" spans="1:5" x14ac:dyDescent="0.25">
      <c r="A4" s="193">
        <v>41440</v>
      </c>
      <c r="B4" s="5" t="s">
        <v>977</v>
      </c>
      <c r="C4" s="5">
        <v>3</v>
      </c>
      <c r="E4" s="8" t="s">
        <v>979</v>
      </c>
    </row>
    <row r="5" spans="1:5" x14ac:dyDescent="0.25">
      <c r="A5" s="193">
        <v>41441</v>
      </c>
      <c r="B5" s="5" t="s">
        <v>97</v>
      </c>
      <c r="C5" s="5">
        <v>5</v>
      </c>
      <c r="E5" s="6" t="str">
        <f t="array" ref="E5">IF(ROWS(E$5:E5)&gt;$E$2,"",INDEX($B$2:$B$9,SMALL(IF(FREQUENCY(IF($B$2:$B$9&lt;&gt;"",MATCH($B$2:$B$9,$B$2:$B$9,0)),ROW($B$2:$B$9)-ROW($B$2)+1),ROW($B$2:$B$9)-ROW($B$2)+1),ROWS(E$5:E5))))</f>
        <v>Sumner</v>
      </c>
    </row>
    <row r="6" spans="1:5" x14ac:dyDescent="0.25">
      <c r="A6" s="193">
        <v>41446</v>
      </c>
      <c r="B6" s="5" t="s">
        <v>100</v>
      </c>
      <c r="C6" s="5">
        <v>2</v>
      </c>
      <c r="E6" s="6" t="str">
        <f t="array" ref="E6">IF(ROWS(E$5:E6)&gt;$E$2,"",INDEX($B$2:$B$9,SMALL(IF(FREQUENCY(IF($B$2:$B$9&lt;&gt;"",MATCH($B$2:$B$9,$B$2:$B$9,0)),ROW($B$2:$B$9)-ROW($B$2)+1),ROW($B$2:$B$9)-ROW($B$2)+1),ROWS(E$5:E6))))</f>
        <v>SeaTac</v>
      </c>
    </row>
    <row r="7" spans="1:5" x14ac:dyDescent="0.25">
      <c r="A7" s="193">
        <v>41447</v>
      </c>
      <c r="B7" s="5" t="s">
        <v>978</v>
      </c>
      <c r="C7" s="5">
        <v>6</v>
      </c>
      <c r="E7" s="6" t="str">
        <f t="array" ref="E7">IF(ROWS(E$5:E7)&gt;$E$2,"",INDEX($B$2:$B$9,SMALL(IF(FREQUENCY(IF($B$2:$B$9&lt;&gt;"",MATCH($B$2:$B$9,$B$2:$B$9,0)),ROW($B$2:$B$9)-ROW($B$2)+1),ROW($B$2:$B$9)-ROW($B$2)+1),ROWS(E$5:E7))))</f>
        <v>Burlington</v>
      </c>
    </row>
    <row r="8" spans="1:5" x14ac:dyDescent="0.25">
      <c r="A8" s="193">
        <v>41448</v>
      </c>
      <c r="B8" s="5" t="s">
        <v>97</v>
      </c>
      <c r="C8" s="5">
        <v>2</v>
      </c>
      <c r="E8" s="6" t="str">
        <f t="array" ref="E8">IF(ROWS(E$5:E8)&gt;$E$2,"",INDEX($B$2:$B$9,SMALL(IF(FREQUENCY(IF($B$2:$B$9&lt;&gt;"",MATCH($B$2:$B$9,$B$2:$B$9,0)),ROW($B$2:$B$9)-ROW($B$2)+1),ROW($B$2:$B$9)-ROW($B$2)+1),ROWS(E$5:E8))))</f>
        <v>Mt Vernon</v>
      </c>
    </row>
    <row r="9" spans="1:5" x14ac:dyDescent="0.25">
      <c r="A9" s="193">
        <v>41469</v>
      </c>
      <c r="B9" s="5" t="s">
        <v>976</v>
      </c>
      <c r="C9" s="5">
        <v>7</v>
      </c>
      <c r="E9" s="6" t="str">
        <f t="array" ref="E9">IF(ROWS(E$5:E9)&gt;$E$2,"",INDEX($B$2:$B$9,SMALL(IF(FREQUENCY(IF($B$2:$B$9&lt;&gt;"",MATCH($B$2:$B$9,$B$2:$B$9,0)),ROW($B$2:$B$9)-ROW($B$2)+1),ROW($B$2:$B$9)-ROW($B$2)+1),ROWS(E$5:E9))))</f>
        <v>Everett</v>
      </c>
    </row>
  </sheetData>
  <pageMargins left="0.7" right="0.7" top="0.75" bottom="0.75" header="0.3" footer="0.3"/>
</worksheet>
</file>

<file path=xl/worksheets/sheet2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7">
    <tabColor rgb="FF0000FF"/>
  </sheetPr>
  <dimension ref="A1:H14"/>
  <sheetViews>
    <sheetView zoomScale="160" zoomScaleNormal="160" workbookViewId="0">
      <selection activeCell="E3" sqref="E3"/>
    </sheetView>
  </sheetViews>
  <sheetFormatPr defaultRowHeight="15" x14ac:dyDescent="0.25"/>
  <cols>
    <col min="2" max="2" width="10.42578125" bestFit="1" customWidth="1"/>
    <col min="4" max="4" width="3" customWidth="1"/>
    <col min="5" max="5" width="14.140625" customWidth="1"/>
    <col min="6" max="6" width="1.7109375" customWidth="1"/>
    <col min="7" max="7" width="14.5703125" bestFit="1" customWidth="1"/>
    <col min="8" max="8" width="23.7109375" customWidth="1"/>
  </cols>
  <sheetData>
    <row r="1" spans="1:8" x14ac:dyDescent="0.25">
      <c r="A1" s="8" t="s">
        <v>8</v>
      </c>
      <c r="B1" s="8" t="s">
        <v>979</v>
      </c>
      <c r="C1" s="8" t="s">
        <v>975</v>
      </c>
      <c r="E1" s="8" t="s">
        <v>986</v>
      </c>
    </row>
    <row r="2" spans="1:8" x14ac:dyDescent="0.25">
      <c r="A2" s="193">
        <v>41369</v>
      </c>
      <c r="B2" s="5" t="s">
        <v>100</v>
      </c>
      <c r="C2" s="5">
        <v>2</v>
      </c>
      <c r="E2" s="6">
        <f t="array" ref="E2">SUM(IF(FREQUENCY(IF(ISTEXT(RaceTrack),MATCH(RaceTrack,RaceTrack,0)),ROW(RaceTrack)-ROW($B$2)+1),1))</f>
        <v>5</v>
      </c>
    </row>
    <row r="3" spans="1:8" x14ac:dyDescent="0.25">
      <c r="A3" s="193">
        <v>41370</v>
      </c>
      <c r="B3" s="5" t="s">
        <v>97</v>
      </c>
      <c r="C3" s="5">
        <v>4</v>
      </c>
    </row>
    <row r="4" spans="1:8" x14ac:dyDescent="0.25">
      <c r="A4" s="193">
        <v>41440</v>
      </c>
      <c r="B4" s="5" t="s">
        <v>977</v>
      </c>
      <c r="C4" s="5">
        <v>3</v>
      </c>
      <c r="E4" s="8" t="s">
        <v>979</v>
      </c>
      <c r="G4" s="153" t="s">
        <v>987</v>
      </c>
      <c r="H4" t="s">
        <v>999</v>
      </c>
    </row>
    <row r="5" spans="1:8" x14ac:dyDescent="0.25">
      <c r="A5" s="193">
        <v>41441</v>
      </c>
      <c r="B5" s="5" t="s">
        <v>97</v>
      </c>
      <c r="C5" s="5">
        <v>5</v>
      </c>
      <c r="E5" s="6" t="str">
        <f t="array" ref="E5">IF(ROWS(E$5:E5)&gt;$E$2,"",INDEX(RaceTrack,SMALL(
IF(FREQUENCY(IF(ISTEXT(RaceTrack),MATCH(RaceTrack,RaceTrack,0)),
ROW(RaceTrack)-ROW($B$2)+1),ROW(RaceTrack)-ROW($B$2)+1),
ROWS(E$5:E5))))</f>
        <v>Sumner</v>
      </c>
      <c r="G5" t="s">
        <v>1001</v>
      </c>
    </row>
    <row r="6" spans="1:8" x14ac:dyDescent="0.25">
      <c r="A6" s="193">
        <v>41446</v>
      </c>
      <c r="B6" s="5" t="s">
        <v>100</v>
      </c>
      <c r="C6" s="5">
        <v>2</v>
      </c>
      <c r="E6" s="6" t="str">
        <f t="array" ref="E6">IF(ROWS(E$5:E6)&gt;$E$2,"",INDEX(RaceTrack,SMALL(
IF(FREQUENCY(IF(ISTEXT(RaceTrack),MATCH(RaceTrack,RaceTrack,0)),
ROW(RaceTrack)-ROW($B$2)+1),ROW(RaceTrack)-ROW($B$2)+1),
ROWS(E$5:E6))))</f>
        <v>SeaTac</v>
      </c>
    </row>
    <row r="7" spans="1:8" x14ac:dyDescent="0.25">
      <c r="A7" s="193">
        <v>41447</v>
      </c>
      <c r="B7" s="5"/>
      <c r="C7" s="5">
        <v>6</v>
      </c>
      <c r="E7" s="6" t="str">
        <f t="array" ref="E7">IF(ROWS(E$5:E7)&gt;$E$2,"",INDEX(RaceTrack,SMALL(
IF(FREQUENCY(IF(ISTEXT(RaceTrack),MATCH(RaceTrack,RaceTrack,0)),
ROW(RaceTrack)-ROW($B$2)+1),ROW(RaceTrack)-ROW($B$2)+1),
ROWS(E$5:E7))))</f>
        <v>Burlington</v>
      </c>
      <c r="H7" s="153" t="s">
        <v>1000</v>
      </c>
    </row>
    <row r="8" spans="1:8" x14ac:dyDescent="0.25">
      <c r="A8" s="193">
        <v>41448</v>
      </c>
      <c r="B8" s="5" t="s">
        <v>97</v>
      </c>
      <c r="C8" s="5">
        <v>2</v>
      </c>
      <c r="E8" s="6" t="str">
        <f t="array" ref="E8">IF(ROWS(E$5:E8)&gt;$E$2,"",INDEX(RaceTrack,SMALL(
IF(FREQUENCY(IF(ISTEXT(RaceTrack),MATCH(RaceTrack,RaceTrack,0)),
ROW(RaceTrack)-ROW($B$2)+1),ROW(RaceTrack)-ROW($B$2)+1),
ROWS(E$5:E8))))</f>
        <v>Everett</v>
      </c>
      <c r="H8" s="5"/>
    </row>
    <row r="9" spans="1:8" x14ac:dyDescent="0.25">
      <c r="A9" s="193">
        <v>41469</v>
      </c>
      <c r="B9" s="5" t="s">
        <v>976</v>
      </c>
      <c r="C9" s="5">
        <v>7</v>
      </c>
      <c r="E9" s="6" t="str">
        <f t="array" ref="E9">IF(ROWS(E$5:E9)&gt;$E$2,"",INDEX(RaceTrack,SMALL(
IF(FREQUENCY(IF(ISTEXT(RaceTrack),MATCH(RaceTrack,RaceTrack,0)),
ROW(RaceTrack)-ROW($B$2)+1),ROW(RaceTrack)-ROW($B$2)+1),
ROWS(E$5:E9))))</f>
        <v>Redmond</v>
      </c>
    </row>
    <row r="10" spans="1:8" x14ac:dyDescent="0.25">
      <c r="A10" s="193">
        <v>41475</v>
      </c>
      <c r="B10" s="5" t="s">
        <v>988</v>
      </c>
      <c r="C10" s="5">
        <v>8</v>
      </c>
      <c r="E10" s="6" t="str">
        <f t="array" ref="E10">IF(ROWS(E$5:E10)&gt;$E$2,"",INDEX(RaceTrack,SMALL(
IF(FREQUENCY(IF(ISTEXT(RaceTrack),MATCH(RaceTrack,RaceTrack,0)),
ROW(RaceTrack)-ROW($B$2)+1),ROW(RaceTrack)-ROW($B$2)+1),
ROWS(E$5:E10))))</f>
        <v/>
      </c>
    </row>
    <row r="11" spans="1:8" x14ac:dyDescent="0.25">
      <c r="A11" s="193"/>
      <c r="B11" s="5">
        <v>2</v>
      </c>
      <c r="C11" s="5"/>
      <c r="E11" s="6" t="str">
        <f t="array" ref="E11">IF(ROWS(E$5:E11)&gt;$E$2,"",INDEX(RaceTrack,SMALL(
IF(FREQUENCY(IF(ISTEXT(RaceTrack),MATCH(RaceTrack,RaceTrack,0)),
ROW(RaceTrack)-ROW($B$2)+1),ROW(RaceTrack)-ROW($B$2)+1),
ROWS(E$5:E11))))</f>
        <v/>
      </c>
    </row>
    <row r="12" spans="1:8" x14ac:dyDescent="0.25">
      <c r="A12" s="5"/>
      <c r="B12" s="5"/>
      <c r="C12" s="5"/>
      <c r="E12" s="6" t="str">
        <f t="array" ref="E12">IF(ROWS(E$5:E12)&gt;$E$2,"",INDEX(RaceTrack,SMALL(
IF(FREQUENCY(IF(ISTEXT(RaceTrack),MATCH(RaceTrack,RaceTrack,0)),
ROW(RaceTrack)-ROW($B$2)+1),ROW(RaceTrack)-ROW($B$2)+1),
ROWS(E$5:E12))))</f>
        <v/>
      </c>
    </row>
    <row r="13" spans="1:8" x14ac:dyDescent="0.25">
      <c r="A13" s="5"/>
      <c r="B13" s="5"/>
      <c r="C13" s="5"/>
      <c r="E13" s="6" t="str">
        <f t="array" ref="E13">IF(ROWS(E$5:E13)&gt;$E$2,"",INDEX(RaceTrack,SMALL(
IF(FREQUENCY(IF(ISTEXT(RaceTrack),MATCH(RaceTrack,RaceTrack,0)),
ROW(RaceTrack)-ROW($B$2)+1),ROW(RaceTrack)-ROW($B$2)+1),
ROWS(E$5:E13))))</f>
        <v/>
      </c>
    </row>
    <row r="14" spans="1:8" x14ac:dyDescent="0.25">
      <c r="A14" s="5"/>
      <c r="B14" s="5"/>
      <c r="C14" s="5"/>
      <c r="E14" s="6" t="str">
        <f t="array" ref="E14">IF(ROWS(E$5:E14)&gt;$E$2,"",INDEX(RaceTrack,SMALL(
IF(FREQUENCY(IF(ISTEXT(RaceTrack),MATCH(RaceTrack,RaceTrack,0)),
ROW(RaceTrack)-ROW($B$2)+1),ROW(RaceTrack)-ROW($B$2)+1),
ROWS(E$5:E14))))</f>
        <v/>
      </c>
    </row>
  </sheetData>
  <dataValidations count="1">
    <dataValidation type="list" allowBlank="1" showInputMessage="1" showErrorMessage="1" sqref="H8">
      <formula1>RaceTrackDynamicDataV</formula1>
    </dataValidation>
  </dataValidations>
  <pageMargins left="0.7" right="0.7" top="0.75" bottom="0.75" header="0.3" footer="0.3"/>
</worksheet>
</file>

<file path=xl/worksheets/sheet2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0">
    <tabColor rgb="FF0000FF"/>
  </sheetPr>
  <dimension ref="A1:F13"/>
  <sheetViews>
    <sheetView zoomScale="175" zoomScaleNormal="175" workbookViewId="0">
      <selection activeCell="E3" sqref="E3"/>
    </sheetView>
  </sheetViews>
  <sheetFormatPr defaultRowHeight="15" x14ac:dyDescent="0.25"/>
  <cols>
    <col min="2" max="2" width="7.5703125" customWidth="1"/>
    <col min="4" max="4" width="2.42578125" customWidth="1"/>
    <col min="5" max="5" width="13.28515625" bestFit="1" customWidth="1"/>
    <col min="6" max="6" width="52.85546875" customWidth="1"/>
  </cols>
  <sheetData>
    <row r="1" spans="1:6" x14ac:dyDescent="0.25">
      <c r="A1" s="8" t="s">
        <v>548</v>
      </c>
      <c r="B1" s="8" t="s">
        <v>8</v>
      </c>
      <c r="C1" s="8" t="s">
        <v>991</v>
      </c>
      <c r="E1" s="8" t="s">
        <v>986</v>
      </c>
    </row>
    <row r="2" spans="1:6" x14ac:dyDescent="0.25">
      <c r="A2" s="5" t="s">
        <v>990</v>
      </c>
      <c r="B2" s="193">
        <v>41231</v>
      </c>
      <c r="C2" s="5">
        <v>115</v>
      </c>
      <c r="E2" s="6">
        <f t="array" ref="E2">SUM(IF(FREQUENCY(IF($A$2:$A$9&lt;&gt;"",MATCH("~"&amp;$A$2:$A$9,$A$2:$A$9&amp;"",0)),ROW($A$2:$A$9)-ROW($A$2)+1),1))</f>
        <v>5</v>
      </c>
      <c r="F2" s="40" t="s">
        <v>992</v>
      </c>
    </row>
    <row r="3" spans="1:6" x14ac:dyDescent="0.25">
      <c r="A3" s="5">
        <v>10987</v>
      </c>
      <c r="B3" s="193">
        <v>41232</v>
      </c>
      <c r="C3" s="5">
        <v>112</v>
      </c>
      <c r="F3" s="280" t="s">
        <v>998</v>
      </c>
    </row>
    <row r="4" spans="1:6" x14ac:dyDescent="0.25">
      <c r="A4" s="5">
        <v>10987</v>
      </c>
      <c r="B4" s="193">
        <v>41232</v>
      </c>
      <c r="C4" s="5">
        <v>112</v>
      </c>
      <c r="F4" s="280" t="s">
        <v>993</v>
      </c>
    </row>
    <row r="5" spans="1:6" x14ac:dyDescent="0.25">
      <c r="A5" s="5" t="s">
        <v>990</v>
      </c>
      <c r="B5" s="193">
        <v>41232</v>
      </c>
      <c r="C5" s="5">
        <v>126</v>
      </c>
      <c r="E5" s="8" t="s">
        <v>548</v>
      </c>
    </row>
    <row r="6" spans="1:6" x14ac:dyDescent="0.25">
      <c r="A6" s="5"/>
      <c r="B6" s="193">
        <v>41232</v>
      </c>
      <c r="C6" s="5">
        <v>126</v>
      </c>
      <c r="E6" s="6" t="str">
        <f t="array" ref="E6">IF(ROWS(E$6:E6)&gt;$E$2,"",INDEX($A$2:$A$9,SMALL(IF(FREQUENCY(IF($A$2:$A$9&lt;&gt;"",MATCH("~"&amp;$A$2:$A$9,$A$2:$A$9&amp;"",0)),ROW($A$2:$A$9)-ROW($A$2)+1),ROW($A$2:$A$9)-ROW($A$2)+1),ROWS(E$6:E6))))</f>
        <v>100-456</v>
      </c>
      <c r="F6" s="40" t="s">
        <v>994</v>
      </c>
    </row>
    <row r="7" spans="1:6" x14ac:dyDescent="0.25">
      <c r="A7" s="5" t="s">
        <v>989</v>
      </c>
      <c r="B7" s="193">
        <v>41236</v>
      </c>
      <c r="C7" s="5">
        <v>112</v>
      </c>
      <c r="E7" s="6">
        <f t="array" ref="E7">IF(ROWS(E$6:E7)&gt;$E$2,"",INDEX($A$2:$A$9,SMALL(IF(FREQUENCY(IF($A$2:$A$9&lt;&gt;"",MATCH("~"&amp;$A$2:$A$9,$A$2:$A$9&amp;"",0)),ROW($A$2:$A$9)-ROW($A$2)+1),ROW($A$2:$A$9)-ROW($A$2)+1),ROWS(E$6:E7))))</f>
        <v>10987</v>
      </c>
      <c r="F7" s="280" t="s">
        <v>995</v>
      </c>
    </row>
    <row r="8" spans="1:6" x14ac:dyDescent="0.25">
      <c r="A8" s="5">
        <v>10907</v>
      </c>
      <c r="B8" s="193">
        <v>41237</v>
      </c>
      <c r="C8" s="5">
        <v>36</v>
      </c>
      <c r="E8" s="6" t="str">
        <f t="array" ref="E8">IF(ROWS(E$6:E8)&gt;$E$2,"",INDEX($A$2:$A$9,SMALL(IF(FREQUENCY(IF($A$2:$A$9&lt;&gt;"",MATCH("~"&amp;$A$2:$A$9,$A$2:$A$9&amp;"",0)),ROW($A$2:$A$9)-ROW($A$2)+1),ROW($A$2:$A$9)-ROW($A$2)+1),ROWS(E$6:E8))))</f>
        <v>*Sioux</v>
      </c>
      <c r="F8" s="280" t="s">
        <v>998</v>
      </c>
    </row>
    <row r="9" spans="1:6" x14ac:dyDescent="0.25">
      <c r="A9" s="5" t="s">
        <v>39</v>
      </c>
      <c r="B9" s="193">
        <v>41236</v>
      </c>
      <c r="C9" s="5">
        <v>112</v>
      </c>
      <c r="E9" s="6">
        <f t="array" ref="E9">IF(ROWS(E$6:E9)&gt;$E$2,"",INDEX($A$2:$A$9,SMALL(IF(FREQUENCY(IF($A$2:$A$9&lt;&gt;"",MATCH("~"&amp;$A$2:$A$9,$A$2:$A$9&amp;"",0)),ROW($A$2:$A$9)-ROW($A$2)+1),ROW($A$2:$A$9)-ROW($A$2)+1),ROWS(E$6:E9))))</f>
        <v>10907</v>
      </c>
      <c r="F9" s="280" t="s">
        <v>996</v>
      </c>
    </row>
    <row r="10" spans="1:6" x14ac:dyDescent="0.25">
      <c r="E10" s="6" t="str">
        <f t="array" ref="E10">IF(ROWS(E$6:E10)&gt;$E$2,"",INDEX($A$2:$A$9,SMALL(IF(FREQUENCY(IF($A$2:$A$9&lt;&gt;"",MATCH("~"&amp;$A$2:$A$9,$A$2:$A$9&amp;"",0)),ROW($A$2:$A$9)-ROW($A$2)+1),ROW($A$2:$A$9)-ROW($A$2)+1),ROWS(E$6:E10))))</f>
        <v>Sioux</v>
      </c>
      <c r="F10" s="280" t="s">
        <v>996</v>
      </c>
    </row>
    <row r="11" spans="1:6" x14ac:dyDescent="0.25">
      <c r="E11" s="6" t="str">
        <f t="array" ref="E11">IF(ROWS(E$6:E11)&gt;$E$2,"",INDEX($A$2:$A$9,SMALL(IF(FREQUENCY(IF($A$2:$A$9&lt;&gt;"",MATCH("~"&amp;$A$2:$A$9,$A$2:$A$9&amp;"",0)),ROW($A$2:$A$9)-ROW($A$2)+1),ROW($A$2:$A$9)-ROW($A$2)+1),ROWS(E$6:E11))))</f>
        <v/>
      </c>
      <c r="F11" s="280" t="s">
        <v>997</v>
      </c>
    </row>
    <row r="12" spans="1:6" x14ac:dyDescent="0.25">
      <c r="E12" s="6" t="str">
        <f t="array" ref="E12">IF(ROWS(E$6:E12)&gt;$E$2,"",INDEX($A$2:$A$9,SMALL(IF(FREQUENCY(IF($A$2:$A$9&lt;&gt;"",MATCH("~"&amp;$A$2:$A$9,$A$2:$A$9&amp;"",0)),ROW($A$2:$A$9)-ROW($A$2)+1),ROW($A$2:$A$9)-ROW($A$2)+1),ROWS(E$6:E12))))</f>
        <v/>
      </c>
    </row>
    <row r="13" spans="1:6" x14ac:dyDescent="0.25">
      <c r="E13" s="6" t="str">
        <f t="array" ref="E13">IF(ROWS(E$6:E13)&gt;$E$2,"",INDEX($A$2:$A$9,SMALL(IF(FREQUENCY(IF($A$2:$A$9&lt;&gt;"",MATCH("~"&amp;$A$2:$A$9,$A$2:$A$9&amp;"",0)),ROW($A$2:$A$9)-ROW($A$2)+1),ROW($A$2:$A$9)-ROW($A$2)+1),ROWS(E$6:E13))))</f>
        <v/>
      </c>
    </row>
  </sheetData>
  <pageMargins left="0.7" right="0.7" top="0.75" bottom="0.75" header="0.3" footer="0.3"/>
</worksheet>
</file>

<file path=xl/worksheets/sheet2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8">
    <tabColor rgb="FF0000FF"/>
  </sheetPr>
  <dimension ref="A1:V18"/>
  <sheetViews>
    <sheetView zoomScale="130" zoomScaleNormal="130" workbookViewId="0">
      <selection activeCell="E3" sqref="E3"/>
    </sheetView>
  </sheetViews>
  <sheetFormatPr defaultRowHeight="15" x14ac:dyDescent="0.25"/>
  <cols>
    <col min="1" max="1" width="5.85546875" bestFit="1" customWidth="1"/>
    <col min="2" max="2" width="8.140625" customWidth="1"/>
    <col min="3" max="3" width="9.42578125" customWidth="1"/>
    <col min="4" max="4" width="6.28515625" bestFit="1" customWidth="1"/>
    <col min="5" max="5" width="7" customWidth="1"/>
    <col min="6" max="6" width="7.5703125" customWidth="1"/>
    <col min="8" max="8" width="41.140625" customWidth="1"/>
    <col min="14" max="14" width="27.5703125" bestFit="1" customWidth="1"/>
  </cols>
  <sheetData>
    <row r="1" spans="1:22" x14ac:dyDescent="0.25">
      <c r="A1" s="8" t="s">
        <v>8</v>
      </c>
      <c r="B1" s="8" t="s">
        <v>981</v>
      </c>
      <c r="C1" s="8" t="s">
        <v>984</v>
      </c>
      <c r="D1" s="8" t="s">
        <v>33</v>
      </c>
      <c r="E1" s="8" t="s">
        <v>132</v>
      </c>
      <c r="T1" t="s">
        <v>8</v>
      </c>
      <c r="U1" t="s">
        <v>96</v>
      </c>
      <c r="V1" t="s">
        <v>975</v>
      </c>
    </row>
    <row r="2" spans="1:22" x14ac:dyDescent="0.25">
      <c r="A2" s="193">
        <v>41902</v>
      </c>
      <c r="B2" s="113">
        <v>50120</v>
      </c>
      <c r="C2" s="5" t="s">
        <v>982</v>
      </c>
      <c r="D2" s="5">
        <v>15</v>
      </c>
      <c r="E2" s="6">
        <f>SUM(AND(COUNTIFS(A$2:A2,A2,B$2:B2,B2,C$2:C2,C2,D$2:D2,D2)=1,C2=G$10),E1)</f>
        <v>1</v>
      </c>
      <c r="F2" t="s">
        <v>1002</v>
      </c>
      <c r="T2" s="278">
        <v>41369</v>
      </c>
      <c r="U2" t="str">
        <f ca="1">CHOOSE(WEEKDAY(T2,15),"Sumner",CHOOSE(RANDBETWEEN(1,7),"SeaTac","SeaTac","Mt Vernon","Burlington","SeaTac","SeaTac","SeaTac"),CHOOSE(RANDBETWEEN(1,4),"SeaTac","SeaTac","Sumner","Everett"))</f>
        <v>Sumner</v>
      </c>
      <c r="V2">
        <f ca="1">CHOOSE(RANDBETWEEN(1,15),1,2,3,4,5,6,7,8,2,3,4,2,3,4,2)</f>
        <v>2</v>
      </c>
    </row>
    <row r="3" spans="1:22" x14ac:dyDescent="0.25">
      <c r="A3" s="193">
        <v>41901</v>
      </c>
      <c r="B3" s="113">
        <v>50125</v>
      </c>
      <c r="C3" s="5" t="s">
        <v>982</v>
      </c>
      <c r="D3" s="5">
        <v>4</v>
      </c>
      <c r="E3" s="6">
        <f>SUM(AND(COUNTIFS(A$2:A3,A3,B$2:B3,B3,C$2:C3,C3,D$2:D3,D3)=1,C3=G$10),E2)</f>
        <v>2</v>
      </c>
      <c r="F3" s="173" t="s">
        <v>1003</v>
      </c>
    </row>
    <row r="4" spans="1:22" x14ac:dyDescent="0.25">
      <c r="A4" s="193">
        <v>41902</v>
      </c>
      <c r="B4" s="113">
        <v>50123</v>
      </c>
      <c r="C4" s="5" t="s">
        <v>983</v>
      </c>
      <c r="D4" s="5">
        <v>3</v>
      </c>
      <c r="E4" s="6">
        <f>SUM(AND(COUNTIFS(A$2:A4,A4,B$2:B4,B4,C$2:C4,C4,D$2:D4,D4)=1,C4=G$10),E3)</f>
        <v>2</v>
      </c>
      <c r="F4" s="173" t="s">
        <v>1004</v>
      </c>
    </row>
    <row r="5" spans="1:22" x14ac:dyDescent="0.25">
      <c r="A5" s="193">
        <v>41902</v>
      </c>
      <c r="B5" s="113">
        <v>50123</v>
      </c>
      <c r="C5" s="5" t="s">
        <v>983</v>
      </c>
      <c r="D5" s="5">
        <v>7</v>
      </c>
      <c r="E5" s="6">
        <f>SUM(AND(COUNTIFS(A$2:A5,A5,B$2:B5,B5,C$2:C5,C5,D$2:D5,D5)=1,C5=G$10),E4)</f>
        <v>2</v>
      </c>
      <c r="F5" s="283" t="s">
        <v>1022</v>
      </c>
    </row>
    <row r="6" spans="1:22" x14ac:dyDescent="0.25">
      <c r="A6" s="193">
        <v>41904</v>
      </c>
      <c r="B6" s="113">
        <v>50129</v>
      </c>
      <c r="C6" s="5" t="s">
        <v>982</v>
      </c>
      <c r="D6" s="5">
        <v>3</v>
      </c>
      <c r="E6" s="6">
        <f>SUM(AND(COUNTIFS(A$2:A6,A6,B$2:B6,B6,C$2:C6,C6,D$2:D6,D6)=1,C6=G$10),E5)</f>
        <v>3</v>
      </c>
    </row>
    <row r="7" spans="1:22" x14ac:dyDescent="0.25">
      <c r="A7" s="193">
        <v>41901</v>
      </c>
      <c r="B7" s="113">
        <v>50125</v>
      </c>
      <c r="C7" s="5" t="s">
        <v>982</v>
      </c>
      <c r="D7" s="5">
        <v>4</v>
      </c>
      <c r="E7" s="6">
        <f>SUM(AND(COUNTIFS(A$2:A7,A7,B$2:B7,B7,C$2:C7,C7,D$2:D7,D7)=1,C7=G$10),E6)</f>
        <v>3</v>
      </c>
    </row>
    <row r="8" spans="1:22" x14ac:dyDescent="0.25">
      <c r="A8" s="193">
        <v>41904</v>
      </c>
      <c r="B8" s="113">
        <v>50131</v>
      </c>
      <c r="C8" s="5" t="s">
        <v>983</v>
      </c>
      <c r="D8" s="5">
        <v>3</v>
      </c>
      <c r="E8" s="6">
        <f>SUM(AND(COUNTIFS(A$2:A8,A8,B$2:B8,B8,C$2:C8,C8,D$2:D8,D8)=1,C8=G$10),E7)</f>
        <v>3</v>
      </c>
      <c r="G8" s="26" t="s">
        <v>21</v>
      </c>
    </row>
    <row r="9" spans="1:22" x14ac:dyDescent="0.25">
      <c r="A9" s="193">
        <v>41904</v>
      </c>
      <c r="B9" s="113">
        <v>50129</v>
      </c>
      <c r="C9" s="5" t="s">
        <v>982</v>
      </c>
      <c r="D9" s="5">
        <v>3</v>
      </c>
      <c r="E9" s="6">
        <f>SUM(AND(COUNTIFS(A$2:A9,A9,B$2:B9,B9,C$2:C9,C9,D$2:D9,D9)=1,C9=G$10),E8)</f>
        <v>3</v>
      </c>
      <c r="G9" s="8" t="s">
        <v>984</v>
      </c>
    </row>
    <row r="10" spans="1:22" x14ac:dyDescent="0.25">
      <c r="A10" s="193">
        <v>41902</v>
      </c>
      <c r="B10" s="113">
        <v>50120</v>
      </c>
      <c r="C10" s="5" t="s">
        <v>982</v>
      </c>
      <c r="D10" s="5">
        <v>15</v>
      </c>
      <c r="E10" s="6">
        <f>SUM(AND(COUNTIFS(A$2:A10,A10,B$2:B10,B10,C$2:C10,C10,D$2:D10,D10)=1,C10=G$10),E9)</f>
        <v>3</v>
      </c>
      <c r="G10" s="5" t="s">
        <v>982</v>
      </c>
    </row>
    <row r="12" spans="1:22" x14ac:dyDescent="0.25">
      <c r="A12" s="8" t="s">
        <v>33</v>
      </c>
      <c r="B12" s="6">
        <f>MAX(E2:E10)</f>
        <v>3</v>
      </c>
      <c r="C12" t="s">
        <v>1854</v>
      </c>
    </row>
    <row r="13" spans="1:22" x14ac:dyDescent="0.25">
      <c r="A13" t="s">
        <v>1855</v>
      </c>
    </row>
    <row r="14" spans="1:22" x14ac:dyDescent="0.25">
      <c r="A14" s="8" t="s">
        <v>8</v>
      </c>
      <c r="B14" s="8" t="s">
        <v>981</v>
      </c>
      <c r="C14" s="8" t="s">
        <v>984</v>
      </c>
      <c r="D14" s="8" t="s">
        <v>33</v>
      </c>
      <c r="E14" s="283" t="s">
        <v>1023</v>
      </c>
    </row>
    <row r="15" spans="1:22" x14ac:dyDescent="0.25">
      <c r="A15" s="279">
        <f>IF(ROWS(A$15:A15)&gt;$B$12,"",INDEX(A$2:A$10,MATCH(ROWS(A$15:A15),$E$2:$E$10,0)))</f>
        <v>41902</v>
      </c>
      <c r="B15" s="6">
        <f>IF(ROWS(B$15:B15)&gt;$B$12,"",INDEX(B$2:B$10,MATCH(ROWS(B$15:B15),$E$2:$E$10,0)))</f>
        <v>50120</v>
      </c>
      <c r="C15" s="6" t="str">
        <f>IF(ROWS(C$15:C15)&gt;$B$12,"",INDEX(C$2:C$10,MATCH(ROWS(C$15:C15),$E$2:$E$10,0)))</f>
        <v>ABC</v>
      </c>
      <c r="D15" s="6">
        <f>IF(ROWS(D$15:D15)&gt;$B$12,"",INDEX(D$2:D$10,MATCH(ROWS(D$15:D15),$E$2:$E$10,0)))</f>
        <v>15</v>
      </c>
    </row>
    <row r="16" spans="1:22" x14ac:dyDescent="0.25">
      <c r="A16" s="279">
        <f>IF(ROWS(A$15:A16)&gt;$B$12,"",INDEX(A$2:A$10,MATCH(ROWS(A$15:A16),$E$2:$E$10,0)))</f>
        <v>41901</v>
      </c>
      <c r="B16" s="6">
        <f>IF(ROWS(B$15:B16)&gt;$B$12,"",INDEX(B$2:B$10,MATCH(ROWS(B$15:B16),$E$2:$E$10,0)))</f>
        <v>50125</v>
      </c>
      <c r="C16" s="6" t="str">
        <f>IF(ROWS(C$15:C16)&gt;$B$12,"",INDEX(C$2:C$10,MATCH(ROWS(C$15:C16),$E$2:$E$10,0)))</f>
        <v>ABC</v>
      </c>
      <c r="D16" s="6">
        <f>IF(ROWS(D$15:D16)&gt;$B$12,"",INDEX(D$2:D$10,MATCH(ROWS(D$15:D16),$E$2:$E$10,0)))</f>
        <v>4</v>
      </c>
    </row>
    <row r="17" spans="1:4" x14ac:dyDescent="0.25">
      <c r="A17" s="279">
        <f>IF(ROWS(A$15:A17)&gt;$B$12,"",INDEX(A$2:A$10,MATCH(ROWS(A$15:A17),$E$2:$E$10,0)))</f>
        <v>41904</v>
      </c>
      <c r="B17" s="6">
        <f>IF(ROWS(B$15:B17)&gt;$B$12,"",INDEX(B$2:B$10,MATCH(ROWS(B$15:B17),$E$2:$E$10,0)))</f>
        <v>50129</v>
      </c>
      <c r="C17" s="6" t="str">
        <f>IF(ROWS(C$15:C17)&gt;$B$12,"",INDEX(C$2:C$10,MATCH(ROWS(C$15:C17),$E$2:$E$10,0)))</f>
        <v>ABC</v>
      </c>
      <c r="D17" s="6">
        <f>IF(ROWS(D$15:D17)&gt;$B$12,"",INDEX(D$2:D$10,MATCH(ROWS(D$15:D17),$E$2:$E$10,0)))</f>
        <v>3</v>
      </c>
    </row>
    <row r="18" spans="1:4" x14ac:dyDescent="0.25">
      <c r="A18" s="279" t="str">
        <f>IF(ROWS(A$15:A18)&gt;$B$12,"",INDEX(A$2:A$10,MATCH(ROWS(A$15:A18),$E$2:$E$10,0)))</f>
        <v/>
      </c>
      <c r="B18" s="6" t="str">
        <f>IF(ROWS(B$15:B18)&gt;$B$12,"",INDEX(B$2:B$10,MATCH(ROWS(B$15:B18),$E$2:$E$10,0)))</f>
        <v/>
      </c>
      <c r="C18" s="6" t="str">
        <f>IF(ROWS(C$15:C18)&gt;$B$12,"",INDEX(C$2:C$10,MATCH(ROWS(C$15:C18),$E$2:$E$10,0)))</f>
        <v/>
      </c>
      <c r="D18" s="6" t="str">
        <f>IF(ROWS(D$15:D18)&gt;$B$12,"",INDEX(D$2:D$10,MATCH(ROWS(D$15:D18),$E$2:$E$10,0)))</f>
        <v/>
      </c>
    </row>
  </sheetData>
  <pageMargins left="0.7" right="0.7" top="0.75" bottom="0.75" header="0.3" footer="0.3"/>
</worksheet>
</file>

<file path=xl/worksheets/sheet2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1">
    <tabColor rgb="FF0000FF"/>
  </sheetPr>
  <dimension ref="A1:V18"/>
  <sheetViews>
    <sheetView zoomScale="130" zoomScaleNormal="130" workbookViewId="0">
      <selection activeCell="E3" sqref="E3"/>
    </sheetView>
  </sheetViews>
  <sheetFormatPr defaultRowHeight="15" x14ac:dyDescent="0.25"/>
  <cols>
    <col min="1" max="1" width="5.85546875" bestFit="1" customWidth="1"/>
    <col min="2" max="2" width="9" customWidth="1"/>
    <col min="3" max="3" width="10.42578125" bestFit="1" customWidth="1"/>
    <col min="4" max="4" width="6.28515625" bestFit="1" customWidth="1"/>
    <col min="5" max="5" width="2" customWidth="1"/>
    <col min="14" max="14" width="27.5703125" bestFit="1" customWidth="1"/>
  </cols>
  <sheetData>
    <row r="1" spans="1:22" x14ac:dyDescent="0.25">
      <c r="A1" s="8" t="s">
        <v>8</v>
      </c>
      <c r="B1" s="8" t="s">
        <v>981</v>
      </c>
      <c r="C1" s="8" t="s">
        <v>984</v>
      </c>
      <c r="D1" s="8" t="s">
        <v>33</v>
      </c>
      <c r="F1" s="8" t="s">
        <v>984</v>
      </c>
      <c r="T1" t="s">
        <v>8</v>
      </c>
      <c r="U1" t="s">
        <v>96</v>
      </c>
      <c r="V1" t="s">
        <v>975</v>
      </c>
    </row>
    <row r="2" spans="1:22" x14ac:dyDescent="0.25">
      <c r="A2" s="193">
        <v>41902</v>
      </c>
      <c r="B2" s="113">
        <v>50120</v>
      </c>
      <c r="C2" s="5" t="s">
        <v>982</v>
      </c>
      <c r="D2" s="5">
        <v>15</v>
      </c>
      <c r="F2" s="5" t="s">
        <v>982</v>
      </c>
      <c r="T2" s="278">
        <v>41369</v>
      </c>
      <c r="U2" t="str">
        <f ca="1">CHOOSE(WEEKDAY(T2,15),"Sumner",CHOOSE(RANDBETWEEN(1,7),"SeaTac","SeaTac","Mt Vernon","Burlington","SeaTac","SeaTac","SeaTac"),CHOOSE(RANDBETWEEN(1,4),"SeaTac","SeaTac","Sumner","Everett"))</f>
        <v>Sumner</v>
      </c>
      <c r="V2">
        <f ca="1">CHOOSE(RANDBETWEEN(1,15),1,2,3,4,5,6,7,8,2,3,4,2,3,4,2)</f>
        <v>1</v>
      </c>
    </row>
    <row r="3" spans="1:22" x14ac:dyDescent="0.25">
      <c r="A3" s="193">
        <v>41901</v>
      </c>
      <c r="B3" s="113">
        <v>50125</v>
      </c>
      <c r="C3" s="5" t="s">
        <v>982</v>
      </c>
      <c r="D3" s="5">
        <v>4</v>
      </c>
    </row>
    <row r="4" spans="1:22" x14ac:dyDescent="0.25">
      <c r="A4" s="193">
        <v>41902</v>
      </c>
      <c r="B4" s="113">
        <v>50123</v>
      </c>
      <c r="C4" s="5" t="s">
        <v>983</v>
      </c>
      <c r="D4" s="5">
        <v>3</v>
      </c>
    </row>
    <row r="5" spans="1:22" x14ac:dyDescent="0.25">
      <c r="A5" s="193">
        <v>41902</v>
      </c>
      <c r="B5" s="113">
        <v>50123</v>
      </c>
      <c r="C5" s="5" t="s">
        <v>983</v>
      </c>
      <c r="D5" s="5">
        <v>7</v>
      </c>
    </row>
    <row r="6" spans="1:22" x14ac:dyDescent="0.25">
      <c r="A6" s="193">
        <v>41904</v>
      </c>
      <c r="B6" s="113">
        <v>50129</v>
      </c>
      <c r="C6" s="5" t="s">
        <v>982</v>
      </c>
      <c r="D6" s="5">
        <v>3</v>
      </c>
    </row>
    <row r="7" spans="1:22" x14ac:dyDescent="0.25">
      <c r="A7" s="193">
        <v>41901</v>
      </c>
      <c r="B7" s="113">
        <v>50125</v>
      </c>
      <c r="C7" s="5" t="s">
        <v>982</v>
      </c>
      <c r="D7" s="5">
        <v>4</v>
      </c>
    </row>
    <row r="8" spans="1:22" x14ac:dyDescent="0.25">
      <c r="A8" s="193">
        <v>41904</v>
      </c>
      <c r="B8" s="113">
        <v>50131</v>
      </c>
      <c r="C8" s="5" t="s">
        <v>983</v>
      </c>
      <c r="D8" s="5">
        <v>3</v>
      </c>
    </row>
    <row r="9" spans="1:22" x14ac:dyDescent="0.25">
      <c r="A9" s="193">
        <v>41904</v>
      </c>
      <c r="B9" s="113">
        <v>50129</v>
      </c>
      <c r="C9" s="5" t="s">
        <v>982</v>
      </c>
      <c r="D9" s="5">
        <v>3</v>
      </c>
    </row>
    <row r="10" spans="1:22" x14ac:dyDescent="0.25">
      <c r="A10" s="193">
        <v>41902</v>
      </c>
      <c r="B10" s="113">
        <v>50120</v>
      </c>
      <c r="C10" s="5" t="s">
        <v>982</v>
      </c>
      <c r="D10" s="5">
        <v>15</v>
      </c>
    </row>
    <row r="12" spans="1:22" x14ac:dyDescent="0.25">
      <c r="A12" s="8" t="s">
        <v>33</v>
      </c>
      <c r="B12" s="6">
        <f t="array" ref="B12">SUM(IF(FREQUENCY(IF(C2:C10=F2,MATCH(A2:A10&amp;B2:B10&amp;C2:C10&amp;D2:D10,A2:A10&amp;B2:B10&amp;C2:C10&amp;D2:D10,0)),ROW(A2:A10)-ROW(A2)+1),1))</f>
        <v>3</v>
      </c>
    </row>
    <row r="14" spans="1:22" x14ac:dyDescent="0.25">
      <c r="A14" s="8" t="s">
        <v>8</v>
      </c>
      <c r="B14" s="8" t="s">
        <v>981</v>
      </c>
      <c r="C14" s="8" t="s">
        <v>984</v>
      </c>
      <c r="D14" s="8" t="s">
        <v>33</v>
      </c>
    </row>
    <row r="15" spans="1:22" x14ac:dyDescent="0.25">
      <c r="A15" s="279">
        <f t="array" ref="A15">IF(ROWS(A$15:A15)&gt;$B$12,"",INDEX(A$2:A$10,SMALL(IF(FREQUENCY(IF($C$2:$C$10=$F$2,MATCH($A$2:$A$10&amp;$B$2:$B$10&amp;$C$2:$C$10&amp;$D$2:$D$10,$A$2:$A$10&amp;$B$2:$B$10&amp;$C$2:$C$10&amp;$D$2:$D$10,0)),ROW($A$2:$A$10)-ROW($A$2)+1),ROW($A$2:$A$10)-ROW($A$2)+1),ROWS(A$15:A15))))</f>
        <v>41902</v>
      </c>
      <c r="B15" s="6">
        <f t="array" ref="B15">IF(ROWS(B$15:B15)&gt;$B$12,"",INDEX(B$2:B$10,SMALL(IF(FREQUENCY(IF($C$2:$C$10=$F$2,MATCH($A$2:$A$10&amp;$B$2:$B$10&amp;$C$2:$C$10&amp;$D$2:$D$10,$A$2:$A$10&amp;$B$2:$B$10&amp;$C$2:$C$10&amp;$D$2:$D$10,0)),ROW($A$2:$A$10)-ROW($A$2)+1),ROW($A$2:$A$10)-ROW($A$2)+1),ROWS(B$15:B15))))</f>
        <v>50120</v>
      </c>
      <c r="C15" s="6" t="str">
        <f t="array" ref="C15">IF(ROWS(C$15:C15)&gt;$B$12,"",INDEX(C$2:C$10,SMALL(IF(FREQUENCY(IF($C$2:$C$10=$F$2,MATCH($A$2:$A$10&amp;$B$2:$B$10&amp;$C$2:$C$10&amp;$D$2:$D$10,$A$2:$A$10&amp;$B$2:$B$10&amp;$C$2:$C$10&amp;$D$2:$D$10,0)),ROW($A$2:$A$10)-ROW($A$2)+1),ROW($A$2:$A$10)-ROW($A$2)+1),ROWS(C$15:C15))))</f>
        <v>ABC</v>
      </c>
      <c r="D15" s="6">
        <f t="array" ref="D15">IF(ROWS(D$15:D15)&gt;$B$12,"",INDEX(D$2:D$10,SMALL(IF(FREQUENCY(IF($C$2:$C$10=$F$2,MATCH($A$2:$A$10&amp;$B$2:$B$10&amp;$C$2:$C$10&amp;$D$2:$D$10,$A$2:$A$10&amp;$B$2:$B$10&amp;$C$2:$C$10&amp;$D$2:$D$10,0)),ROW($A$2:$A$10)-ROW($A$2)+1),ROW($A$2:$A$10)-ROW($A$2)+1),ROWS(D$15:D15))))</f>
        <v>15</v>
      </c>
    </row>
    <row r="16" spans="1:22" x14ac:dyDescent="0.25">
      <c r="A16" s="279">
        <f t="array" ref="A16">IF(ROWS(A$15:A16)&gt;$B$12,"",INDEX(A$2:A$10,SMALL(IF(FREQUENCY(IF($C$2:$C$10=$F$2,MATCH($A$2:$A$10&amp;$B$2:$B$10&amp;$C$2:$C$10&amp;$D$2:$D$10,$A$2:$A$10&amp;$B$2:$B$10&amp;$C$2:$C$10&amp;$D$2:$D$10,0)),ROW($A$2:$A$10)-ROW($A$2)+1),ROW($A$2:$A$10)-ROW($A$2)+1),ROWS(A$15:A16))))</f>
        <v>41901</v>
      </c>
      <c r="B16" s="6">
        <f t="array" ref="B16">IF(ROWS(B$15:B16)&gt;$B$12,"",INDEX(B$2:B$10,SMALL(IF(FREQUENCY(IF($C$2:$C$10=$F$2,MATCH($A$2:$A$10&amp;$B$2:$B$10&amp;$C$2:$C$10&amp;$D$2:$D$10,$A$2:$A$10&amp;$B$2:$B$10&amp;$C$2:$C$10&amp;$D$2:$D$10,0)),ROW($A$2:$A$10)-ROW($A$2)+1),ROW($A$2:$A$10)-ROW($A$2)+1),ROWS(B$15:B16))))</f>
        <v>50125</v>
      </c>
      <c r="C16" s="6" t="str">
        <f t="array" ref="C16">IF(ROWS(C$15:C16)&gt;$B$12,"",INDEX(C$2:C$10,SMALL(IF(FREQUENCY(IF($C$2:$C$10=$F$2,MATCH($A$2:$A$10&amp;$B$2:$B$10&amp;$C$2:$C$10&amp;$D$2:$D$10,$A$2:$A$10&amp;$B$2:$B$10&amp;$C$2:$C$10&amp;$D$2:$D$10,0)),ROW($A$2:$A$10)-ROW($A$2)+1),ROW($A$2:$A$10)-ROW($A$2)+1),ROWS(C$15:C16))))</f>
        <v>ABC</v>
      </c>
      <c r="D16" s="6">
        <f t="array" ref="D16">IF(ROWS(D$15:D16)&gt;$B$12,"",INDEX(D$2:D$10,SMALL(IF(FREQUENCY(IF($C$2:$C$10=$F$2,MATCH($A$2:$A$10&amp;$B$2:$B$10&amp;$C$2:$C$10&amp;$D$2:$D$10,$A$2:$A$10&amp;$B$2:$B$10&amp;$C$2:$C$10&amp;$D$2:$D$10,0)),ROW($A$2:$A$10)-ROW($A$2)+1),ROW($A$2:$A$10)-ROW($A$2)+1),ROWS(D$15:D16))))</f>
        <v>4</v>
      </c>
    </row>
    <row r="17" spans="1:4" x14ac:dyDescent="0.25">
      <c r="A17" s="279">
        <f t="array" ref="A17">IF(ROWS(A$15:A17)&gt;$B$12,"",INDEX(A$2:A$10,SMALL(IF(FREQUENCY(IF($C$2:$C$10=$F$2,MATCH($A$2:$A$10&amp;$B$2:$B$10&amp;$C$2:$C$10&amp;$D$2:$D$10,$A$2:$A$10&amp;$B$2:$B$10&amp;$C$2:$C$10&amp;$D$2:$D$10,0)),ROW($A$2:$A$10)-ROW($A$2)+1),ROW($A$2:$A$10)-ROW($A$2)+1),ROWS(A$15:A17))))</f>
        <v>41904</v>
      </c>
      <c r="B17" s="6">
        <f t="array" ref="B17">IF(ROWS(B$15:B17)&gt;$B$12,"",INDEX(B$2:B$10,SMALL(IF(FREQUENCY(IF($C$2:$C$10=$F$2,MATCH($A$2:$A$10&amp;$B$2:$B$10&amp;$C$2:$C$10&amp;$D$2:$D$10,$A$2:$A$10&amp;$B$2:$B$10&amp;$C$2:$C$10&amp;$D$2:$D$10,0)),ROW($A$2:$A$10)-ROW($A$2)+1),ROW($A$2:$A$10)-ROW($A$2)+1),ROWS(B$15:B17))))</f>
        <v>50129</v>
      </c>
      <c r="C17" s="6" t="str">
        <f t="array" ref="C17">IF(ROWS(C$15:C17)&gt;$B$12,"",INDEX(C$2:C$10,SMALL(IF(FREQUENCY(IF($C$2:$C$10=$F$2,MATCH($A$2:$A$10&amp;$B$2:$B$10&amp;$C$2:$C$10&amp;$D$2:$D$10,$A$2:$A$10&amp;$B$2:$B$10&amp;$C$2:$C$10&amp;$D$2:$D$10,0)),ROW($A$2:$A$10)-ROW($A$2)+1),ROW($A$2:$A$10)-ROW($A$2)+1),ROWS(C$15:C17))))</f>
        <v>ABC</v>
      </c>
      <c r="D17" s="6">
        <f t="array" ref="D17">IF(ROWS(D$15:D17)&gt;$B$12,"",INDEX(D$2:D$10,SMALL(IF(FREQUENCY(IF($C$2:$C$10=$F$2,MATCH($A$2:$A$10&amp;$B$2:$B$10&amp;$C$2:$C$10&amp;$D$2:$D$10,$A$2:$A$10&amp;$B$2:$B$10&amp;$C$2:$C$10&amp;$D$2:$D$10,0)),ROW($A$2:$A$10)-ROW($A$2)+1),ROW($A$2:$A$10)-ROW($A$2)+1),ROWS(D$15:D17))))</f>
        <v>3</v>
      </c>
    </row>
    <row r="18" spans="1:4" x14ac:dyDescent="0.25">
      <c r="A18" s="279" t="str">
        <f t="array" ref="A18">IF(ROWS(A$15:A18)&gt;$B$12,"",INDEX(A$2:A$10,SMALL(IF(FREQUENCY(IF($C$2:$C$10=$F$2,MATCH($A$2:$A$10&amp;$B$2:$B$10&amp;$C$2:$C$10&amp;$D$2:$D$10,$A$2:$A$10&amp;$B$2:$B$10&amp;$C$2:$C$10&amp;$D$2:$D$10,0)),ROW($A$2:$A$10)-ROW($A$2)+1),ROW($A$2:$A$10)-ROW($A$2)+1),ROWS(A$15:A18))))</f>
        <v/>
      </c>
      <c r="B18" s="6" t="str">
        <f t="array" ref="B18">IF(ROWS(B$15:B18)&gt;$B$12,"",INDEX(B$2:B$10,SMALL(IF(FREQUENCY(IF($C$2:$C$10=$F$2,MATCH($A$2:$A$10&amp;$B$2:$B$10&amp;$C$2:$C$10&amp;$D$2:$D$10,$A$2:$A$10&amp;$B$2:$B$10&amp;$C$2:$C$10&amp;$D$2:$D$10,0)),ROW($A$2:$A$10)-ROW($A$2)+1),ROW($A$2:$A$10)-ROW($A$2)+1),ROWS(B$15:B18))))</f>
        <v/>
      </c>
      <c r="C18" s="6" t="str">
        <f t="array" ref="C18">IF(ROWS(C$15:C18)&gt;$B$12,"",INDEX(C$2:C$10,SMALL(IF(FREQUENCY(IF($C$2:$C$10=$F$2,MATCH($A$2:$A$10&amp;$B$2:$B$10&amp;$C$2:$C$10&amp;$D$2:$D$10,$A$2:$A$10&amp;$B$2:$B$10&amp;$C$2:$C$10&amp;$D$2:$D$10,0)),ROW($A$2:$A$10)-ROW($A$2)+1),ROW($A$2:$A$10)-ROW($A$2)+1),ROWS(C$15:C18))))</f>
        <v/>
      </c>
      <c r="D18" s="6" t="str">
        <f t="array" ref="D18">IF(ROWS(D$15:D18)&gt;$B$12,"",INDEX(D$2:D$10,SMALL(IF(FREQUENCY(IF($C$2:$C$10=$F$2,MATCH($A$2:$A$10&amp;$B$2:$B$10&amp;$C$2:$C$10&amp;$D$2:$D$10,$A$2:$A$10&amp;$B$2:$B$10&amp;$C$2:$C$10&amp;$D$2:$D$10,0)),ROW($A$2:$A$10)-ROW($A$2)+1),ROW($A$2:$A$10)-ROW($A$2)+1),ROWS(D$15:D18))))</f>
        <v/>
      </c>
    </row>
  </sheetData>
  <pageMargins left="0.7" right="0.7" top="0.75" bottom="0.75" header="0.3" footer="0.3"/>
</worksheet>
</file>

<file path=xl/worksheets/sheet2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2">
    <tabColor rgb="FF0000FF"/>
  </sheetPr>
  <dimension ref="A1:G34"/>
  <sheetViews>
    <sheetView zoomScale="130" zoomScaleNormal="130" workbookViewId="0">
      <selection activeCell="E3" sqref="E3"/>
    </sheetView>
  </sheetViews>
  <sheetFormatPr defaultRowHeight="15" x14ac:dyDescent="0.25"/>
  <cols>
    <col min="1" max="1" width="15.7109375" customWidth="1"/>
    <col min="2" max="3" width="9.7109375" customWidth="1"/>
    <col min="4" max="4" width="2.5703125" customWidth="1"/>
    <col min="5" max="5" width="17.42578125" customWidth="1"/>
    <col min="6" max="6" width="9.5703125" customWidth="1"/>
    <col min="7" max="7" width="14.140625" customWidth="1"/>
  </cols>
  <sheetData>
    <row r="1" spans="1:7" x14ac:dyDescent="0.25">
      <c r="A1" s="52" t="s">
        <v>1009</v>
      </c>
      <c r="B1" s="52"/>
      <c r="C1" s="23"/>
    </row>
    <row r="2" spans="1:7" x14ac:dyDescent="0.25">
      <c r="A2" t="s">
        <v>1011</v>
      </c>
    </row>
    <row r="3" spans="1:7" x14ac:dyDescent="0.25">
      <c r="A3" s="282" t="s">
        <v>1010</v>
      </c>
      <c r="B3" s="23"/>
    </row>
    <row r="4" spans="1:7" x14ac:dyDescent="0.25">
      <c r="A4" t="s">
        <v>1013</v>
      </c>
    </row>
    <row r="5" spans="1:7" x14ac:dyDescent="0.25">
      <c r="A5" s="282" t="s">
        <v>1012</v>
      </c>
    </row>
    <row r="6" spans="1:7" x14ac:dyDescent="0.25">
      <c r="A6" s="282" t="s">
        <v>1014</v>
      </c>
    </row>
    <row r="7" spans="1:7" x14ac:dyDescent="0.25">
      <c r="A7" s="282" t="s">
        <v>1015</v>
      </c>
    </row>
    <row r="8" spans="1:7" x14ac:dyDescent="0.25">
      <c r="A8" t="s">
        <v>1016</v>
      </c>
    </row>
    <row r="9" spans="1:7" x14ac:dyDescent="0.25">
      <c r="A9" s="8" t="s">
        <v>8</v>
      </c>
      <c r="B9" s="8" t="s">
        <v>24</v>
      </c>
      <c r="C9" s="8" t="s">
        <v>91</v>
      </c>
    </row>
    <row r="10" spans="1:7" x14ac:dyDescent="0.25">
      <c r="A10" s="7">
        <v>41362</v>
      </c>
      <c r="B10" s="5" t="s">
        <v>1005</v>
      </c>
      <c r="C10" s="5">
        <v>493</v>
      </c>
      <c r="F10" s="23"/>
      <c r="G10" s="23"/>
    </row>
    <row r="11" spans="1:7" x14ac:dyDescent="0.25">
      <c r="A11" s="7">
        <v>41362</v>
      </c>
      <c r="B11" s="5" t="s">
        <v>1006</v>
      </c>
      <c r="C11" s="5">
        <v>134</v>
      </c>
    </row>
    <row r="12" spans="1:7" x14ac:dyDescent="0.25">
      <c r="A12" s="7">
        <v>41362</v>
      </c>
      <c r="B12" s="5" t="s">
        <v>1007</v>
      </c>
      <c r="C12" s="5">
        <v>949</v>
      </c>
      <c r="E12" s="8" t="s">
        <v>33</v>
      </c>
    </row>
    <row r="13" spans="1:7" x14ac:dyDescent="0.25">
      <c r="A13" s="7">
        <v>41363</v>
      </c>
      <c r="B13" s="5" t="s">
        <v>1007</v>
      </c>
      <c r="C13" s="5">
        <v>188</v>
      </c>
      <c r="E13" s="6">
        <f t="array" ref="E13">SUM(IF(FREQUENCY(IF(Customer&lt;&gt;"",MATCH(Customer,Customer,0)),ROW(Customer)-ROW($B$10)+1),1))</f>
        <v>4</v>
      </c>
    </row>
    <row r="14" spans="1:7" x14ac:dyDescent="0.25">
      <c r="A14" s="7">
        <v>41363</v>
      </c>
      <c r="B14" s="5" t="s">
        <v>1005</v>
      </c>
      <c r="C14" s="5">
        <v>984</v>
      </c>
      <c r="E14" s="8" t="s">
        <v>24</v>
      </c>
      <c r="F14" s="8" t="s">
        <v>91</v>
      </c>
    </row>
    <row r="15" spans="1:7" x14ac:dyDescent="0.25">
      <c r="A15" s="7">
        <v>41363</v>
      </c>
      <c r="B15" s="5" t="s">
        <v>1008</v>
      </c>
      <c r="C15" s="5">
        <v>888</v>
      </c>
      <c r="E15" s="136" t="str">
        <f t="array" ref="E15">IF(ROWS(E$15:E15)&gt;E$13,"",INDEX(Customer,SMALL(IF(FREQUENCY(IF(Customer&lt;&gt;"",MATCH(Customer,Customer,0)),ROW(Customer)-ROW($B$10)+1),ROW(Customer)-ROW($B$10)+1),ROWS(E$15:E15))))</f>
        <v>TT Trucks</v>
      </c>
      <c r="F15" s="6">
        <f ca="1">IF(E15="","",SUMIF(Customer,E15,$C$10))</f>
        <v>1477</v>
      </c>
    </row>
    <row r="16" spans="1:7" x14ac:dyDescent="0.25">
      <c r="A16" s="7">
        <v>41364</v>
      </c>
      <c r="B16" s="5" t="s">
        <v>1008</v>
      </c>
      <c r="C16" s="5">
        <v>183</v>
      </c>
      <c r="E16" s="6" t="str">
        <f t="array" ref="E16">IF(ROWS(E$15:E16)&gt;E$13,"",INDEX(Customer,SMALL(IF(FREQUENCY(IF(Customer&lt;&gt;"",MATCH(Customer,Customer,0)),ROW(Customer)-ROW($B$10)+1),ROW(Customer)-ROW($B$10)+1),ROWS(E$15:E16))))</f>
        <v>Van Inc.</v>
      </c>
      <c r="F16" s="6">
        <f ca="1">IF(E16="","",SUMIF(Customer,E16,$C$10))</f>
        <v>134</v>
      </c>
    </row>
    <row r="17" spans="1:6" x14ac:dyDescent="0.25">
      <c r="A17" s="5"/>
      <c r="B17" s="5"/>
      <c r="C17" s="5"/>
      <c r="E17" s="6" t="str">
        <f t="array" ref="E17">IF(ROWS(E$15:E17)&gt;E$13,"",INDEX(Customer,SMALL(IF(FREQUENCY(IF(Customer&lt;&gt;"",MATCH(Customer,Customer,0)),ROW(Customer)-ROW($B$10)+1),ROW(Customer)-ROW($B$10)+1),ROWS(E$15:E17))))</f>
        <v>Fran's</v>
      </c>
      <c r="F17" s="6">
        <f ca="1">IF(E17="","",SUMIF(Customer,E17,$C$10))</f>
        <v>1137</v>
      </c>
    </row>
    <row r="18" spans="1:6" x14ac:dyDescent="0.25">
      <c r="A18" s="5"/>
      <c r="B18" s="5"/>
      <c r="C18" s="5"/>
      <c r="E18" s="6" t="str">
        <f t="array" ref="E18">IF(ROWS(E$15:E18)&gt;E$13,"",INDEX(Customer,SMALL(IF(FREQUENCY(IF(Customer&lt;&gt;"",MATCH(Customer,Customer,0)),ROW(Customer)-ROW($B$10)+1),ROW(Customer)-ROW($B$10)+1),ROWS(E$15:E18))))</f>
        <v>Mad Dog</v>
      </c>
      <c r="F18" s="6">
        <f ca="1">IF(E18="","",SUMIF(Customer,E18,$C$10))</f>
        <v>1071</v>
      </c>
    </row>
    <row r="19" spans="1:6" x14ac:dyDescent="0.25">
      <c r="A19" s="5"/>
      <c r="B19" s="5"/>
      <c r="C19" s="5"/>
      <c r="E19" s="6" t="str">
        <f t="array" ref="E19">IF(ROWS(E$15:E19)&gt;E$13,"",INDEX(Customer,SMALL(IF(FREQUENCY(IF(Customer&lt;&gt;"",MATCH(Customer,Customer,0)),ROW(Customer)-ROW($B$10)+1),ROW(Customer)-ROW($B$10)+1),ROWS(E$15:E19))))</f>
        <v/>
      </c>
      <c r="F19" s="6" t="str">
        <f>IF(E19="","",SUMIF(Customer,E19,$C$10))</f>
        <v/>
      </c>
    </row>
    <row r="20" spans="1:6" x14ac:dyDescent="0.25">
      <c r="A20" s="5"/>
      <c r="B20" s="5"/>
      <c r="C20" s="5"/>
      <c r="E20" s="6" t="str">
        <f t="array" ref="E20">IF(ROWS(E$15:E20)&gt;E$13,"",INDEX(Customer,SMALL(IF(FREQUENCY(IF(Customer&lt;&gt;"",MATCH(Customer,Customer,0)),ROW(Customer)-ROW($B$10)+1),ROW(Customer)-ROW($B$10)+1),ROWS(E$15:E20))))</f>
        <v/>
      </c>
      <c r="F20" s="6" t="str">
        <f>IF(E20="","",SUMIF(Customer,E20,$C$10))</f>
        <v/>
      </c>
    </row>
    <row r="21" spans="1:6" x14ac:dyDescent="0.25">
      <c r="A21" s="5"/>
      <c r="B21" s="5"/>
      <c r="C21" s="5"/>
      <c r="E21" s="6" t="str">
        <f t="array" ref="E21">IF(ROWS(E$15:E21)&gt;E$13,"",INDEX(Customer,SMALL(IF(FREQUENCY(IF(Customer&lt;&gt;"",MATCH(Customer,Customer,0)),ROW(Customer)-ROW($B$10)+1),ROW(Customer)-ROW($B$10)+1),ROWS(E$15:E21))))</f>
        <v/>
      </c>
      <c r="F21" s="6" t="str">
        <f>IF(E21="","",SUMIF(Customer,E21,$C$10))</f>
        <v/>
      </c>
    </row>
    <row r="22" spans="1:6" x14ac:dyDescent="0.25">
      <c r="A22" s="5"/>
      <c r="B22" s="5"/>
      <c r="C22" s="5"/>
      <c r="E22" s="6" t="str">
        <f t="array" ref="E22">IF(ROWS(E$15:E22)&gt;E$13,"",INDEX(Customer,SMALL(IF(FREQUENCY(IF(Customer&lt;&gt;"",MATCH(Customer,Customer,0)),ROW(Customer)-ROW($B$10)+1),ROW(Customer)-ROW($B$10)+1),ROWS(E$15:E22))))</f>
        <v/>
      </c>
      <c r="F22" s="6" t="str">
        <f>IF(E22="","",SUMIF(Customer,E22,$C$10))</f>
        <v/>
      </c>
    </row>
    <row r="23" spans="1:6" x14ac:dyDescent="0.25">
      <c r="A23" s="5"/>
      <c r="B23" s="5"/>
      <c r="C23" s="5"/>
      <c r="E23" s="6" t="str">
        <f t="array" ref="E23">IF(ROWS(E$15:E23)&gt;E$13,"",INDEX(Customer,SMALL(IF(FREQUENCY(IF(Customer&lt;&gt;"",MATCH(Customer,Customer,0)),ROW(Customer)-ROW($B$10)+1),ROW(Customer)-ROW($B$10)+1),ROWS(E$15:E23))))</f>
        <v/>
      </c>
      <c r="F23" s="6" t="str">
        <f>IF(E23="","",SUMIF(Customer,E23,$C$10))</f>
        <v/>
      </c>
    </row>
    <row r="24" spans="1:6" x14ac:dyDescent="0.25">
      <c r="A24" s="5"/>
      <c r="B24" s="5"/>
      <c r="C24" s="5"/>
      <c r="E24" s="6" t="str">
        <f t="array" ref="E24">IF(ROWS(E$15:E24)&gt;E$13,"",INDEX(Customer,SMALL(IF(FREQUENCY(IF(Customer&lt;&gt;"",MATCH(Customer,Customer,0)),ROW(Customer)-ROW($B$10)+1),ROW(Customer)-ROW($B$10)+1),ROWS(E$15:E24))))</f>
        <v/>
      </c>
      <c r="F24" s="6" t="str">
        <f>IF(E24="","",SUMIF(Customer,E24,$C$10))</f>
        <v/>
      </c>
    </row>
    <row r="25" spans="1:6" x14ac:dyDescent="0.25">
      <c r="A25" s="5"/>
      <c r="B25" s="5"/>
      <c r="C25" s="5"/>
    </row>
    <row r="26" spans="1:6" x14ac:dyDescent="0.25">
      <c r="A26" s="5"/>
      <c r="B26" s="5"/>
      <c r="C26" s="5"/>
    </row>
    <row r="27" spans="1:6" x14ac:dyDescent="0.25">
      <c r="A27" s="5"/>
      <c r="B27" s="5"/>
      <c r="C27" s="5"/>
    </row>
    <row r="28" spans="1:6" x14ac:dyDescent="0.25">
      <c r="A28" s="5"/>
      <c r="B28" s="5"/>
      <c r="C28" s="5"/>
    </row>
    <row r="29" spans="1:6" x14ac:dyDescent="0.25">
      <c r="A29" s="5"/>
      <c r="B29" s="5"/>
      <c r="C29" s="5"/>
    </row>
    <row r="30" spans="1:6" x14ac:dyDescent="0.25">
      <c r="A30" s="5"/>
      <c r="B30" s="5"/>
      <c r="C30" s="5"/>
    </row>
    <row r="31" spans="1:6" x14ac:dyDescent="0.25">
      <c r="A31" s="5"/>
      <c r="B31" s="5"/>
      <c r="C31" s="5"/>
    </row>
    <row r="32" spans="1:6" x14ac:dyDescent="0.25">
      <c r="A32" s="5"/>
      <c r="B32" s="5"/>
      <c r="C32" s="5"/>
    </row>
    <row r="33" spans="1:3" x14ac:dyDescent="0.25">
      <c r="A33" s="5"/>
      <c r="B33" s="5"/>
      <c r="C33" s="5"/>
    </row>
    <row r="34" spans="1:3" x14ac:dyDescent="0.25">
      <c r="A34" s="5"/>
      <c r="B34" s="5"/>
      <c r="C34" s="5"/>
    </row>
  </sheetData>
  <pageMargins left="0.7" right="0.7" top="0.75" bottom="0.75" header="0.3" footer="0.3"/>
</worksheet>
</file>

<file path=xl/worksheets/sheet2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3">
    <tabColor rgb="FF0000FF"/>
  </sheetPr>
  <dimension ref="A1:C10"/>
  <sheetViews>
    <sheetView zoomScale="145" zoomScaleNormal="145" workbookViewId="0">
      <selection activeCell="E3" sqref="E3"/>
    </sheetView>
  </sheetViews>
  <sheetFormatPr defaultRowHeight="15" x14ac:dyDescent="0.25"/>
  <cols>
    <col min="3" max="3" width="45.140625" customWidth="1"/>
  </cols>
  <sheetData>
    <row r="1" spans="1:3" x14ac:dyDescent="0.25">
      <c r="A1" s="23" t="s">
        <v>1017</v>
      </c>
    </row>
    <row r="2" spans="1:3" x14ac:dyDescent="0.25">
      <c r="A2" s="176" t="s">
        <v>1018</v>
      </c>
      <c r="B2" s="111"/>
    </row>
    <row r="3" spans="1:3" x14ac:dyDescent="0.25">
      <c r="A3" s="5">
        <v>4</v>
      </c>
      <c r="B3" s="6">
        <f>SMALL($A$3:$A$5,ROWS(B$3:B3))</f>
        <v>2</v>
      </c>
      <c r="C3" t="s">
        <v>1856</v>
      </c>
    </row>
    <row r="4" spans="1:3" x14ac:dyDescent="0.25">
      <c r="A4" s="5">
        <v>2</v>
      </c>
      <c r="B4" s="6">
        <f>SMALL($A$3:$A$5,ROWS(B$3:B4))</f>
        <v>3</v>
      </c>
      <c r="C4" s="283" t="s">
        <v>1022</v>
      </c>
    </row>
    <row r="5" spans="1:3" x14ac:dyDescent="0.25">
      <c r="A5" s="5">
        <v>3</v>
      </c>
      <c r="B5" s="6">
        <f>SMALL($A$3:$A$5,ROWS(B$3:B5))</f>
        <v>4</v>
      </c>
    </row>
    <row r="6" spans="1:3" ht="3" customHeight="1" x14ac:dyDescent="0.25"/>
    <row r="7" spans="1:3" x14ac:dyDescent="0.25">
      <c r="A7" s="176" t="s">
        <v>1019</v>
      </c>
      <c r="B7" s="111"/>
    </row>
    <row r="8" spans="1:3" x14ac:dyDescent="0.25">
      <c r="A8" s="5">
        <v>4</v>
      </c>
      <c r="B8" s="6">
        <f>LARGE($A$8:$A$10,ROWS(B$8:B8))</f>
        <v>4</v>
      </c>
      <c r="C8" t="s">
        <v>1857</v>
      </c>
    </row>
    <row r="9" spans="1:3" x14ac:dyDescent="0.25">
      <c r="A9" s="5">
        <v>2</v>
      </c>
      <c r="B9" s="6">
        <f>LARGE($A$8:$A$10,ROWS(B$8:B9))</f>
        <v>3</v>
      </c>
      <c r="C9" s="283" t="s">
        <v>1022</v>
      </c>
    </row>
    <row r="10" spans="1:3" x14ac:dyDescent="0.25">
      <c r="A10" s="5">
        <v>3</v>
      </c>
      <c r="B10" s="6">
        <f>LARGE($A$8:$A$10,ROWS(B$8:B10))</f>
        <v>2</v>
      </c>
    </row>
  </sheetData>
  <pageMargins left="0.7" right="0.7" top="0.75" bottom="0.75" header="0.3" footer="0.3"/>
</worksheet>
</file>

<file path=xl/worksheets/sheet2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4">
    <tabColor rgb="FF0000FF"/>
  </sheetPr>
  <dimension ref="A1:D12"/>
  <sheetViews>
    <sheetView zoomScale="160" zoomScaleNormal="160" workbookViewId="0">
      <selection activeCell="E3" sqref="E3"/>
    </sheetView>
  </sheetViews>
  <sheetFormatPr defaultRowHeight="15" x14ac:dyDescent="0.25"/>
  <cols>
    <col min="5" max="5" width="48.28515625" customWidth="1"/>
    <col min="6" max="6" width="9.140625" customWidth="1"/>
  </cols>
  <sheetData>
    <row r="1" spans="1:4" x14ac:dyDescent="0.25">
      <c r="A1" s="23" t="s">
        <v>1020</v>
      </c>
      <c r="B1" s="23"/>
      <c r="C1" s="23"/>
    </row>
    <row r="2" spans="1:4" x14ac:dyDescent="0.25">
      <c r="A2" s="4" t="s">
        <v>53</v>
      </c>
      <c r="B2" s="4" t="s">
        <v>33</v>
      </c>
      <c r="C2" s="214" t="s">
        <v>132</v>
      </c>
    </row>
    <row r="3" spans="1:4" x14ac:dyDescent="0.25">
      <c r="A3" s="5" t="s">
        <v>192</v>
      </c>
      <c r="B3" s="5">
        <v>22</v>
      </c>
      <c r="C3" s="6">
        <f>RANK(B3,$B$3:$B$6,1)+COUNTIF($B$2:B2,B3)</f>
        <v>3</v>
      </c>
      <c r="D3" t="s">
        <v>1858</v>
      </c>
    </row>
    <row r="4" spans="1:4" x14ac:dyDescent="0.25">
      <c r="A4" s="5" t="s">
        <v>1021</v>
      </c>
      <c r="B4" s="5">
        <v>20</v>
      </c>
      <c r="C4" s="6">
        <f>RANK(B4,$B$3:$B$6,1)+COUNTIF($B$2:B3,B4)</f>
        <v>1</v>
      </c>
      <c r="D4" s="283" t="s">
        <v>1022</v>
      </c>
    </row>
    <row r="5" spans="1:4" x14ac:dyDescent="0.25">
      <c r="A5" s="5" t="s">
        <v>192</v>
      </c>
      <c r="B5" s="5">
        <v>20</v>
      </c>
      <c r="C5" s="6">
        <f>RANK(B5,$B$3:$B$6,1)+COUNTIF($B$2:B4,B5)</f>
        <v>2</v>
      </c>
    </row>
    <row r="6" spans="1:4" x14ac:dyDescent="0.25">
      <c r="A6" s="5" t="s">
        <v>72</v>
      </c>
      <c r="B6" s="5">
        <v>35</v>
      </c>
      <c r="C6" s="6">
        <f>RANK(B6,$B$3:$B$6,1)+COUNTIF($B$2:B5,B6)</f>
        <v>4</v>
      </c>
    </row>
    <row r="7" spans="1:4" ht="3" customHeight="1" x14ac:dyDescent="0.25"/>
    <row r="8" spans="1:4" x14ac:dyDescent="0.25">
      <c r="A8" s="8" t="s">
        <v>53</v>
      </c>
      <c r="B8" s="8" t="s">
        <v>33</v>
      </c>
    </row>
    <row r="9" spans="1:4" x14ac:dyDescent="0.25">
      <c r="A9" s="6" t="str">
        <f>INDEX(A$3:A$6,MATCH(ROWS(A$9:A9),$C$3:$C$6,0))</f>
        <v>Carlota</v>
      </c>
      <c r="B9" s="6">
        <f>INDEX(B$3:B$6,MATCH(ROWS(B$9:B9),$C$3:$C$6,0))</f>
        <v>20</v>
      </c>
      <c r="C9" t="s">
        <v>1859</v>
      </c>
    </row>
    <row r="10" spans="1:4" x14ac:dyDescent="0.25">
      <c r="A10" s="6" t="str">
        <f>INDEX(A$3:A$6,MATCH(ROWS(A$9:A10),$C$3:$C$6,0))</f>
        <v>Bellen</v>
      </c>
      <c r="B10" s="6">
        <f>INDEX(B$3:B$6,MATCH(ROWS(B$9:B10),$C$3:$C$6,0))</f>
        <v>20</v>
      </c>
      <c r="C10" s="283" t="s">
        <v>1024</v>
      </c>
    </row>
    <row r="11" spans="1:4" x14ac:dyDescent="0.25">
      <c r="A11" s="6" t="str">
        <f>INDEX(A$3:A$6,MATCH(ROWS(A$9:A11),$C$3:$C$6,0))</f>
        <v>Bellen</v>
      </c>
      <c r="B11" s="6">
        <f>INDEX(B$3:B$6,MATCH(ROWS(B$9:B11),$C$3:$C$6,0))</f>
        <v>22</v>
      </c>
    </row>
    <row r="12" spans="1:4" x14ac:dyDescent="0.25">
      <c r="A12" s="6" t="str">
        <f>INDEX(A$3:A$6,MATCH(ROWS(A$9:A12),$C$3:$C$6,0))</f>
        <v>Quad</v>
      </c>
      <c r="B12" s="6">
        <f>INDEX(B$3:B$6,MATCH(ROWS(B$9:B12),$C$3:$C$6,0))</f>
        <v>35</v>
      </c>
    </row>
  </sheetData>
  <pageMargins left="0.7" right="0.7" top="0.75" bottom="0.75" header="0.3" footer="0.3"/>
</worksheet>
</file>

<file path=xl/worksheets/sheet2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5">
    <tabColor rgb="FF0000FF"/>
  </sheetPr>
  <dimension ref="A1:C14"/>
  <sheetViews>
    <sheetView zoomScale="160" zoomScaleNormal="160" workbookViewId="0">
      <selection activeCell="E3" sqref="E3"/>
    </sheetView>
  </sheetViews>
  <sheetFormatPr defaultRowHeight="15" x14ac:dyDescent="0.25"/>
  <cols>
    <col min="3" max="3" width="94.28515625" customWidth="1"/>
  </cols>
  <sheetData>
    <row r="1" spans="1:3" x14ac:dyDescent="0.25">
      <c r="A1" s="23" t="s">
        <v>1025</v>
      </c>
    </row>
    <row r="2" spans="1:3" x14ac:dyDescent="0.25">
      <c r="A2" s="4" t="s">
        <v>53</v>
      </c>
      <c r="B2" s="4" t="s">
        <v>33</v>
      </c>
    </row>
    <row r="3" spans="1:3" x14ac:dyDescent="0.25">
      <c r="A3" s="5" t="s">
        <v>192</v>
      </c>
      <c r="B3" s="5">
        <v>22</v>
      </c>
    </row>
    <row r="4" spans="1:3" x14ac:dyDescent="0.25">
      <c r="A4" s="5" t="s">
        <v>1021</v>
      </c>
      <c r="B4" s="5">
        <v>20</v>
      </c>
    </row>
    <row r="5" spans="1:3" x14ac:dyDescent="0.25">
      <c r="A5" s="5" t="s">
        <v>192</v>
      </c>
      <c r="B5" s="5">
        <v>20</v>
      </c>
    </row>
    <row r="6" spans="1:3" x14ac:dyDescent="0.25">
      <c r="A6" s="5" t="s">
        <v>72</v>
      </c>
      <c r="B6" s="5">
        <v>35</v>
      </c>
    </row>
    <row r="8" spans="1:3" x14ac:dyDescent="0.25">
      <c r="A8" t="s">
        <v>1860</v>
      </c>
    </row>
    <row r="9" spans="1:3" x14ac:dyDescent="0.25">
      <c r="A9" t="s">
        <v>1861</v>
      </c>
    </row>
    <row r="10" spans="1:3" x14ac:dyDescent="0.25">
      <c r="A10" s="8" t="s">
        <v>33</v>
      </c>
      <c r="B10" s="8" t="s">
        <v>53</v>
      </c>
      <c r="C10" s="283" t="s">
        <v>1034</v>
      </c>
    </row>
    <row r="11" spans="1:3" x14ac:dyDescent="0.25">
      <c r="A11" s="6">
        <f>SMALL($B$3:$B$6,ROWS(A$11:A11))</f>
        <v>20</v>
      </c>
      <c r="B11" s="6" t="str">
        <f t="array" ref="B11">INDEX($A$3:$A$6,SMALL(IF($B$3:$B$6=A11,ROW($B$3:$B$6)-ROW($B$3)+1),COUNTIF($A$11:A11,A11)))</f>
        <v>Carlota</v>
      </c>
    </row>
    <row r="12" spans="1:3" x14ac:dyDescent="0.25">
      <c r="A12" s="6">
        <f>SMALL($B$3:$B$6,ROWS(A$11:A12))</f>
        <v>20</v>
      </c>
      <c r="B12" s="6" t="str">
        <f t="array" ref="B12">INDEX($A$3:$A$6,SMALL(IF($B$3:$B$6=A12,ROW($B$3:$B$6)-ROW($B$3)+1),COUNTIF($A$11:A12,A12)))</f>
        <v>Bellen</v>
      </c>
    </row>
    <row r="13" spans="1:3" x14ac:dyDescent="0.25">
      <c r="A13" s="6">
        <f>SMALL($B$3:$B$6,ROWS(A$11:A13))</f>
        <v>22</v>
      </c>
      <c r="B13" s="6" t="str">
        <f t="array" ref="B13">INDEX($A$3:$A$6,SMALL(IF($B$3:$B$6=A13,ROW($B$3:$B$6)-ROW($B$3)+1),COUNTIF($A$11:A13,A13)))</f>
        <v>Bellen</v>
      </c>
    </row>
    <row r="14" spans="1:3" x14ac:dyDescent="0.25">
      <c r="A14" s="6">
        <f>SMALL($B$3:$B$6,ROWS(A$11:A14))</f>
        <v>35</v>
      </c>
      <c r="B14" s="6" t="str">
        <f t="array" ref="B14">INDEX($A$3:$A$6,SMALL(IF($B$3:$B$6=A14,ROW($B$3:$B$6)-ROW($B$3)+1),COUNTIF($A$11:A14,A14)))</f>
        <v>Quad</v>
      </c>
    </row>
  </sheetData>
  <pageMargins left="0.7" right="0.7" top="0.75" bottom="0.75" header="0.3" footer="0.3"/>
</worksheet>
</file>

<file path=xl/worksheets/sheet2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6">
    <tabColor rgb="FF0000FF"/>
  </sheetPr>
  <dimension ref="A1:E21"/>
  <sheetViews>
    <sheetView zoomScale="160" zoomScaleNormal="160" workbookViewId="0">
      <selection activeCell="E3" sqref="E3"/>
    </sheetView>
  </sheetViews>
  <sheetFormatPr defaultRowHeight="15" x14ac:dyDescent="0.25"/>
  <cols>
    <col min="3" max="3" width="3.5703125" customWidth="1"/>
    <col min="5" max="5" width="47.5703125" customWidth="1"/>
  </cols>
  <sheetData>
    <row r="1" spans="1:5" x14ac:dyDescent="0.25">
      <c r="A1" s="23" t="s">
        <v>1026</v>
      </c>
    </row>
    <row r="2" spans="1:5" x14ac:dyDescent="0.25">
      <c r="A2" s="8" t="s">
        <v>139</v>
      </c>
      <c r="B2" s="8" t="s">
        <v>1027</v>
      </c>
    </row>
    <row r="3" spans="1:5" x14ac:dyDescent="0.25">
      <c r="A3" s="5" t="s">
        <v>258</v>
      </c>
      <c r="B3" s="5">
        <v>22</v>
      </c>
    </row>
    <row r="4" spans="1:5" x14ac:dyDescent="0.25">
      <c r="A4" s="14" t="s">
        <v>1028</v>
      </c>
      <c r="B4" s="5">
        <v>15</v>
      </c>
    </row>
    <row r="5" spans="1:5" x14ac:dyDescent="0.25">
      <c r="A5" s="14" t="s">
        <v>92</v>
      </c>
      <c r="B5" s="5">
        <v>12</v>
      </c>
    </row>
    <row r="6" spans="1:5" x14ac:dyDescent="0.25">
      <c r="A6" s="5" t="s">
        <v>39</v>
      </c>
      <c r="B6" s="5">
        <v>15</v>
      </c>
      <c r="D6" s="26" t="s">
        <v>21</v>
      </c>
    </row>
    <row r="7" spans="1:5" x14ac:dyDescent="0.25">
      <c r="A7" s="5" t="s">
        <v>764</v>
      </c>
      <c r="B7" s="5">
        <v>22</v>
      </c>
      <c r="D7" s="8" t="str">
        <f>"Top "&amp;D8</f>
        <v>Top 3</v>
      </c>
    </row>
    <row r="8" spans="1:5" x14ac:dyDescent="0.25">
      <c r="A8" s="5" t="s">
        <v>284</v>
      </c>
      <c r="B8" s="5">
        <v>10</v>
      </c>
      <c r="D8" s="5">
        <v>3</v>
      </c>
    </row>
    <row r="9" spans="1:5" ht="5.25" customHeight="1" x14ac:dyDescent="0.25"/>
    <row r="10" spans="1:5" x14ac:dyDescent="0.25">
      <c r="A10" s="8" t="s">
        <v>33</v>
      </c>
    </row>
    <row r="11" spans="1:5" x14ac:dyDescent="0.25">
      <c r="A11" s="6">
        <f>COUNTIF(B3:B8,"&gt;="&amp;LARGE(B3:B8,D8))</f>
        <v>4</v>
      </c>
      <c r="B11" t="s">
        <v>1031</v>
      </c>
    </row>
    <row r="12" spans="1:5" ht="5.25" customHeight="1" x14ac:dyDescent="0.25"/>
    <row r="13" spans="1:5" x14ac:dyDescent="0.25">
      <c r="A13" t="s">
        <v>1030</v>
      </c>
    </row>
    <row r="14" spans="1:5" x14ac:dyDescent="0.25">
      <c r="A14" t="s">
        <v>1032</v>
      </c>
    </row>
    <row r="15" spans="1:5" x14ac:dyDescent="0.25">
      <c r="A15" s="8" t="str">
        <f>B2</f>
        <v>Score</v>
      </c>
      <c r="B15" s="8" t="s">
        <v>139</v>
      </c>
      <c r="E15" s="281" t="s">
        <v>1033</v>
      </c>
    </row>
    <row r="16" spans="1:5" x14ac:dyDescent="0.25">
      <c r="A16" s="6">
        <f>IF(ROWS(A$16:A16)&gt;A$11,"",LARGE($B$3:$B$8,ROWS(A$16:A16)))</f>
        <v>22</v>
      </c>
      <c r="B16" s="6" t="str">
        <f>IF(A16="","",INDEX($A$3:$A$8,_xlfn.AGGREGATE(15,6,(ROW($B$3:$B$8)-ROW($B$3)+1)/($B$3:$B$8=A16),COUNTIF($A$16:A16,A16))))</f>
        <v>Jo</v>
      </c>
      <c r="D16" s="283" t="s">
        <v>1034</v>
      </c>
    </row>
    <row r="17" spans="1:2" x14ac:dyDescent="0.25">
      <c r="A17" s="6">
        <f>IF(ROWS(A$16:A17)&gt;A$11,"",LARGE($B$3:$B$8,ROWS(A$16:A17)))</f>
        <v>22</v>
      </c>
      <c r="B17" s="6" t="str">
        <f>IF(A17="","",INDEX($A$3:$A$8,_xlfn.AGGREGATE(15,6,(ROW($B$3:$B$8)-ROW($B$3)+1)/($B$3:$B$8=A17),COUNTIF($A$16:A17,A17))))</f>
        <v>Joe</v>
      </c>
    </row>
    <row r="18" spans="1:2" x14ac:dyDescent="0.25">
      <c r="A18" s="6">
        <f>IF(ROWS(A$16:A18)&gt;A$11,"",LARGE($B$3:$B$8,ROWS(A$16:A18)))</f>
        <v>15</v>
      </c>
      <c r="B18" s="6" t="str">
        <f>IF(A18="","",INDEX($A$3:$A$8,_xlfn.AGGREGATE(15,6,(ROW($B$3:$B$8)-ROW($B$3)+1)/($B$3:$B$8=A18),COUNTIF($A$16:A18,A18))))</f>
        <v>Hal</v>
      </c>
    </row>
    <row r="19" spans="1:2" x14ac:dyDescent="0.25">
      <c r="A19" s="6">
        <f>IF(ROWS(A$16:A19)&gt;A$11,"",LARGE($B$3:$B$8,ROWS(A$16:A19)))</f>
        <v>15</v>
      </c>
      <c r="B19" s="6" t="str">
        <f>IF(A19="","",INDEX($A$3:$A$8,_xlfn.AGGREGATE(15,6,(ROW($B$3:$B$8)-ROW($B$3)+1)/($B$3:$B$8=A19),COUNTIF($A$16:A19,A19))))</f>
        <v>Sioux</v>
      </c>
    </row>
    <row r="20" spans="1:2" x14ac:dyDescent="0.25">
      <c r="A20" s="6" t="str">
        <f>IF(ROWS(A$16:A20)&gt;A$11,"",LARGE($B$3:$B$8,ROWS(A$16:A20)))</f>
        <v/>
      </c>
      <c r="B20" s="6" t="str">
        <f>IF(A20="","",INDEX($A$3:$A$8,_xlfn.AGGREGATE(15,6,(ROW($B$3:$B$8)-ROW($B$3)+1)/($B$3:$B$8=A20),COUNTIF($A$16:A20,A20))))</f>
        <v/>
      </c>
    </row>
    <row r="21" spans="1:2" x14ac:dyDescent="0.25">
      <c r="A21" s="6" t="str">
        <f>IF(ROWS(A$16:A21)&gt;A$11,"",LARGE($B$3:$B$8,ROWS(A$16:A21)))</f>
        <v/>
      </c>
      <c r="B21" s="6" t="str">
        <f>IF(A21="","",INDEX($A$3:$A$8,_xlfn.AGGREGATE(15,6,(ROW($B$3:$B$8)-ROW($B$3)+1)/($B$3:$B$8=A21),COUNTIF($A$16:A21,A21))))</f>
        <v/>
      </c>
    </row>
  </sheetData>
  <pageMargins left="0.7" right="0.7" top="0.75" bottom="0.75" header="0.3" footer="0.3"/>
</worksheet>
</file>

<file path=xl/worksheets/sheet2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7">
    <tabColor rgb="FF0000FF"/>
  </sheetPr>
  <dimension ref="A1:M275"/>
  <sheetViews>
    <sheetView zoomScale="115" zoomScaleNormal="115" workbookViewId="0">
      <selection activeCell="E3" sqref="E3"/>
    </sheetView>
  </sheetViews>
  <sheetFormatPr defaultRowHeight="15" x14ac:dyDescent="0.25"/>
  <cols>
    <col min="5" max="5" width="48.28515625" customWidth="1"/>
  </cols>
  <sheetData>
    <row r="1" spans="1:13" x14ac:dyDescent="0.25">
      <c r="A1" s="23" t="s">
        <v>1029</v>
      </c>
      <c r="L1" s="8" t="s">
        <v>119</v>
      </c>
      <c r="M1" s="8" t="s">
        <v>1036</v>
      </c>
    </row>
    <row r="2" spans="1:13" x14ac:dyDescent="0.25">
      <c r="A2" s="4" t="s">
        <v>53</v>
      </c>
      <c r="B2" s="4" t="s">
        <v>33</v>
      </c>
      <c r="C2" s="214" t="s">
        <v>132</v>
      </c>
      <c r="L2" s="6">
        <f>CODE(M2)</f>
        <v>1</v>
      </c>
      <c r="M2" s="6" t="str">
        <f>CHAR(ROWS(M$2:M2))</f>
        <v>_x0001_</v>
      </c>
    </row>
    <row r="3" spans="1:13" x14ac:dyDescent="0.25">
      <c r="A3" s="5" t="s">
        <v>192</v>
      </c>
      <c r="B3" s="5">
        <v>22</v>
      </c>
      <c r="C3" s="6">
        <f>COUNTIF($A$3:$A$6,"&lt;"&amp;A3)+COUNTIF($A$3:A3,A3)</f>
        <v>1</v>
      </c>
      <c r="D3" t="s">
        <v>1862</v>
      </c>
      <c r="L3" s="6">
        <f t="shared" ref="L3:L66" si="0">CODE(M3)</f>
        <v>2</v>
      </c>
      <c r="M3" s="6" t="str">
        <f>CHAR(ROWS(M$2:M3))</f>
        <v>_x0002_</v>
      </c>
    </row>
    <row r="4" spans="1:13" x14ac:dyDescent="0.25">
      <c r="A4" s="5" t="s">
        <v>1021</v>
      </c>
      <c r="B4" s="5">
        <v>20</v>
      </c>
      <c r="C4" s="6">
        <f>COUNTIF($A$3:$A$6,"&lt;"&amp;A4)+COUNTIF($A$3:A4,A4)</f>
        <v>3</v>
      </c>
      <c r="D4" s="283" t="s">
        <v>1022</v>
      </c>
      <c r="L4" s="6">
        <f t="shared" si="0"/>
        <v>3</v>
      </c>
      <c r="M4" s="6" t="str">
        <f>CHAR(ROWS(M$2:M4))</f>
        <v>_x0003_</v>
      </c>
    </row>
    <row r="5" spans="1:13" x14ac:dyDescent="0.25">
      <c r="A5" s="5" t="s">
        <v>192</v>
      </c>
      <c r="B5" s="5">
        <v>33</v>
      </c>
      <c r="C5" s="6">
        <f>COUNTIF($A$3:$A$6,"&lt;"&amp;A5)+COUNTIF($A$3:A5,A5)</f>
        <v>2</v>
      </c>
      <c r="L5" s="6">
        <f t="shared" si="0"/>
        <v>4</v>
      </c>
      <c r="M5" s="6" t="str">
        <f>CHAR(ROWS(M$2:M5))</f>
        <v>_x0004_</v>
      </c>
    </row>
    <row r="6" spans="1:13" x14ac:dyDescent="0.25">
      <c r="A6" s="5" t="s">
        <v>72</v>
      </c>
      <c r="B6" s="5">
        <v>35</v>
      </c>
      <c r="C6" s="6">
        <f>COUNTIF($A$3:$A$6,"&lt;"&amp;A6)+COUNTIF($A$3:A6,A6)</f>
        <v>4</v>
      </c>
      <c r="L6" s="6">
        <f t="shared" si="0"/>
        <v>5</v>
      </c>
      <c r="M6" s="6" t="str">
        <f>CHAR(ROWS(M$2:M6))</f>
        <v>_x0005_</v>
      </c>
    </row>
    <row r="7" spans="1:13" x14ac:dyDescent="0.25">
      <c r="L7" s="6">
        <f t="shared" si="0"/>
        <v>6</v>
      </c>
      <c r="M7" s="6" t="str">
        <f>CHAR(ROWS(M$2:M7))</f>
        <v>_x0006_</v>
      </c>
    </row>
    <row r="8" spans="1:13" x14ac:dyDescent="0.25">
      <c r="A8" s="8" t="s">
        <v>53</v>
      </c>
      <c r="B8" s="8" t="s">
        <v>33</v>
      </c>
      <c r="L8" s="6">
        <f t="shared" si="0"/>
        <v>7</v>
      </c>
      <c r="M8" s="6" t="str">
        <f>CHAR(ROWS(M$2:M8))</f>
        <v>_x0007_</v>
      </c>
    </row>
    <row r="9" spans="1:13" x14ac:dyDescent="0.25">
      <c r="A9" s="6" t="str">
        <f>INDEX(A$3:A$6,MATCH(ROWS(A$9:A9),$C$3:$C$6,0))</f>
        <v>Bellen</v>
      </c>
      <c r="B9" s="6">
        <f>INDEX(B$3:B$6,MATCH(ROWS(B$9:B9),$C$3:$C$6,0))</f>
        <v>22</v>
      </c>
      <c r="C9" t="s">
        <v>1859</v>
      </c>
      <c r="L9" s="6">
        <f t="shared" si="0"/>
        <v>8</v>
      </c>
      <c r="M9" s="6" t="str">
        <f>CHAR(ROWS(M$2:M9))</f>
        <v>_x0008_</v>
      </c>
    </row>
    <row r="10" spans="1:13" x14ac:dyDescent="0.25">
      <c r="A10" s="6" t="str">
        <f>INDEX(A$3:A$6,MATCH(ROWS(A$9:A10),$C$3:$C$6,0))</f>
        <v>Bellen</v>
      </c>
      <c r="B10" s="6">
        <f>INDEX(B$3:B$6,MATCH(ROWS(B$9:B10),$C$3:$C$6,0))</f>
        <v>33</v>
      </c>
      <c r="C10" s="283" t="s">
        <v>1024</v>
      </c>
      <c r="L10" s="6">
        <f t="shared" si="0"/>
        <v>9</v>
      </c>
      <c r="M10" s="6" t="str">
        <f>CHAR(ROWS(M$2:M10))</f>
        <v xml:space="preserve">	</v>
      </c>
    </row>
    <row r="11" spans="1:13" x14ac:dyDescent="0.25">
      <c r="A11" s="6" t="str">
        <f>INDEX(A$3:A$6,MATCH(ROWS(A$9:A11),$C$3:$C$6,0))</f>
        <v>Carlota</v>
      </c>
      <c r="B11" s="6">
        <f>INDEX(B$3:B$6,MATCH(ROWS(B$9:B11),$C$3:$C$6,0))</f>
        <v>20</v>
      </c>
      <c r="L11" s="6">
        <f t="shared" si="0"/>
        <v>10</v>
      </c>
      <c r="M11" s="6" t="str">
        <f>CHAR(ROWS(M$2:M11))</f>
        <v xml:space="preserve">
</v>
      </c>
    </row>
    <row r="12" spans="1:13" x14ac:dyDescent="0.25">
      <c r="A12" s="6" t="str">
        <f>INDEX(A$3:A$6,MATCH(ROWS(A$9:A12),$C$3:$C$6,0))</f>
        <v>Quad</v>
      </c>
      <c r="B12" s="6">
        <f>INDEX(B$3:B$6,MATCH(ROWS(B$9:B12),$C$3:$C$6,0))</f>
        <v>35</v>
      </c>
      <c r="H12" s="6">
        <f>CODE(H14)</f>
        <v>66</v>
      </c>
      <c r="I12" s="6">
        <f>CODE(I14)</f>
        <v>65</v>
      </c>
      <c r="J12" s="6" t="b">
        <f>H12&gt;I12</f>
        <v>1</v>
      </c>
      <c r="L12" s="6">
        <f t="shared" si="0"/>
        <v>11</v>
      </c>
      <c r="M12" s="6" t="str">
        <f>CHAR(ROWS(M$2:M12))</f>
        <v>_x000B_</v>
      </c>
    </row>
    <row r="13" spans="1:13" x14ac:dyDescent="0.25">
      <c r="H13" s="6">
        <f>CODE(H15)</f>
        <v>53</v>
      </c>
      <c r="I13" s="6">
        <f>CODE(I15)</f>
        <v>66</v>
      </c>
      <c r="J13" s="6" t="b">
        <f>H13&gt;I13</f>
        <v>0</v>
      </c>
      <c r="L13" s="6">
        <f t="shared" si="0"/>
        <v>12</v>
      </c>
      <c r="M13" s="6" t="str">
        <f>CHAR(ROWS(M$2:M13))</f>
        <v>_x000C_</v>
      </c>
    </row>
    <row r="14" spans="1:13" x14ac:dyDescent="0.25">
      <c r="H14" s="35" t="s">
        <v>1035</v>
      </c>
      <c r="I14" s="35" t="s">
        <v>904</v>
      </c>
      <c r="J14" s="6" t="b">
        <f>H14&gt;I14</f>
        <v>1</v>
      </c>
      <c r="L14" s="6">
        <f t="shared" si="0"/>
        <v>13</v>
      </c>
      <c r="M14" s="6" t="str">
        <f>CHAR(ROWS(M$2:M14))</f>
        <v>_x000D_</v>
      </c>
    </row>
    <row r="15" spans="1:13" x14ac:dyDescent="0.25">
      <c r="H15" s="5">
        <v>5</v>
      </c>
      <c r="I15" s="5" t="s">
        <v>1035</v>
      </c>
      <c r="J15" s="6" t="b">
        <f>H15&gt;I15</f>
        <v>0</v>
      </c>
      <c r="L15" s="6">
        <f t="shared" si="0"/>
        <v>14</v>
      </c>
      <c r="M15" s="6" t="str">
        <f>CHAR(ROWS(M$2:M15))</f>
        <v>_x000E_</v>
      </c>
    </row>
    <row r="16" spans="1:13" x14ac:dyDescent="0.25">
      <c r="L16" s="6">
        <f t="shared" si="0"/>
        <v>15</v>
      </c>
      <c r="M16" s="6" t="str">
        <f>CHAR(ROWS(M$2:M16))</f>
        <v>_x000F_</v>
      </c>
    </row>
    <row r="17" spans="12:13" x14ac:dyDescent="0.25">
      <c r="L17" s="6">
        <f t="shared" si="0"/>
        <v>16</v>
      </c>
      <c r="M17" s="6" t="str">
        <f>CHAR(ROWS(M$2:M17))</f>
        <v>_x0010_</v>
      </c>
    </row>
    <row r="18" spans="12:13" x14ac:dyDescent="0.25">
      <c r="L18" s="6">
        <f t="shared" si="0"/>
        <v>17</v>
      </c>
      <c r="M18" s="6" t="str">
        <f>CHAR(ROWS(M$2:M18))</f>
        <v>_x0011_</v>
      </c>
    </row>
    <row r="19" spans="12:13" x14ac:dyDescent="0.25">
      <c r="L19" s="6">
        <f t="shared" si="0"/>
        <v>18</v>
      </c>
      <c r="M19" s="6" t="str">
        <f>CHAR(ROWS(M$2:M19))</f>
        <v>_x0012_</v>
      </c>
    </row>
    <row r="20" spans="12:13" x14ac:dyDescent="0.25">
      <c r="L20" s="6">
        <f t="shared" si="0"/>
        <v>19</v>
      </c>
      <c r="M20" s="6" t="str">
        <f>CHAR(ROWS(M$2:M20))</f>
        <v>_x0013_</v>
      </c>
    </row>
    <row r="21" spans="12:13" x14ac:dyDescent="0.25">
      <c r="L21" s="6">
        <f t="shared" si="0"/>
        <v>20</v>
      </c>
      <c r="M21" s="6" t="str">
        <f>CHAR(ROWS(M$2:M21))</f>
        <v>_x0014_</v>
      </c>
    </row>
    <row r="22" spans="12:13" x14ac:dyDescent="0.25">
      <c r="L22" s="6">
        <f t="shared" si="0"/>
        <v>21</v>
      </c>
      <c r="M22" s="6" t="str">
        <f>CHAR(ROWS(M$2:M22))</f>
        <v>_x0015_</v>
      </c>
    </row>
    <row r="23" spans="12:13" x14ac:dyDescent="0.25">
      <c r="L23" s="6">
        <f t="shared" si="0"/>
        <v>22</v>
      </c>
      <c r="M23" s="6" t="str">
        <f>CHAR(ROWS(M$2:M23))</f>
        <v>_x0016_</v>
      </c>
    </row>
    <row r="24" spans="12:13" x14ac:dyDescent="0.25">
      <c r="L24" s="6">
        <f t="shared" si="0"/>
        <v>23</v>
      </c>
      <c r="M24" s="6" t="str">
        <f>CHAR(ROWS(M$2:M24))</f>
        <v>_x0017_</v>
      </c>
    </row>
    <row r="25" spans="12:13" x14ac:dyDescent="0.25">
      <c r="L25" s="6">
        <f t="shared" si="0"/>
        <v>24</v>
      </c>
      <c r="M25" s="6" t="str">
        <f>CHAR(ROWS(M$2:M25))</f>
        <v>_x0018_</v>
      </c>
    </row>
    <row r="26" spans="12:13" x14ac:dyDescent="0.25">
      <c r="L26" s="6">
        <f t="shared" si="0"/>
        <v>25</v>
      </c>
      <c r="M26" s="6" t="str">
        <f>CHAR(ROWS(M$2:M26))</f>
        <v>_x0019_</v>
      </c>
    </row>
    <row r="27" spans="12:13" x14ac:dyDescent="0.25">
      <c r="L27" s="6">
        <f t="shared" si="0"/>
        <v>26</v>
      </c>
      <c r="M27" s="6" t="str">
        <f>CHAR(ROWS(M$2:M27))</f>
        <v>_x001A_</v>
      </c>
    </row>
    <row r="28" spans="12:13" x14ac:dyDescent="0.25">
      <c r="L28" s="6">
        <f t="shared" si="0"/>
        <v>27</v>
      </c>
      <c r="M28" s="6" t="str">
        <f>CHAR(ROWS(M$2:M28))</f>
        <v>_x001B_</v>
      </c>
    </row>
    <row r="29" spans="12:13" x14ac:dyDescent="0.25">
      <c r="L29" s="6">
        <f t="shared" si="0"/>
        <v>28</v>
      </c>
      <c r="M29" s="6" t="str">
        <f>CHAR(ROWS(M$2:M29))</f>
        <v>_x001C_</v>
      </c>
    </row>
    <row r="30" spans="12:13" x14ac:dyDescent="0.25">
      <c r="L30" s="6">
        <f t="shared" si="0"/>
        <v>29</v>
      </c>
      <c r="M30" s="6" t="str">
        <f>CHAR(ROWS(M$2:M30))</f>
        <v>_x001D_</v>
      </c>
    </row>
    <row r="31" spans="12:13" x14ac:dyDescent="0.25">
      <c r="L31" s="6">
        <f t="shared" si="0"/>
        <v>30</v>
      </c>
      <c r="M31" s="6" t="str">
        <f>CHAR(ROWS(M$2:M31))</f>
        <v>_x001E_</v>
      </c>
    </row>
    <row r="32" spans="12:13" x14ac:dyDescent="0.25">
      <c r="L32" s="6">
        <f t="shared" si="0"/>
        <v>31</v>
      </c>
      <c r="M32" s="6" t="str">
        <f>CHAR(ROWS(M$2:M32))</f>
        <v>_x001F_</v>
      </c>
    </row>
    <row r="33" spans="12:13" x14ac:dyDescent="0.25">
      <c r="L33" s="6">
        <f t="shared" si="0"/>
        <v>32</v>
      </c>
      <c r="M33" s="6" t="str">
        <f>CHAR(ROWS(M$2:M33))</f>
        <v xml:space="preserve"> </v>
      </c>
    </row>
    <row r="34" spans="12:13" x14ac:dyDescent="0.25">
      <c r="L34" s="6">
        <f t="shared" si="0"/>
        <v>33</v>
      </c>
      <c r="M34" s="6" t="str">
        <f>CHAR(ROWS(M$2:M34))</f>
        <v>!</v>
      </c>
    </row>
    <row r="35" spans="12:13" x14ac:dyDescent="0.25">
      <c r="L35" s="6">
        <f t="shared" si="0"/>
        <v>34</v>
      </c>
      <c r="M35" s="6" t="str">
        <f>CHAR(ROWS(M$2:M35))</f>
        <v>"</v>
      </c>
    </row>
    <row r="36" spans="12:13" x14ac:dyDescent="0.25">
      <c r="L36" s="6">
        <f t="shared" si="0"/>
        <v>35</v>
      </c>
      <c r="M36" s="6" t="str">
        <f>CHAR(ROWS(M$2:M36))</f>
        <v>#</v>
      </c>
    </row>
    <row r="37" spans="12:13" x14ac:dyDescent="0.25">
      <c r="L37" s="6">
        <f t="shared" si="0"/>
        <v>36</v>
      </c>
      <c r="M37" s="6" t="str">
        <f>CHAR(ROWS(M$2:M37))</f>
        <v>$</v>
      </c>
    </row>
    <row r="38" spans="12:13" x14ac:dyDescent="0.25">
      <c r="L38" s="6">
        <f t="shared" si="0"/>
        <v>37</v>
      </c>
      <c r="M38" s="6" t="str">
        <f>CHAR(ROWS(M$2:M38))</f>
        <v>%</v>
      </c>
    </row>
    <row r="39" spans="12:13" x14ac:dyDescent="0.25">
      <c r="L39" s="6">
        <f t="shared" si="0"/>
        <v>38</v>
      </c>
      <c r="M39" s="6" t="str">
        <f>CHAR(ROWS(M$2:M39))</f>
        <v>&amp;</v>
      </c>
    </row>
    <row r="40" spans="12:13" x14ac:dyDescent="0.25">
      <c r="L40" s="6">
        <f t="shared" si="0"/>
        <v>39</v>
      </c>
      <c r="M40" s="6" t="str">
        <f>CHAR(ROWS(M$2:M40))</f>
        <v>'</v>
      </c>
    </row>
    <row r="41" spans="12:13" x14ac:dyDescent="0.25">
      <c r="L41" s="6">
        <f t="shared" si="0"/>
        <v>40</v>
      </c>
      <c r="M41" s="6" t="str">
        <f>CHAR(ROWS(M$2:M41))</f>
        <v>(</v>
      </c>
    </row>
    <row r="42" spans="12:13" x14ac:dyDescent="0.25">
      <c r="L42" s="6">
        <f t="shared" si="0"/>
        <v>41</v>
      </c>
      <c r="M42" s="6" t="str">
        <f>CHAR(ROWS(M$2:M42))</f>
        <v>)</v>
      </c>
    </row>
    <row r="43" spans="12:13" x14ac:dyDescent="0.25">
      <c r="L43" s="6">
        <f t="shared" si="0"/>
        <v>42</v>
      </c>
      <c r="M43" s="6" t="str">
        <f>CHAR(ROWS(M$2:M43))</f>
        <v>*</v>
      </c>
    </row>
    <row r="44" spans="12:13" x14ac:dyDescent="0.25">
      <c r="L44" s="6">
        <f t="shared" si="0"/>
        <v>43</v>
      </c>
      <c r="M44" s="6" t="str">
        <f>CHAR(ROWS(M$2:M44))</f>
        <v>+</v>
      </c>
    </row>
    <row r="45" spans="12:13" x14ac:dyDescent="0.25">
      <c r="L45" s="6">
        <f t="shared" si="0"/>
        <v>44</v>
      </c>
      <c r="M45" s="6" t="str">
        <f>CHAR(ROWS(M$2:M45))</f>
        <v>,</v>
      </c>
    </row>
    <row r="46" spans="12:13" x14ac:dyDescent="0.25">
      <c r="L46" s="6">
        <f t="shared" si="0"/>
        <v>45</v>
      </c>
      <c r="M46" s="6" t="str">
        <f>CHAR(ROWS(M$2:M46))</f>
        <v>-</v>
      </c>
    </row>
    <row r="47" spans="12:13" x14ac:dyDescent="0.25">
      <c r="L47" s="6">
        <f t="shared" si="0"/>
        <v>46</v>
      </c>
      <c r="M47" s="6" t="str">
        <f>CHAR(ROWS(M$2:M47))</f>
        <v>.</v>
      </c>
    </row>
    <row r="48" spans="12:13" x14ac:dyDescent="0.25">
      <c r="L48" s="6">
        <f t="shared" si="0"/>
        <v>47</v>
      </c>
      <c r="M48" s="6" t="str">
        <f>CHAR(ROWS(M$2:M48))</f>
        <v>/</v>
      </c>
    </row>
    <row r="49" spans="12:13" x14ac:dyDescent="0.25">
      <c r="L49" s="6">
        <f t="shared" si="0"/>
        <v>48</v>
      </c>
      <c r="M49" s="6" t="str">
        <f>CHAR(ROWS(M$2:M49))</f>
        <v>0</v>
      </c>
    </row>
    <row r="50" spans="12:13" x14ac:dyDescent="0.25">
      <c r="L50" s="6">
        <f t="shared" si="0"/>
        <v>49</v>
      </c>
      <c r="M50" s="6" t="str">
        <f>CHAR(ROWS(M$2:M50))</f>
        <v>1</v>
      </c>
    </row>
    <row r="51" spans="12:13" x14ac:dyDescent="0.25">
      <c r="L51" s="6">
        <f t="shared" si="0"/>
        <v>50</v>
      </c>
      <c r="M51" s="6" t="str">
        <f>CHAR(ROWS(M$2:M51))</f>
        <v>2</v>
      </c>
    </row>
    <row r="52" spans="12:13" x14ac:dyDescent="0.25">
      <c r="L52" s="6">
        <f t="shared" si="0"/>
        <v>51</v>
      </c>
      <c r="M52" s="6" t="str">
        <f>CHAR(ROWS(M$2:M52))</f>
        <v>3</v>
      </c>
    </row>
    <row r="53" spans="12:13" x14ac:dyDescent="0.25">
      <c r="L53" s="6">
        <f t="shared" si="0"/>
        <v>52</v>
      </c>
      <c r="M53" s="6" t="str">
        <f>CHAR(ROWS(M$2:M53))</f>
        <v>4</v>
      </c>
    </row>
    <row r="54" spans="12:13" x14ac:dyDescent="0.25">
      <c r="L54" s="6">
        <f t="shared" si="0"/>
        <v>53</v>
      </c>
      <c r="M54" s="6" t="str">
        <f>CHAR(ROWS(M$2:M54))</f>
        <v>5</v>
      </c>
    </row>
    <row r="55" spans="12:13" x14ac:dyDescent="0.25">
      <c r="L55" s="6">
        <f t="shared" si="0"/>
        <v>54</v>
      </c>
      <c r="M55" s="6" t="str">
        <f>CHAR(ROWS(M$2:M55))</f>
        <v>6</v>
      </c>
    </row>
    <row r="56" spans="12:13" x14ac:dyDescent="0.25">
      <c r="L56" s="6">
        <f t="shared" si="0"/>
        <v>55</v>
      </c>
      <c r="M56" s="6" t="str">
        <f>CHAR(ROWS(M$2:M56))</f>
        <v>7</v>
      </c>
    </row>
    <row r="57" spans="12:13" x14ac:dyDescent="0.25">
      <c r="L57" s="6">
        <f t="shared" si="0"/>
        <v>56</v>
      </c>
      <c r="M57" s="6" t="str">
        <f>CHAR(ROWS(M$2:M57))</f>
        <v>8</v>
      </c>
    </row>
    <row r="58" spans="12:13" x14ac:dyDescent="0.25">
      <c r="L58" s="6">
        <f t="shared" si="0"/>
        <v>57</v>
      </c>
      <c r="M58" s="6" t="str">
        <f>CHAR(ROWS(M$2:M58))</f>
        <v>9</v>
      </c>
    </row>
    <row r="59" spans="12:13" x14ac:dyDescent="0.25">
      <c r="L59" s="6">
        <f t="shared" si="0"/>
        <v>58</v>
      </c>
      <c r="M59" s="6" t="str">
        <f>CHAR(ROWS(M$2:M59))</f>
        <v>:</v>
      </c>
    </row>
    <row r="60" spans="12:13" x14ac:dyDescent="0.25">
      <c r="L60" s="6">
        <f t="shared" si="0"/>
        <v>59</v>
      </c>
      <c r="M60" s="6" t="str">
        <f>CHAR(ROWS(M$2:M60))</f>
        <v>;</v>
      </c>
    </row>
    <row r="61" spans="12:13" x14ac:dyDescent="0.25">
      <c r="L61" s="6">
        <f t="shared" si="0"/>
        <v>60</v>
      </c>
      <c r="M61" s="6" t="str">
        <f>CHAR(ROWS(M$2:M61))</f>
        <v>&lt;</v>
      </c>
    </row>
    <row r="62" spans="12:13" x14ac:dyDescent="0.25">
      <c r="L62" s="6">
        <f t="shared" si="0"/>
        <v>61</v>
      </c>
      <c r="M62" s="6" t="str">
        <f>CHAR(ROWS(M$2:M62))</f>
        <v>=</v>
      </c>
    </row>
    <row r="63" spans="12:13" x14ac:dyDescent="0.25">
      <c r="L63" s="6">
        <f t="shared" si="0"/>
        <v>62</v>
      </c>
      <c r="M63" s="6" t="str">
        <f>CHAR(ROWS(M$2:M63))</f>
        <v>&gt;</v>
      </c>
    </row>
    <row r="64" spans="12:13" x14ac:dyDescent="0.25">
      <c r="L64" s="6">
        <f t="shared" si="0"/>
        <v>63</v>
      </c>
      <c r="M64" s="6" t="str">
        <f>CHAR(ROWS(M$2:M64))</f>
        <v>?</v>
      </c>
    </row>
    <row r="65" spans="12:13" x14ac:dyDescent="0.25">
      <c r="L65" s="6">
        <f t="shared" si="0"/>
        <v>64</v>
      </c>
      <c r="M65" s="6" t="str">
        <f>CHAR(ROWS(M$2:M65))</f>
        <v>@</v>
      </c>
    </row>
    <row r="66" spans="12:13" x14ac:dyDescent="0.25">
      <c r="L66" s="6">
        <f t="shared" si="0"/>
        <v>65</v>
      </c>
      <c r="M66" s="6" t="str">
        <f>CHAR(ROWS(M$2:M66))</f>
        <v>A</v>
      </c>
    </row>
    <row r="67" spans="12:13" x14ac:dyDescent="0.25">
      <c r="L67" s="6">
        <f t="shared" ref="L67:L130" si="1">CODE(M67)</f>
        <v>66</v>
      </c>
      <c r="M67" s="6" t="str">
        <f>CHAR(ROWS(M$2:M67))</f>
        <v>B</v>
      </c>
    </row>
    <row r="68" spans="12:13" x14ac:dyDescent="0.25">
      <c r="L68" s="6">
        <f t="shared" si="1"/>
        <v>67</v>
      </c>
      <c r="M68" s="6" t="str">
        <f>CHAR(ROWS(M$2:M68))</f>
        <v>C</v>
      </c>
    </row>
    <row r="69" spans="12:13" x14ac:dyDescent="0.25">
      <c r="L69" s="6">
        <f t="shared" si="1"/>
        <v>68</v>
      </c>
      <c r="M69" s="6" t="str">
        <f>CHAR(ROWS(M$2:M69))</f>
        <v>D</v>
      </c>
    </row>
    <row r="70" spans="12:13" x14ac:dyDescent="0.25">
      <c r="L70" s="6">
        <f t="shared" si="1"/>
        <v>69</v>
      </c>
      <c r="M70" s="6" t="str">
        <f>CHAR(ROWS(M$2:M70))</f>
        <v>E</v>
      </c>
    </row>
    <row r="71" spans="12:13" x14ac:dyDescent="0.25">
      <c r="L71" s="6">
        <f t="shared" si="1"/>
        <v>70</v>
      </c>
      <c r="M71" s="6" t="str">
        <f>CHAR(ROWS(M$2:M71))</f>
        <v>F</v>
      </c>
    </row>
    <row r="72" spans="12:13" x14ac:dyDescent="0.25">
      <c r="L72" s="6">
        <f t="shared" si="1"/>
        <v>71</v>
      </c>
      <c r="M72" s="6" t="str">
        <f>CHAR(ROWS(M$2:M72))</f>
        <v>G</v>
      </c>
    </row>
    <row r="73" spans="12:13" x14ac:dyDescent="0.25">
      <c r="L73" s="6">
        <f t="shared" si="1"/>
        <v>72</v>
      </c>
      <c r="M73" s="6" t="str">
        <f>CHAR(ROWS(M$2:M73))</f>
        <v>H</v>
      </c>
    </row>
    <row r="74" spans="12:13" x14ac:dyDescent="0.25">
      <c r="L74" s="6">
        <f t="shared" si="1"/>
        <v>73</v>
      </c>
      <c r="M74" s="6" t="str">
        <f>CHAR(ROWS(M$2:M74))</f>
        <v>I</v>
      </c>
    </row>
    <row r="75" spans="12:13" x14ac:dyDescent="0.25">
      <c r="L75" s="6">
        <f t="shared" si="1"/>
        <v>74</v>
      </c>
      <c r="M75" s="6" t="str">
        <f>CHAR(ROWS(M$2:M75))</f>
        <v>J</v>
      </c>
    </row>
    <row r="76" spans="12:13" x14ac:dyDescent="0.25">
      <c r="L76" s="6">
        <f t="shared" si="1"/>
        <v>75</v>
      </c>
      <c r="M76" s="6" t="str">
        <f>CHAR(ROWS(M$2:M76))</f>
        <v>K</v>
      </c>
    </row>
    <row r="77" spans="12:13" x14ac:dyDescent="0.25">
      <c r="L77" s="6">
        <f t="shared" si="1"/>
        <v>76</v>
      </c>
      <c r="M77" s="6" t="str">
        <f>CHAR(ROWS(M$2:M77))</f>
        <v>L</v>
      </c>
    </row>
    <row r="78" spans="12:13" x14ac:dyDescent="0.25">
      <c r="L78" s="6">
        <f t="shared" si="1"/>
        <v>77</v>
      </c>
      <c r="M78" s="6" t="str">
        <f>CHAR(ROWS(M$2:M78))</f>
        <v>M</v>
      </c>
    </row>
    <row r="79" spans="12:13" x14ac:dyDescent="0.25">
      <c r="L79" s="6">
        <f t="shared" si="1"/>
        <v>78</v>
      </c>
      <c r="M79" s="6" t="str">
        <f>CHAR(ROWS(M$2:M79))</f>
        <v>N</v>
      </c>
    </row>
    <row r="80" spans="12:13" x14ac:dyDescent="0.25">
      <c r="L80" s="6">
        <f t="shared" si="1"/>
        <v>79</v>
      </c>
      <c r="M80" s="6" t="str">
        <f>CHAR(ROWS(M$2:M80))</f>
        <v>O</v>
      </c>
    </row>
    <row r="81" spans="12:13" x14ac:dyDescent="0.25">
      <c r="L81" s="6">
        <f t="shared" si="1"/>
        <v>80</v>
      </c>
      <c r="M81" s="6" t="str">
        <f>CHAR(ROWS(M$2:M81))</f>
        <v>P</v>
      </c>
    </row>
    <row r="82" spans="12:13" x14ac:dyDescent="0.25">
      <c r="L82" s="6">
        <f t="shared" si="1"/>
        <v>81</v>
      </c>
      <c r="M82" s="6" t="str">
        <f>CHAR(ROWS(M$2:M82))</f>
        <v>Q</v>
      </c>
    </row>
    <row r="83" spans="12:13" x14ac:dyDescent="0.25">
      <c r="L83" s="6">
        <f t="shared" si="1"/>
        <v>82</v>
      </c>
      <c r="M83" s="6" t="str">
        <f>CHAR(ROWS(M$2:M83))</f>
        <v>R</v>
      </c>
    </row>
    <row r="84" spans="12:13" x14ac:dyDescent="0.25">
      <c r="L84" s="6">
        <f t="shared" si="1"/>
        <v>83</v>
      </c>
      <c r="M84" s="6" t="str">
        <f>CHAR(ROWS(M$2:M84))</f>
        <v>S</v>
      </c>
    </row>
    <row r="85" spans="12:13" x14ac:dyDescent="0.25">
      <c r="L85" s="6">
        <f t="shared" si="1"/>
        <v>84</v>
      </c>
      <c r="M85" s="6" t="str">
        <f>CHAR(ROWS(M$2:M85))</f>
        <v>T</v>
      </c>
    </row>
    <row r="86" spans="12:13" x14ac:dyDescent="0.25">
      <c r="L86" s="6">
        <f t="shared" si="1"/>
        <v>85</v>
      </c>
      <c r="M86" s="6" t="str">
        <f>CHAR(ROWS(M$2:M86))</f>
        <v>U</v>
      </c>
    </row>
    <row r="87" spans="12:13" x14ac:dyDescent="0.25">
      <c r="L87" s="6">
        <f t="shared" si="1"/>
        <v>86</v>
      </c>
      <c r="M87" s="6" t="str">
        <f>CHAR(ROWS(M$2:M87))</f>
        <v>V</v>
      </c>
    </row>
    <row r="88" spans="12:13" x14ac:dyDescent="0.25">
      <c r="L88" s="6">
        <f t="shared" si="1"/>
        <v>87</v>
      </c>
      <c r="M88" s="6" t="str">
        <f>CHAR(ROWS(M$2:M88))</f>
        <v>W</v>
      </c>
    </row>
    <row r="89" spans="12:13" x14ac:dyDescent="0.25">
      <c r="L89" s="6">
        <f t="shared" si="1"/>
        <v>88</v>
      </c>
      <c r="M89" s="6" t="str">
        <f>CHAR(ROWS(M$2:M89))</f>
        <v>X</v>
      </c>
    </row>
    <row r="90" spans="12:13" x14ac:dyDescent="0.25">
      <c r="L90" s="6">
        <f t="shared" si="1"/>
        <v>89</v>
      </c>
      <c r="M90" s="6" t="str">
        <f>CHAR(ROWS(M$2:M90))</f>
        <v>Y</v>
      </c>
    </row>
    <row r="91" spans="12:13" x14ac:dyDescent="0.25">
      <c r="L91" s="6">
        <f t="shared" si="1"/>
        <v>90</v>
      </c>
      <c r="M91" s="6" t="str">
        <f>CHAR(ROWS(M$2:M91))</f>
        <v>Z</v>
      </c>
    </row>
    <row r="92" spans="12:13" x14ac:dyDescent="0.25">
      <c r="L92" s="6">
        <f t="shared" si="1"/>
        <v>91</v>
      </c>
      <c r="M92" s="6" t="str">
        <f>CHAR(ROWS(M$2:M92))</f>
        <v>[</v>
      </c>
    </row>
    <row r="93" spans="12:13" x14ac:dyDescent="0.25">
      <c r="L93" s="6">
        <f t="shared" si="1"/>
        <v>92</v>
      </c>
      <c r="M93" s="6" t="str">
        <f>CHAR(ROWS(M$2:M93))</f>
        <v>\</v>
      </c>
    </row>
    <row r="94" spans="12:13" x14ac:dyDescent="0.25">
      <c r="L94" s="6">
        <f t="shared" si="1"/>
        <v>93</v>
      </c>
      <c r="M94" s="6" t="str">
        <f>CHAR(ROWS(M$2:M94))</f>
        <v>]</v>
      </c>
    </row>
    <row r="95" spans="12:13" x14ac:dyDescent="0.25">
      <c r="L95" s="6">
        <f t="shared" si="1"/>
        <v>94</v>
      </c>
      <c r="M95" s="6" t="str">
        <f>CHAR(ROWS(M$2:M95))</f>
        <v>^</v>
      </c>
    </row>
    <row r="96" spans="12:13" x14ac:dyDescent="0.25">
      <c r="L96" s="6">
        <f t="shared" si="1"/>
        <v>95</v>
      </c>
      <c r="M96" s="6" t="str">
        <f>CHAR(ROWS(M$2:M96))</f>
        <v>_</v>
      </c>
    </row>
    <row r="97" spans="12:13" x14ac:dyDescent="0.25">
      <c r="L97" s="6">
        <f t="shared" si="1"/>
        <v>96</v>
      </c>
      <c r="M97" s="6" t="str">
        <f>CHAR(ROWS(M$2:M97))</f>
        <v>`</v>
      </c>
    </row>
    <row r="98" spans="12:13" x14ac:dyDescent="0.25">
      <c r="L98" s="6">
        <f t="shared" si="1"/>
        <v>97</v>
      </c>
      <c r="M98" s="6" t="str">
        <f>CHAR(ROWS(M$2:M98))</f>
        <v>a</v>
      </c>
    </row>
    <row r="99" spans="12:13" x14ac:dyDescent="0.25">
      <c r="L99" s="6">
        <f t="shared" si="1"/>
        <v>98</v>
      </c>
      <c r="M99" s="6" t="str">
        <f>CHAR(ROWS(M$2:M99))</f>
        <v>b</v>
      </c>
    </row>
    <row r="100" spans="12:13" x14ac:dyDescent="0.25">
      <c r="L100" s="6">
        <f t="shared" si="1"/>
        <v>99</v>
      </c>
      <c r="M100" s="6" t="str">
        <f>CHAR(ROWS(M$2:M100))</f>
        <v>c</v>
      </c>
    </row>
    <row r="101" spans="12:13" x14ac:dyDescent="0.25">
      <c r="L101" s="6">
        <f t="shared" si="1"/>
        <v>100</v>
      </c>
      <c r="M101" s="6" t="str">
        <f>CHAR(ROWS(M$2:M101))</f>
        <v>d</v>
      </c>
    </row>
    <row r="102" spans="12:13" x14ac:dyDescent="0.25">
      <c r="L102" s="6">
        <f t="shared" si="1"/>
        <v>101</v>
      </c>
      <c r="M102" s="6" t="str">
        <f>CHAR(ROWS(M$2:M102))</f>
        <v>e</v>
      </c>
    </row>
    <row r="103" spans="12:13" x14ac:dyDescent="0.25">
      <c r="L103" s="6">
        <f t="shared" si="1"/>
        <v>102</v>
      </c>
      <c r="M103" s="6" t="str">
        <f>CHAR(ROWS(M$2:M103))</f>
        <v>f</v>
      </c>
    </row>
    <row r="104" spans="12:13" x14ac:dyDescent="0.25">
      <c r="L104" s="6">
        <f t="shared" si="1"/>
        <v>103</v>
      </c>
      <c r="M104" s="6" t="str">
        <f>CHAR(ROWS(M$2:M104))</f>
        <v>g</v>
      </c>
    </row>
    <row r="105" spans="12:13" x14ac:dyDescent="0.25">
      <c r="L105" s="6">
        <f t="shared" si="1"/>
        <v>104</v>
      </c>
      <c r="M105" s="6" t="str">
        <f>CHAR(ROWS(M$2:M105))</f>
        <v>h</v>
      </c>
    </row>
    <row r="106" spans="12:13" x14ac:dyDescent="0.25">
      <c r="L106" s="6">
        <f t="shared" si="1"/>
        <v>105</v>
      </c>
      <c r="M106" s="6" t="str">
        <f>CHAR(ROWS(M$2:M106))</f>
        <v>i</v>
      </c>
    </row>
    <row r="107" spans="12:13" x14ac:dyDescent="0.25">
      <c r="L107" s="6">
        <f t="shared" si="1"/>
        <v>106</v>
      </c>
      <c r="M107" s="6" t="str">
        <f>CHAR(ROWS(M$2:M107))</f>
        <v>j</v>
      </c>
    </row>
    <row r="108" spans="12:13" x14ac:dyDescent="0.25">
      <c r="L108" s="6">
        <f t="shared" si="1"/>
        <v>107</v>
      </c>
      <c r="M108" s="6" t="str">
        <f>CHAR(ROWS(M$2:M108))</f>
        <v>k</v>
      </c>
    </row>
    <row r="109" spans="12:13" x14ac:dyDescent="0.25">
      <c r="L109" s="6">
        <f t="shared" si="1"/>
        <v>108</v>
      </c>
      <c r="M109" s="6" t="str">
        <f>CHAR(ROWS(M$2:M109))</f>
        <v>l</v>
      </c>
    </row>
    <row r="110" spans="12:13" x14ac:dyDescent="0.25">
      <c r="L110" s="6">
        <f t="shared" si="1"/>
        <v>109</v>
      </c>
      <c r="M110" s="6" t="str">
        <f>CHAR(ROWS(M$2:M110))</f>
        <v>m</v>
      </c>
    </row>
    <row r="111" spans="12:13" x14ac:dyDescent="0.25">
      <c r="L111" s="6">
        <f t="shared" si="1"/>
        <v>110</v>
      </c>
      <c r="M111" s="6" t="str">
        <f>CHAR(ROWS(M$2:M111))</f>
        <v>n</v>
      </c>
    </row>
    <row r="112" spans="12:13" x14ac:dyDescent="0.25">
      <c r="L112" s="6">
        <f t="shared" si="1"/>
        <v>111</v>
      </c>
      <c r="M112" s="6" t="str">
        <f>CHAR(ROWS(M$2:M112))</f>
        <v>o</v>
      </c>
    </row>
    <row r="113" spans="12:13" x14ac:dyDescent="0.25">
      <c r="L113" s="6">
        <f t="shared" si="1"/>
        <v>112</v>
      </c>
      <c r="M113" s="6" t="str">
        <f>CHAR(ROWS(M$2:M113))</f>
        <v>p</v>
      </c>
    </row>
    <row r="114" spans="12:13" x14ac:dyDescent="0.25">
      <c r="L114" s="6">
        <f t="shared" si="1"/>
        <v>113</v>
      </c>
      <c r="M114" s="6" t="str">
        <f>CHAR(ROWS(M$2:M114))</f>
        <v>q</v>
      </c>
    </row>
    <row r="115" spans="12:13" x14ac:dyDescent="0.25">
      <c r="L115" s="6">
        <f t="shared" si="1"/>
        <v>114</v>
      </c>
      <c r="M115" s="6" t="str">
        <f>CHAR(ROWS(M$2:M115))</f>
        <v>r</v>
      </c>
    </row>
    <row r="116" spans="12:13" x14ac:dyDescent="0.25">
      <c r="L116" s="6">
        <f t="shared" si="1"/>
        <v>115</v>
      </c>
      <c r="M116" s="6" t="str">
        <f>CHAR(ROWS(M$2:M116))</f>
        <v>s</v>
      </c>
    </row>
    <row r="117" spans="12:13" x14ac:dyDescent="0.25">
      <c r="L117" s="6">
        <f t="shared" si="1"/>
        <v>116</v>
      </c>
      <c r="M117" s="6" t="str">
        <f>CHAR(ROWS(M$2:M117))</f>
        <v>t</v>
      </c>
    </row>
    <row r="118" spans="12:13" x14ac:dyDescent="0.25">
      <c r="L118" s="6">
        <f t="shared" si="1"/>
        <v>117</v>
      </c>
      <c r="M118" s="6" t="str">
        <f>CHAR(ROWS(M$2:M118))</f>
        <v>u</v>
      </c>
    </row>
    <row r="119" spans="12:13" x14ac:dyDescent="0.25">
      <c r="L119" s="6">
        <f t="shared" si="1"/>
        <v>118</v>
      </c>
      <c r="M119" s="6" t="str">
        <f>CHAR(ROWS(M$2:M119))</f>
        <v>v</v>
      </c>
    </row>
    <row r="120" spans="12:13" x14ac:dyDescent="0.25">
      <c r="L120" s="6">
        <f t="shared" si="1"/>
        <v>119</v>
      </c>
      <c r="M120" s="6" t="str">
        <f>CHAR(ROWS(M$2:M120))</f>
        <v>w</v>
      </c>
    </row>
    <row r="121" spans="12:13" x14ac:dyDescent="0.25">
      <c r="L121" s="6">
        <f t="shared" si="1"/>
        <v>120</v>
      </c>
      <c r="M121" s="6" t="str">
        <f>CHAR(ROWS(M$2:M121))</f>
        <v>x</v>
      </c>
    </row>
    <row r="122" spans="12:13" x14ac:dyDescent="0.25">
      <c r="L122" s="6">
        <f t="shared" si="1"/>
        <v>121</v>
      </c>
      <c r="M122" s="6" t="str">
        <f>CHAR(ROWS(M$2:M122))</f>
        <v>y</v>
      </c>
    </row>
    <row r="123" spans="12:13" x14ac:dyDescent="0.25">
      <c r="L123" s="6">
        <f t="shared" si="1"/>
        <v>122</v>
      </c>
      <c r="M123" s="6" t="str">
        <f>CHAR(ROWS(M$2:M123))</f>
        <v>z</v>
      </c>
    </row>
    <row r="124" spans="12:13" x14ac:dyDescent="0.25">
      <c r="L124" s="6">
        <f t="shared" si="1"/>
        <v>123</v>
      </c>
      <c r="M124" s="6" t="str">
        <f>CHAR(ROWS(M$2:M124))</f>
        <v>{</v>
      </c>
    </row>
    <row r="125" spans="12:13" x14ac:dyDescent="0.25">
      <c r="L125" s="6">
        <f t="shared" si="1"/>
        <v>124</v>
      </c>
      <c r="M125" s="6" t="str">
        <f>CHAR(ROWS(M$2:M125))</f>
        <v>|</v>
      </c>
    </row>
    <row r="126" spans="12:13" x14ac:dyDescent="0.25">
      <c r="L126" s="6">
        <f t="shared" si="1"/>
        <v>125</v>
      </c>
      <c r="M126" s="6" t="str">
        <f>CHAR(ROWS(M$2:M126))</f>
        <v>}</v>
      </c>
    </row>
    <row r="127" spans="12:13" x14ac:dyDescent="0.25">
      <c r="L127" s="6">
        <f t="shared" si="1"/>
        <v>126</v>
      </c>
      <c r="M127" s="6" t="str">
        <f>CHAR(ROWS(M$2:M127))</f>
        <v>~</v>
      </c>
    </row>
    <row r="128" spans="12:13" x14ac:dyDescent="0.25">
      <c r="L128" s="6">
        <f t="shared" si="1"/>
        <v>127</v>
      </c>
      <c r="M128" s="6" t="str">
        <f>CHAR(ROWS(M$2:M128))</f>
        <v></v>
      </c>
    </row>
    <row r="129" spans="12:13" x14ac:dyDescent="0.25">
      <c r="L129" s="6">
        <f t="shared" si="1"/>
        <v>128</v>
      </c>
      <c r="M129" s="6" t="str">
        <f>CHAR(ROWS(M$2:M129))</f>
        <v>€</v>
      </c>
    </row>
    <row r="130" spans="12:13" x14ac:dyDescent="0.25">
      <c r="L130" s="6">
        <f t="shared" si="1"/>
        <v>129</v>
      </c>
      <c r="M130" s="6" t="str">
        <f>CHAR(ROWS(M$2:M130))</f>
        <v></v>
      </c>
    </row>
    <row r="131" spans="12:13" x14ac:dyDescent="0.25">
      <c r="L131" s="6">
        <f t="shared" ref="L131:L194" si="2">CODE(M131)</f>
        <v>130</v>
      </c>
      <c r="M131" s="6" t="str">
        <f>CHAR(ROWS(M$2:M131))</f>
        <v>‚</v>
      </c>
    </row>
    <row r="132" spans="12:13" x14ac:dyDescent="0.25">
      <c r="L132" s="6">
        <f t="shared" si="2"/>
        <v>131</v>
      </c>
      <c r="M132" s="6" t="str">
        <f>CHAR(ROWS(M$2:M132))</f>
        <v>ƒ</v>
      </c>
    </row>
    <row r="133" spans="12:13" x14ac:dyDescent="0.25">
      <c r="L133" s="6">
        <f t="shared" si="2"/>
        <v>132</v>
      </c>
      <c r="M133" s="6" t="str">
        <f>CHAR(ROWS(M$2:M133))</f>
        <v>„</v>
      </c>
    </row>
    <row r="134" spans="12:13" x14ac:dyDescent="0.25">
      <c r="L134" s="6">
        <f t="shared" si="2"/>
        <v>133</v>
      </c>
      <c r="M134" s="6" t="str">
        <f>CHAR(ROWS(M$2:M134))</f>
        <v>…</v>
      </c>
    </row>
    <row r="135" spans="12:13" x14ac:dyDescent="0.25">
      <c r="L135" s="6">
        <f t="shared" si="2"/>
        <v>134</v>
      </c>
      <c r="M135" s="6" t="str">
        <f>CHAR(ROWS(M$2:M135))</f>
        <v>†</v>
      </c>
    </row>
    <row r="136" spans="12:13" x14ac:dyDescent="0.25">
      <c r="L136" s="6">
        <f t="shared" si="2"/>
        <v>135</v>
      </c>
      <c r="M136" s="6" t="str">
        <f>CHAR(ROWS(M$2:M136))</f>
        <v>‡</v>
      </c>
    </row>
    <row r="137" spans="12:13" x14ac:dyDescent="0.25">
      <c r="L137" s="6">
        <f t="shared" si="2"/>
        <v>136</v>
      </c>
      <c r="M137" s="6" t="str">
        <f>CHAR(ROWS(M$2:M137))</f>
        <v>ˆ</v>
      </c>
    </row>
    <row r="138" spans="12:13" x14ac:dyDescent="0.25">
      <c r="L138" s="6">
        <f t="shared" si="2"/>
        <v>137</v>
      </c>
      <c r="M138" s="6" t="str">
        <f>CHAR(ROWS(M$2:M138))</f>
        <v>‰</v>
      </c>
    </row>
    <row r="139" spans="12:13" x14ac:dyDescent="0.25">
      <c r="L139" s="6">
        <f t="shared" si="2"/>
        <v>138</v>
      </c>
      <c r="M139" s="6" t="str">
        <f>CHAR(ROWS(M$2:M139))</f>
        <v>Š</v>
      </c>
    </row>
    <row r="140" spans="12:13" x14ac:dyDescent="0.25">
      <c r="L140" s="6">
        <f t="shared" si="2"/>
        <v>139</v>
      </c>
      <c r="M140" s="6" t="str">
        <f>CHAR(ROWS(M$2:M140))</f>
        <v>‹</v>
      </c>
    </row>
    <row r="141" spans="12:13" x14ac:dyDescent="0.25">
      <c r="L141" s="6">
        <f t="shared" si="2"/>
        <v>140</v>
      </c>
      <c r="M141" s="6" t="str">
        <f>CHAR(ROWS(M$2:M141))</f>
        <v>Œ</v>
      </c>
    </row>
    <row r="142" spans="12:13" x14ac:dyDescent="0.25">
      <c r="L142" s="6">
        <f t="shared" si="2"/>
        <v>141</v>
      </c>
      <c r="M142" s="6" t="str">
        <f>CHAR(ROWS(M$2:M142))</f>
        <v></v>
      </c>
    </row>
    <row r="143" spans="12:13" x14ac:dyDescent="0.25">
      <c r="L143" s="6">
        <f t="shared" si="2"/>
        <v>142</v>
      </c>
      <c r="M143" s="6" t="str">
        <f>CHAR(ROWS(M$2:M143))</f>
        <v>Ž</v>
      </c>
    </row>
    <row r="144" spans="12:13" x14ac:dyDescent="0.25">
      <c r="L144" s="6">
        <f t="shared" si="2"/>
        <v>143</v>
      </c>
      <c r="M144" s="6" t="str">
        <f>CHAR(ROWS(M$2:M144))</f>
        <v></v>
      </c>
    </row>
    <row r="145" spans="12:13" x14ac:dyDescent="0.25">
      <c r="L145" s="6">
        <f t="shared" si="2"/>
        <v>144</v>
      </c>
      <c r="M145" s="6" t="str">
        <f>CHAR(ROWS(M$2:M145))</f>
        <v></v>
      </c>
    </row>
    <row r="146" spans="12:13" x14ac:dyDescent="0.25">
      <c r="L146" s="6">
        <f t="shared" si="2"/>
        <v>145</v>
      </c>
      <c r="M146" s="6" t="str">
        <f>CHAR(ROWS(M$2:M146))</f>
        <v>‘</v>
      </c>
    </row>
    <row r="147" spans="12:13" x14ac:dyDescent="0.25">
      <c r="L147" s="6">
        <f t="shared" si="2"/>
        <v>146</v>
      </c>
      <c r="M147" s="6" t="str">
        <f>CHAR(ROWS(M$2:M147))</f>
        <v>’</v>
      </c>
    </row>
    <row r="148" spans="12:13" x14ac:dyDescent="0.25">
      <c r="L148" s="6">
        <f t="shared" si="2"/>
        <v>147</v>
      </c>
      <c r="M148" s="6" t="str">
        <f>CHAR(ROWS(M$2:M148))</f>
        <v>“</v>
      </c>
    </row>
    <row r="149" spans="12:13" x14ac:dyDescent="0.25">
      <c r="L149" s="6">
        <f t="shared" si="2"/>
        <v>148</v>
      </c>
      <c r="M149" s="6" t="str">
        <f>CHAR(ROWS(M$2:M149))</f>
        <v>”</v>
      </c>
    </row>
    <row r="150" spans="12:13" x14ac:dyDescent="0.25">
      <c r="L150" s="6">
        <f t="shared" si="2"/>
        <v>149</v>
      </c>
      <c r="M150" s="6" t="str">
        <f>CHAR(ROWS(M$2:M150))</f>
        <v>•</v>
      </c>
    </row>
    <row r="151" spans="12:13" x14ac:dyDescent="0.25">
      <c r="L151" s="6">
        <f t="shared" si="2"/>
        <v>150</v>
      </c>
      <c r="M151" s="6" t="str">
        <f>CHAR(ROWS(M$2:M151))</f>
        <v>–</v>
      </c>
    </row>
    <row r="152" spans="12:13" x14ac:dyDescent="0.25">
      <c r="L152" s="6">
        <f t="shared" si="2"/>
        <v>151</v>
      </c>
      <c r="M152" s="6" t="str">
        <f>CHAR(ROWS(M$2:M152))</f>
        <v>—</v>
      </c>
    </row>
    <row r="153" spans="12:13" x14ac:dyDescent="0.25">
      <c r="L153" s="6">
        <f t="shared" si="2"/>
        <v>152</v>
      </c>
      <c r="M153" s="6" t="str">
        <f>CHAR(ROWS(M$2:M153))</f>
        <v>˜</v>
      </c>
    </row>
    <row r="154" spans="12:13" x14ac:dyDescent="0.25">
      <c r="L154" s="6">
        <f t="shared" si="2"/>
        <v>153</v>
      </c>
      <c r="M154" s="6" t="str">
        <f>CHAR(ROWS(M$2:M154))</f>
        <v>™</v>
      </c>
    </row>
    <row r="155" spans="12:13" x14ac:dyDescent="0.25">
      <c r="L155" s="6">
        <f t="shared" si="2"/>
        <v>154</v>
      </c>
      <c r="M155" s="6" t="str">
        <f>CHAR(ROWS(M$2:M155))</f>
        <v>š</v>
      </c>
    </row>
    <row r="156" spans="12:13" x14ac:dyDescent="0.25">
      <c r="L156" s="6">
        <f t="shared" si="2"/>
        <v>155</v>
      </c>
      <c r="M156" s="6" t="str">
        <f>CHAR(ROWS(M$2:M156))</f>
        <v>›</v>
      </c>
    </row>
    <row r="157" spans="12:13" x14ac:dyDescent="0.25">
      <c r="L157" s="6">
        <f t="shared" si="2"/>
        <v>156</v>
      </c>
      <c r="M157" s="6" t="str">
        <f>CHAR(ROWS(M$2:M157))</f>
        <v>œ</v>
      </c>
    </row>
    <row r="158" spans="12:13" x14ac:dyDescent="0.25">
      <c r="L158" s="6">
        <f t="shared" si="2"/>
        <v>157</v>
      </c>
      <c r="M158" s="6" t="str">
        <f>CHAR(ROWS(M$2:M158))</f>
        <v></v>
      </c>
    </row>
    <row r="159" spans="12:13" x14ac:dyDescent="0.25">
      <c r="L159" s="6">
        <f t="shared" si="2"/>
        <v>158</v>
      </c>
      <c r="M159" s="6" t="str">
        <f>CHAR(ROWS(M$2:M159))</f>
        <v>ž</v>
      </c>
    </row>
    <row r="160" spans="12:13" x14ac:dyDescent="0.25">
      <c r="L160" s="6">
        <f t="shared" si="2"/>
        <v>159</v>
      </c>
      <c r="M160" s="6" t="str">
        <f>CHAR(ROWS(M$2:M160))</f>
        <v>Ÿ</v>
      </c>
    </row>
    <row r="161" spans="12:13" x14ac:dyDescent="0.25">
      <c r="L161" s="6">
        <f t="shared" si="2"/>
        <v>160</v>
      </c>
      <c r="M161" s="6" t="str">
        <f>CHAR(ROWS(M$2:M161))</f>
        <v> </v>
      </c>
    </row>
    <row r="162" spans="12:13" x14ac:dyDescent="0.25">
      <c r="L162" s="6">
        <f t="shared" si="2"/>
        <v>161</v>
      </c>
      <c r="M162" s="6" t="str">
        <f>CHAR(ROWS(M$2:M162))</f>
        <v>¡</v>
      </c>
    </row>
    <row r="163" spans="12:13" x14ac:dyDescent="0.25">
      <c r="L163" s="6">
        <f t="shared" si="2"/>
        <v>162</v>
      </c>
      <c r="M163" s="6" t="str">
        <f>CHAR(ROWS(M$2:M163))</f>
        <v>¢</v>
      </c>
    </row>
    <row r="164" spans="12:13" x14ac:dyDescent="0.25">
      <c r="L164" s="6">
        <f t="shared" si="2"/>
        <v>163</v>
      </c>
      <c r="M164" s="6" t="str">
        <f>CHAR(ROWS(M$2:M164))</f>
        <v>£</v>
      </c>
    </row>
    <row r="165" spans="12:13" x14ac:dyDescent="0.25">
      <c r="L165" s="6">
        <f t="shared" si="2"/>
        <v>164</v>
      </c>
      <c r="M165" s="6" t="str">
        <f>CHAR(ROWS(M$2:M165))</f>
        <v>¤</v>
      </c>
    </row>
    <row r="166" spans="12:13" x14ac:dyDescent="0.25">
      <c r="L166" s="6">
        <f t="shared" si="2"/>
        <v>165</v>
      </c>
      <c r="M166" s="6" t="str">
        <f>CHAR(ROWS(M$2:M166))</f>
        <v>¥</v>
      </c>
    </row>
    <row r="167" spans="12:13" x14ac:dyDescent="0.25">
      <c r="L167" s="6">
        <f t="shared" si="2"/>
        <v>166</v>
      </c>
      <c r="M167" s="6" t="str">
        <f>CHAR(ROWS(M$2:M167))</f>
        <v>¦</v>
      </c>
    </row>
    <row r="168" spans="12:13" x14ac:dyDescent="0.25">
      <c r="L168" s="6">
        <f t="shared" si="2"/>
        <v>167</v>
      </c>
      <c r="M168" s="6" t="str">
        <f>CHAR(ROWS(M$2:M168))</f>
        <v>§</v>
      </c>
    </row>
    <row r="169" spans="12:13" x14ac:dyDescent="0.25">
      <c r="L169" s="6">
        <f t="shared" si="2"/>
        <v>168</v>
      </c>
      <c r="M169" s="6" t="str">
        <f>CHAR(ROWS(M$2:M169))</f>
        <v>¨</v>
      </c>
    </row>
    <row r="170" spans="12:13" x14ac:dyDescent="0.25">
      <c r="L170" s="6">
        <f t="shared" si="2"/>
        <v>169</v>
      </c>
      <c r="M170" s="6" t="str">
        <f>CHAR(ROWS(M$2:M170))</f>
        <v>©</v>
      </c>
    </row>
    <row r="171" spans="12:13" x14ac:dyDescent="0.25">
      <c r="L171" s="6">
        <f t="shared" si="2"/>
        <v>170</v>
      </c>
      <c r="M171" s="6" t="str">
        <f>CHAR(ROWS(M$2:M171))</f>
        <v>ª</v>
      </c>
    </row>
    <row r="172" spans="12:13" x14ac:dyDescent="0.25">
      <c r="L172" s="6">
        <f t="shared" si="2"/>
        <v>171</v>
      </c>
      <c r="M172" s="6" t="str">
        <f>CHAR(ROWS(M$2:M172))</f>
        <v>«</v>
      </c>
    </row>
    <row r="173" spans="12:13" x14ac:dyDescent="0.25">
      <c r="L173" s="6">
        <f t="shared" si="2"/>
        <v>172</v>
      </c>
      <c r="M173" s="6" t="str">
        <f>CHAR(ROWS(M$2:M173))</f>
        <v>¬</v>
      </c>
    </row>
    <row r="174" spans="12:13" x14ac:dyDescent="0.25">
      <c r="L174" s="6">
        <f t="shared" si="2"/>
        <v>173</v>
      </c>
      <c r="M174" s="6" t="str">
        <f>CHAR(ROWS(M$2:M174))</f>
        <v>­</v>
      </c>
    </row>
    <row r="175" spans="12:13" x14ac:dyDescent="0.25">
      <c r="L175" s="6">
        <f t="shared" si="2"/>
        <v>174</v>
      </c>
      <c r="M175" s="6" t="str">
        <f>CHAR(ROWS(M$2:M175))</f>
        <v>®</v>
      </c>
    </row>
    <row r="176" spans="12:13" x14ac:dyDescent="0.25">
      <c r="L176" s="6">
        <f t="shared" si="2"/>
        <v>175</v>
      </c>
      <c r="M176" s="6" t="str">
        <f>CHAR(ROWS(M$2:M176))</f>
        <v>¯</v>
      </c>
    </row>
    <row r="177" spans="12:13" x14ac:dyDescent="0.25">
      <c r="L177" s="6">
        <f t="shared" si="2"/>
        <v>176</v>
      </c>
      <c r="M177" s="6" t="str">
        <f>CHAR(ROWS(M$2:M177))</f>
        <v>°</v>
      </c>
    </row>
    <row r="178" spans="12:13" x14ac:dyDescent="0.25">
      <c r="L178" s="6">
        <f t="shared" si="2"/>
        <v>177</v>
      </c>
      <c r="M178" s="6" t="str">
        <f>CHAR(ROWS(M$2:M178))</f>
        <v>±</v>
      </c>
    </row>
    <row r="179" spans="12:13" x14ac:dyDescent="0.25">
      <c r="L179" s="6">
        <f t="shared" si="2"/>
        <v>178</v>
      </c>
      <c r="M179" s="6" t="str">
        <f>CHAR(ROWS(M$2:M179))</f>
        <v>²</v>
      </c>
    </row>
    <row r="180" spans="12:13" x14ac:dyDescent="0.25">
      <c r="L180" s="6">
        <f t="shared" si="2"/>
        <v>179</v>
      </c>
      <c r="M180" s="6" t="str">
        <f>CHAR(ROWS(M$2:M180))</f>
        <v>³</v>
      </c>
    </row>
    <row r="181" spans="12:13" x14ac:dyDescent="0.25">
      <c r="L181" s="6">
        <f t="shared" si="2"/>
        <v>180</v>
      </c>
      <c r="M181" s="6" t="str">
        <f>CHAR(ROWS(M$2:M181))</f>
        <v>´</v>
      </c>
    </row>
    <row r="182" spans="12:13" x14ac:dyDescent="0.25">
      <c r="L182" s="6">
        <f t="shared" si="2"/>
        <v>181</v>
      </c>
      <c r="M182" s="6" t="str">
        <f>CHAR(ROWS(M$2:M182))</f>
        <v>µ</v>
      </c>
    </row>
    <row r="183" spans="12:13" x14ac:dyDescent="0.25">
      <c r="L183" s="6">
        <f t="shared" si="2"/>
        <v>182</v>
      </c>
      <c r="M183" s="6" t="str">
        <f>CHAR(ROWS(M$2:M183))</f>
        <v>¶</v>
      </c>
    </row>
    <row r="184" spans="12:13" x14ac:dyDescent="0.25">
      <c r="L184" s="6">
        <f t="shared" si="2"/>
        <v>183</v>
      </c>
      <c r="M184" s="6" t="str">
        <f>CHAR(ROWS(M$2:M184))</f>
        <v>·</v>
      </c>
    </row>
    <row r="185" spans="12:13" x14ac:dyDescent="0.25">
      <c r="L185" s="6">
        <f t="shared" si="2"/>
        <v>184</v>
      </c>
      <c r="M185" s="6" t="str">
        <f>CHAR(ROWS(M$2:M185))</f>
        <v>¸</v>
      </c>
    </row>
    <row r="186" spans="12:13" x14ac:dyDescent="0.25">
      <c r="L186" s="6">
        <f t="shared" si="2"/>
        <v>185</v>
      </c>
      <c r="M186" s="6" t="str">
        <f>CHAR(ROWS(M$2:M186))</f>
        <v>¹</v>
      </c>
    </row>
    <row r="187" spans="12:13" x14ac:dyDescent="0.25">
      <c r="L187" s="6">
        <f t="shared" si="2"/>
        <v>186</v>
      </c>
      <c r="M187" s="6" t="str">
        <f>CHAR(ROWS(M$2:M187))</f>
        <v>º</v>
      </c>
    </row>
    <row r="188" spans="12:13" x14ac:dyDescent="0.25">
      <c r="L188" s="6">
        <f t="shared" si="2"/>
        <v>187</v>
      </c>
      <c r="M188" s="6" t="str">
        <f>CHAR(ROWS(M$2:M188))</f>
        <v>»</v>
      </c>
    </row>
    <row r="189" spans="12:13" x14ac:dyDescent="0.25">
      <c r="L189" s="6">
        <f t="shared" si="2"/>
        <v>188</v>
      </c>
      <c r="M189" s="6" t="str">
        <f>CHAR(ROWS(M$2:M189))</f>
        <v>¼</v>
      </c>
    </row>
    <row r="190" spans="12:13" x14ac:dyDescent="0.25">
      <c r="L190" s="6">
        <f t="shared" si="2"/>
        <v>189</v>
      </c>
      <c r="M190" s="6" t="str">
        <f>CHAR(ROWS(M$2:M190))</f>
        <v>½</v>
      </c>
    </row>
    <row r="191" spans="12:13" x14ac:dyDescent="0.25">
      <c r="L191" s="6">
        <f t="shared" si="2"/>
        <v>190</v>
      </c>
      <c r="M191" s="6" t="str">
        <f>CHAR(ROWS(M$2:M191))</f>
        <v>¾</v>
      </c>
    </row>
    <row r="192" spans="12:13" x14ac:dyDescent="0.25">
      <c r="L192" s="6">
        <f t="shared" si="2"/>
        <v>191</v>
      </c>
      <c r="M192" s="6" t="str">
        <f>CHAR(ROWS(M$2:M192))</f>
        <v>¿</v>
      </c>
    </row>
    <row r="193" spans="12:13" x14ac:dyDescent="0.25">
      <c r="L193" s="6">
        <f t="shared" si="2"/>
        <v>192</v>
      </c>
      <c r="M193" s="6" t="str">
        <f>CHAR(ROWS(M$2:M193))</f>
        <v>À</v>
      </c>
    </row>
    <row r="194" spans="12:13" x14ac:dyDescent="0.25">
      <c r="L194" s="6">
        <f t="shared" si="2"/>
        <v>193</v>
      </c>
      <c r="M194" s="6" t="str">
        <f>CHAR(ROWS(M$2:M194))</f>
        <v>Á</v>
      </c>
    </row>
    <row r="195" spans="12:13" x14ac:dyDescent="0.25">
      <c r="L195" s="6">
        <f t="shared" ref="L195:L258" si="3">CODE(M195)</f>
        <v>194</v>
      </c>
      <c r="M195" s="6" t="str">
        <f>CHAR(ROWS(M$2:M195))</f>
        <v>Â</v>
      </c>
    </row>
    <row r="196" spans="12:13" x14ac:dyDescent="0.25">
      <c r="L196" s="6">
        <f t="shared" si="3"/>
        <v>195</v>
      </c>
      <c r="M196" s="6" t="str">
        <f>CHAR(ROWS(M$2:M196))</f>
        <v>Ã</v>
      </c>
    </row>
    <row r="197" spans="12:13" x14ac:dyDescent="0.25">
      <c r="L197" s="6">
        <f t="shared" si="3"/>
        <v>196</v>
      </c>
      <c r="M197" s="6" t="str">
        <f>CHAR(ROWS(M$2:M197))</f>
        <v>Ä</v>
      </c>
    </row>
    <row r="198" spans="12:13" x14ac:dyDescent="0.25">
      <c r="L198" s="6">
        <f t="shared" si="3"/>
        <v>197</v>
      </c>
      <c r="M198" s="6" t="str">
        <f>CHAR(ROWS(M$2:M198))</f>
        <v>Å</v>
      </c>
    </row>
    <row r="199" spans="12:13" x14ac:dyDescent="0.25">
      <c r="L199" s="6">
        <f t="shared" si="3"/>
        <v>198</v>
      </c>
      <c r="M199" s="6" t="str">
        <f>CHAR(ROWS(M$2:M199))</f>
        <v>Æ</v>
      </c>
    </row>
    <row r="200" spans="12:13" x14ac:dyDescent="0.25">
      <c r="L200" s="6">
        <f t="shared" si="3"/>
        <v>199</v>
      </c>
      <c r="M200" s="6" t="str">
        <f>CHAR(ROWS(M$2:M200))</f>
        <v>Ç</v>
      </c>
    </row>
    <row r="201" spans="12:13" x14ac:dyDescent="0.25">
      <c r="L201" s="6">
        <f t="shared" si="3"/>
        <v>200</v>
      </c>
      <c r="M201" s="6" t="str">
        <f>CHAR(ROWS(M$2:M201))</f>
        <v>È</v>
      </c>
    </row>
    <row r="202" spans="12:13" x14ac:dyDescent="0.25">
      <c r="L202" s="6">
        <f t="shared" si="3"/>
        <v>201</v>
      </c>
      <c r="M202" s="6" t="str">
        <f>CHAR(ROWS(M$2:M202))</f>
        <v>É</v>
      </c>
    </row>
    <row r="203" spans="12:13" x14ac:dyDescent="0.25">
      <c r="L203" s="6">
        <f t="shared" si="3"/>
        <v>202</v>
      </c>
      <c r="M203" s="6" t="str">
        <f>CHAR(ROWS(M$2:M203))</f>
        <v>Ê</v>
      </c>
    </row>
    <row r="204" spans="12:13" x14ac:dyDescent="0.25">
      <c r="L204" s="6">
        <f t="shared" si="3"/>
        <v>203</v>
      </c>
      <c r="M204" s="6" t="str">
        <f>CHAR(ROWS(M$2:M204))</f>
        <v>Ë</v>
      </c>
    </row>
    <row r="205" spans="12:13" x14ac:dyDescent="0.25">
      <c r="L205" s="6">
        <f t="shared" si="3"/>
        <v>204</v>
      </c>
      <c r="M205" s="6" t="str">
        <f>CHAR(ROWS(M$2:M205))</f>
        <v>Ì</v>
      </c>
    </row>
    <row r="206" spans="12:13" x14ac:dyDescent="0.25">
      <c r="L206" s="6">
        <f t="shared" si="3"/>
        <v>205</v>
      </c>
      <c r="M206" s="6" t="str">
        <f>CHAR(ROWS(M$2:M206))</f>
        <v>Í</v>
      </c>
    </row>
    <row r="207" spans="12:13" x14ac:dyDescent="0.25">
      <c r="L207" s="6">
        <f t="shared" si="3"/>
        <v>206</v>
      </c>
      <c r="M207" s="6" t="str">
        <f>CHAR(ROWS(M$2:M207))</f>
        <v>Î</v>
      </c>
    </row>
    <row r="208" spans="12:13" x14ac:dyDescent="0.25">
      <c r="L208" s="6">
        <f t="shared" si="3"/>
        <v>207</v>
      </c>
      <c r="M208" s="6" t="str">
        <f>CHAR(ROWS(M$2:M208))</f>
        <v>Ï</v>
      </c>
    </row>
    <row r="209" spans="12:13" x14ac:dyDescent="0.25">
      <c r="L209" s="6">
        <f t="shared" si="3"/>
        <v>208</v>
      </c>
      <c r="M209" s="6" t="str">
        <f>CHAR(ROWS(M$2:M209))</f>
        <v>Ð</v>
      </c>
    </row>
    <row r="210" spans="12:13" x14ac:dyDescent="0.25">
      <c r="L210" s="6">
        <f t="shared" si="3"/>
        <v>209</v>
      </c>
      <c r="M210" s="6" t="str">
        <f>CHAR(ROWS(M$2:M210))</f>
        <v>Ñ</v>
      </c>
    </row>
    <row r="211" spans="12:13" x14ac:dyDescent="0.25">
      <c r="L211" s="6">
        <f t="shared" si="3"/>
        <v>210</v>
      </c>
      <c r="M211" s="6" t="str">
        <f>CHAR(ROWS(M$2:M211))</f>
        <v>Ò</v>
      </c>
    </row>
    <row r="212" spans="12:13" x14ac:dyDescent="0.25">
      <c r="L212" s="6">
        <f t="shared" si="3"/>
        <v>211</v>
      </c>
      <c r="M212" s="6" t="str">
        <f>CHAR(ROWS(M$2:M212))</f>
        <v>Ó</v>
      </c>
    </row>
    <row r="213" spans="12:13" x14ac:dyDescent="0.25">
      <c r="L213" s="6">
        <f t="shared" si="3"/>
        <v>212</v>
      </c>
      <c r="M213" s="6" t="str">
        <f>CHAR(ROWS(M$2:M213))</f>
        <v>Ô</v>
      </c>
    </row>
    <row r="214" spans="12:13" x14ac:dyDescent="0.25">
      <c r="L214" s="6">
        <f t="shared" si="3"/>
        <v>213</v>
      </c>
      <c r="M214" s="6" t="str">
        <f>CHAR(ROWS(M$2:M214))</f>
        <v>Õ</v>
      </c>
    </row>
    <row r="215" spans="12:13" x14ac:dyDescent="0.25">
      <c r="L215" s="6">
        <f t="shared" si="3"/>
        <v>214</v>
      </c>
      <c r="M215" s="6" t="str">
        <f>CHAR(ROWS(M$2:M215))</f>
        <v>Ö</v>
      </c>
    </row>
    <row r="216" spans="12:13" x14ac:dyDescent="0.25">
      <c r="L216" s="6">
        <f t="shared" si="3"/>
        <v>215</v>
      </c>
      <c r="M216" s="6" t="str">
        <f>CHAR(ROWS(M$2:M216))</f>
        <v>×</v>
      </c>
    </row>
    <row r="217" spans="12:13" x14ac:dyDescent="0.25">
      <c r="L217" s="6">
        <f t="shared" si="3"/>
        <v>216</v>
      </c>
      <c r="M217" s="6" t="str">
        <f>CHAR(ROWS(M$2:M217))</f>
        <v>Ø</v>
      </c>
    </row>
    <row r="218" spans="12:13" x14ac:dyDescent="0.25">
      <c r="L218" s="6">
        <f t="shared" si="3"/>
        <v>217</v>
      </c>
      <c r="M218" s="6" t="str">
        <f>CHAR(ROWS(M$2:M218))</f>
        <v>Ù</v>
      </c>
    </row>
    <row r="219" spans="12:13" x14ac:dyDescent="0.25">
      <c r="L219" s="6">
        <f t="shared" si="3"/>
        <v>218</v>
      </c>
      <c r="M219" s="6" t="str">
        <f>CHAR(ROWS(M$2:M219))</f>
        <v>Ú</v>
      </c>
    </row>
    <row r="220" spans="12:13" x14ac:dyDescent="0.25">
      <c r="L220" s="6">
        <f t="shared" si="3"/>
        <v>219</v>
      </c>
      <c r="M220" s="6" t="str">
        <f>CHAR(ROWS(M$2:M220))</f>
        <v>Û</v>
      </c>
    </row>
    <row r="221" spans="12:13" x14ac:dyDescent="0.25">
      <c r="L221" s="6">
        <f t="shared" si="3"/>
        <v>220</v>
      </c>
      <c r="M221" s="6" t="str">
        <f>CHAR(ROWS(M$2:M221))</f>
        <v>Ü</v>
      </c>
    </row>
    <row r="222" spans="12:13" x14ac:dyDescent="0.25">
      <c r="L222" s="6">
        <f t="shared" si="3"/>
        <v>221</v>
      </c>
      <c r="M222" s="6" t="str">
        <f>CHAR(ROWS(M$2:M222))</f>
        <v>Ý</v>
      </c>
    </row>
    <row r="223" spans="12:13" x14ac:dyDescent="0.25">
      <c r="L223" s="6">
        <f t="shared" si="3"/>
        <v>222</v>
      </c>
      <c r="M223" s="6" t="str">
        <f>CHAR(ROWS(M$2:M223))</f>
        <v>Þ</v>
      </c>
    </row>
    <row r="224" spans="12:13" x14ac:dyDescent="0.25">
      <c r="L224" s="6">
        <f t="shared" si="3"/>
        <v>223</v>
      </c>
      <c r="M224" s="6" t="str">
        <f>CHAR(ROWS(M$2:M224))</f>
        <v>ß</v>
      </c>
    </row>
    <row r="225" spans="12:13" x14ac:dyDescent="0.25">
      <c r="L225" s="6">
        <f t="shared" si="3"/>
        <v>224</v>
      </c>
      <c r="M225" s="6" t="str">
        <f>CHAR(ROWS(M$2:M225))</f>
        <v>à</v>
      </c>
    </row>
    <row r="226" spans="12:13" x14ac:dyDescent="0.25">
      <c r="L226" s="6">
        <f t="shared" si="3"/>
        <v>225</v>
      </c>
      <c r="M226" s="6" t="str">
        <f>CHAR(ROWS(M$2:M226))</f>
        <v>á</v>
      </c>
    </row>
    <row r="227" spans="12:13" x14ac:dyDescent="0.25">
      <c r="L227" s="6">
        <f t="shared" si="3"/>
        <v>226</v>
      </c>
      <c r="M227" s="6" t="str">
        <f>CHAR(ROWS(M$2:M227))</f>
        <v>â</v>
      </c>
    </row>
    <row r="228" spans="12:13" x14ac:dyDescent="0.25">
      <c r="L228" s="6">
        <f t="shared" si="3"/>
        <v>227</v>
      </c>
      <c r="M228" s="6" t="str">
        <f>CHAR(ROWS(M$2:M228))</f>
        <v>ã</v>
      </c>
    </row>
    <row r="229" spans="12:13" x14ac:dyDescent="0.25">
      <c r="L229" s="6">
        <f t="shared" si="3"/>
        <v>228</v>
      </c>
      <c r="M229" s="6" t="str">
        <f>CHAR(ROWS(M$2:M229))</f>
        <v>ä</v>
      </c>
    </row>
    <row r="230" spans="12:13" x14ac:dyDescent="0.25">
      <c r="L230" s="6">
        <f t="shared" si="3"/>
        <v>229</v>
      </c>
      <c r="M230" s="6" t="str">
        <f>CHAR(ROWS(M$2:M230))</f>
        <v>å</v>
      </c>
    </row>
    <row r="231" spans="12:13" x14ac:dyDescent="0.25">
      <c r="L231" s="6">
        <f t="shared" si="3"/>
        <v>230</v>
      </c>
      <c r="M231" s="6" t="str">
        <f>CHAR(ROWS(M$2:M231))</f>
        <v>æ</v>
      </c>
    </row>
    <row r="232" spans="12:13" x14ac:dyDescent="0.25">
      <c r="L232" s="6">
        <f t="shared" si="3"/>
        <v>231</v>
      </c>
      <c r="M232" s="6" t="str">
        <f>CHAR(ROWS(M$2:M232))</f>
        <v>ç</v>
      </c>
    </row>
    <row r="233" spans="12:13" x14ac:dyDescent="0.25">
      <c r="L233" s="6">
        <f t="shared" si="3"/>
        <v>232</v>
      </c>
      <c r="M233" s="6" t="str">
        <f>CHAR(ROWS(M$2:M233))</f>
        <v>è</v>
      </c>
    </row>
    <row r="234" spans="12:13" x14ac:dyDescent="0.25">
      <c r="L234" s="6">
        <f t="shared" si="3"/>
        <v>233</v>
      </c>
      <c r="M234" s="6" t="str">
        <f>CHAR(ROWS(M$2:M234))</f>
        <v>é</v>
      </c>
    </row>
    <row r="235" spans="12:13" x14ac:dyDescent="0.25">
      <c r="L235" s="6">
        <f t="shared" si="3"/>
        <v>234</v>
      </c>
      <c r="M235" s="6" t="str">
        <f>CHAR(ROWS(M$2:M235))</f>
        <v>ê</v>
      </c>
    </row>
    <row r="236" spans="12:13" x14ac:dyDescent="0.25">
      <c r="L236" s="6">
        <f t="shared" si="3"/>
        <v>235</v>
      </c>
      <c r="M236" s="6" t="str">
        <f>CHAR(ROWS(M$2:M236))</f>
        <v>ë</v>
      </c>
    </row>
    <row r="237" spans="12:13" x14ac:dyDescent="0.25">
      <c r="L237" s="6">
        <f t="shared" si="3"/>
        <v>236</v>
      </c>
      <c r="M237" s="6" t="str">
        <f>CHAR(ROWS(M$2:M237))</f>
        <v>ì</v>
      </c>
    </row>
    <row r="238" spans="12:13" x14ac:dyDescent="0.25">
      <c r="L238" s="6">
        <f t="shared" si="3"/>
        <v>237</v>
      </c>
      <c r="M238" s="6" t="str">
        <f>CHAR(ROWS(M$2:M238))</f>
        <v>í</v>
      </c>
    </row>
    <row r="239" spans="12:13" x14ac:dyDescent="0.25">
      <c r="L239" s="6">
        <f t="shared" si="3"/>
        <v>238</v>
      </c>
      <c r="M239" s="6" t="str">
        <f>CHAR(ROWS(M$2:M239))</f>
        <v>î</v>
      </c>
    </row>
    <row r="240" spans="12:13" x14ac:dyDescent="0.25">
      <c r="L240" s="6">
        <f t="shared" si="3"/>
        <v>239</v>
      </c>
      <c r="M240" s="6" t="str">
        <f>CHAR(ROWS(M$2:M240))</f>
        <v>ï</v>
      </c>
    </row>
    <row r="241" spans="12:13" x14ac:dyDescent="0.25">
      <c r="L241" s="6">
        <f t="shared" si="3"/>
        <v>240</v>
      </c>
      <c r="M241" s="6" t="str">
        <f>CHAR(ROWS(M$2:M241))</f>
        <v>ð</v>
      </c>
    </row>
    <row r="242" spans="12:13" x14ac:dyDescent="0.25">
      <c r="L242" s="6">
        <f t="shared" si="3"/>
        <v>241</v>
      </c>
      <c r="M242" s="6" t="str">
        <f>CHAR(ROWS(M$2:M242))</f>
        <v>ñ</v>
      </c>
    </row>
    <row r="243" spans="12:13" x14ac:dyDescent="0.25">
      <c r="L243" s="6">
        <f t="shared" si="3"/>
        <v>242</v>
      </c>
      <c r="M243" s="6" t="str">
        <f>CHAR(ROWS(M$2:M243))</f>
        <v>ò</v>
      </c>
    </row>
    <row r="244" spans="12:13" x14ac:dyDescent="0.25">
      <c r="L244" s="6">
        <f t="shared" si="3"/>
        <v>243</v>
      </c>
      <c r="M244" s="6" t="str">
        <f>CHAR(ROWS(M$2:M244))</f>
        <v>ó</v>
      </c>
    </row>
    <row r="245" spans="12:13" x14ac:dyDescent="0.25">
      <c r="L245" s="6">
        <f t="shared" si="3"/>
        <v>244</v>
      </c>
      <c r="M245" s="6" t="str">
        <f>CHAR(ROWS(M$2:M245))</f>
        <v>ô</v>
      </c>
    </row>
    <row r="246" spans="12:13" x14ac:dyDescent="0.25">
      <c r="L246" s="6">
        <f t="shared" si="3"/>
        <v>245</v>
      </c>
      <c r="M246" s="6" t="str">
        <f>CHAR(ROWS(M$2:M246))</f>
        <v>õ</v>
      </c>
    </row>
    <row r="247" spans="12:13" x14ac:dyDescent="0.25">
      <c r="L247" s="6">
        <f t="shared" si="3"/>
        <v>246</v>
      </c>
      <c r="M247" s="6" t="str">
        <f>CHAR(ROWS(M$2:M247))</f>
        <v>ö</v>
      </c>
    </row>
    <row r="248" spans="12:13" x14ac:dyDescent="0.25">
      <c r="L248" s="6">
        <f t="shared" si="3"/>
        <v>247</v>
      </c>
      <c r="M248" s="6" t="str">
        <f>CHAR(ROWS(M$2:M248))</f>
        <v>÷</v>
      </c>
    </row>
    <row r="249" spans="12:13" x14ac:dyDescent="0.25">
      <c r="L249" s="6">
        <f t="shared" si="3"/>
        <v>248</v>
      </c>
      <c r="M249" s="6" t="str">
        <f>CHAR(ROWS(M$2:M249))</f>
        <v>ø</v>
      </c>
    </row>
    <row r="250" spans="12:13" x14ac:dyDescent="0.25">
      <c r="L250" s="6">
        <f t="shared" si="3"/>
        <v>249</v>
      </c>
      <c r="M250" s="6" t="str">
        <f>CHAR(ROWS(M$2:M250))</f>
        <v>ù</v>
      </c>
    </row>
    <row r="251" spans="12:13" x14ac:dyDescent="0.25">
      <c r="L251" s="6">
        <f t="shared" si="3"/>
        <v>250</v>
      </c>
      <c r="M251" s="6" t="str">
        <f>CHAR(ROWS(M$2:M251))</f>
        <v>ú</v>
      </c>
    </row>
    <row r="252" spans="12:13" x14ac:dyDescent="0.25">
      <c r="L252" s="6">
        <f t="shared" si="3"/>
        <v>251</v>
      </c>
      <c r="M252" s="6" t="str">
        <f>CHAR(ROWS(M$2:M252))</f>
        <v>û</v>
      </c>
    </row>
    <row r="253" spans="12:13" x14ac:dyDescent="0.25">
      <c r="L253" s="6">
        <f t="shared" si="3"/>
        <v>252</v>
      </c>
      <c r="M253" s="6" t="str">
        <f>CHAR(ROWS(M$2:M253))</f>
        <v>ü</v>
      </c>
    </row>
    <row r="254" spans="12:13" x14ac:dyDescent="0.25">
      <c r="L254" s="6">
        <f t="shared" si="3"/>
        <v>253</v>
      </c>
      <c r="M254" s="6" t="str">
        <f>CHAR(ROWS(M$2:M254))</f>
        <v>ý</v>
      </c>
    </row>
    <row r="255" spans="12:13" x14ac:dyDescent="0.25">
      <c r="L255" s="6">
        <f t="shared" si="3"/>
        <v>254</v>
      </c>
      <c r="M255" s="6" t="str">
        <f>CHAR(ROWS(M$2:M255))</f>
        <v>þ</v>
      </c>
    </row>
    <row r="256" spans="12:13" x14ac:dyDescent="0.25">
      <c r="L256" s="6">
        <f t="shared" si="3"/>
        <v>255</v>
      </c>
      <c r="M256" s="6" t="str">
        <f>CHAR(ROWS(M$2:M256))</f>
        <v>ÿ</v>
      </c>
    </row>
    <row r="257" spans="12:13" x14ac:dyDescent="0.25">
      <c r="L257" s="6" t="e">
        <f t="shared" si="3"/>
        <v>#VALUE!</v>
      </c>
      <c r="M257" s="6" t="e">
        <f>CHAR(ROWS(M$2:M257))</f>
        <v>#VALUE!</v>
      </c>
    </row>
    <row r="258" spans="12:13" x14ac:dyDescent="0.25">
      <c r="L258" s="6" t="e">
        <f t="shared" si="3"/>
        <v>#VALUE!</v>
      </c>
      <c r="M258" s="6" t="e">
        <f>CHAR(ROWS(M$2:M258))</f>
        <v>#VALUE!</v>
      </c>
    </row>
    <row r="259" spans="12:13" x14ac:dyDescent="0.25">
      <c r="L259" s="6" t="e">
        <f t="shared" ref="L259:L275" si="4">CODE(M259)</f>
        <v>#VALUE!</v>
      </c>
      <c r="M259" s="6" t="e">
        <f>CHAR(ROWS(M$2:M259))</f>
        <v>#VALUE!</v>
      </c>
    </row>
    <row r="260" spans="12:13" x14ac:dyDescent="0.25">
      <c r="L260" s="6" t="e">
        <f t="shared" si="4"/>
        <v>#VALUE!</v>
      </c>
      <c r="M260" s="6" t="e">
        <f>CHAR(ROWS(M$2:M260))</f>
        <v>#VALUE!</v>
      </c>
    </row>
    <row r="261" spans="12:13" x14ac:dyDescent="0.25">
      <c r="L261" s="6" t="e">
        <f t="shared" si="4"/>
        <v>#VALUE!</v>
      </c>
      <c r="M261" s="6" t="e">
        <f>CHAR(ROWS(M$2:M261))</f>
        <v>#VALUE!</v>
      </c>
    </row>
    <row r="262" spans="12:13" x14ac:dyDescent="0.25">
      <c r="L262" s="6" t="e">
        <f t="shared" si="4"/>
        <v>#VALUE!</v>
      </c>
      <c r="M262" s="6" t="e">
        <f>CHAR(ROWS(M$2:M262))</f>
        <v>#VALUE!</v>
      </c>
    </row>
    <row r="263" spans="12:13" x14ac:dyDescent="0.25">
      <c r="L263" s="6" t="e">
        <f t="shared" si="4"/>
        <v>#VALUE!</v>
      </c>
      <c r="M263" s="6" t="e">
        <f>CHAR(ROWS(M$2:M263))</f>
        <v>#VALUE!</v>
      </c>
    </row>
    <row r="264" spans="12:13" x14ac:dyDescent="0.25">
      <c r="L264" s="6" t="e">
        <f t="shared" si="4"/>
        <v>#VALUE!</v>
      </c>
      <c r="M264" s="6" t="e">
        <f>CHAR(ROWS(M$2:M264))</f>
        <v>#VALUE!</v>
      </c>
    </row>
    <row r="265" spans="12:13" x14ac:dyDescent="0.25">
      <c r="L265" s="6" t="e">
        <f t="shared" si="4"/>
        <v>#VALUE!</v>
      </c>
      <c r="M265" s="6" t="e">
        <f>CHAR(ROWS(M$2:M265))</f>
        <v>#VALUE!</v>
      </c>
    </row>
    <row r="266" spans="12:13" x14ac:dyDescent="0.25">
      <c r="L266" s="6" t="e">
        <f t="shared" si="4"/>
        <v>#VALUE!</v>
      </c>
      <c r="M266" s="6" t="e">
        <f>CHAR(ROWS(M$2:M266))</f>
        <v>#VALUE!</v>
      </c>
    </row>
    <row r="267" spans="12:13" x14ac:dyDescent="0.25">
      <c r="L267" s="6" t="e">
        <f t="shared" si="4"/>
        <v>#VALUE!</v>
      </c>
      <c r="M267" s="6" t="e">
        <f>CHAR(ROWS(M$2:M267))</f>
        <v>#VALUE!</v>
      </c>
    </row>
    <row r="268" spans="12:13" x14ac:dyDescent="0.25">
      <c r="L268" s="6" t="e">
        <f t="shared" si="4"/>
        <v>#VALUE!</v>
      </c>
      <c r="M268" s="6" t="e">
        <f>CHAR(ROWS(M$2:M268))</f>
        <v>#VALUE!</v>
      </c>
    </row>
    <row r="269" spans="12:13" x14ac:dyDescent="0.25">
      <c r="L269" s="6" t="e">
        <f t="shared" si="4"/>
        <v>#VALUE!</v>
      </c>
      <c r="M269" s="6" t="e">
        <f>CHAR(ROWS(M$2:M269))</f>
        <v>#VALUE!</v>
      </c>
    </row>
    <row r="270" spans="12:13" x14ac:dyDescent="0.25">
      <c r="L270" s="6" t="e">
        <f t="shared" si="4"/>
        <v>#VALUE!</v>
      </c>
      <c r="M270" s="6" t="e">
        <f>CHAR(ROWS(M$2:M270))</f>
        <v>#VALUE!</v>
      </c>
    </row>
    <row r="271" spans="12:13" x14ac:dyDescent="0.25">
      <c r="L271" s="6" t="e">
        <f t="shared" si="4"/>
        <v>#VALUE!</v>
      </c>
      <c r="M271" s="6" t="e">
        <f>CHAR(ROWS(M$2:M271))</f>
        <v>#VALUE!</v>
      </c>
    </row>
    <row r="272" spans="12:13" x14ac:dyDescent="0.25">
      <c r="L272" s="6" t="e">
        <f t="shared" si="4"/>
        <v>#VALUE!</v>
      </c>
      <c r="M272" s="6" t="e">
        <f>CHAR(ROWS(M$2:M272))</f>
        <v>#VALUE!</v>
      </c>
    </row>
    <row r="273" spans="12:13" x14ac:dyDescent="0.25">
      <c r="L273" s="6" t="e">
        <f t="shared" si="4"/>
        <v>#VALUE!</v>
      </c>
      <c r="M273" s="6" t="e">
        <f>CHAR(ROWS(M$2:M273))</f>
        <v>#VALUE!</v>
      </c>
    </row>
    <row r="274" spans="12:13" x14ac:dyDescent="0.25">
      <c r="L274" s="6" t="e">
        <f t="shared" si="4"/>
        <v>#VALUE!</v>
      </c>
      <c r="M274" s="6" t="e">
        <f>CHAR(ROWS(M$2:M274))</f>
        <v>#VALUE!</v>
      </c>
    </row>
    <row r="275" spans="12:13" x14ac:dyDescent="0.25">
      <c r="L275" s="6" t="e">
        <f t="shared" si="4"/>
        <v>#VALUE!</v>
      </c>
      <c r="M275" s="6" t="e">
        <f>CHAR(ROWS(M$2:M275))</f>
        <v>#VALUE!</v>
      </c>
    </row>
  </sheetData>
  <pageMargins left="0.7" right="0.7" top="0.75" bottom="0.75" header="0.3" footer="0.3"/>
</worksheet>
</file>

<file path=xl/worksheets/sheet2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9">
    <tabColor rgb="FF0000FF"/>
  </sheetPr>
  <dimension ref="A1:G15"/>
  <sheetViews>
    <sheetView zoomScale="205" zoomScaleNormal="205" workbookViewId="0">
      <selection activeCell="E3" sqref="E3"/>
    </sheetView>
  </sheetViews>
  <sheetFormatPr defaultRowHeight="15" x14ac:dyDescent="0.25"/>
  <cols>
    <col min="1" max="1" width="13.7109375" customWidth="1"/>
    <col min="2" max="2" width="1.42578125" customWidth="1"/>
    <col min="3" max="3" width="12.42578125" customWidth="1"/>
    <col min="4" max="4" width="2" customWidth="1"/>
    <col min="5" max="5" width="35.28515625" customWidth="1"/>
    <col min="6" max="6" width="2" customWidth="1"/>
    <col min="7" max="7" width="15.42578125" customWidth="1"/>
    <col min="8" max="8" width="15.85546875" customWidth="1"/>
    <col min="9" max="10" width="12.42578125" customWidth="1"/>
  </cols>
  <sheetData>
    <row r="1" spans="1:7" x14ac:dyDescent="0.25">
      <c r="A1" s="8" t="s">
        <v>548</v>
      </c>
      <c r="C1" s="8" t="s">
        <v>548</v>
      </c>
      <c r="G1" s="8" t="s">
        <v>548</v>
      </c>
    </row>
    <row r="2" spans="1:7" x14ac:dyDescent="0.25">
      <c r="A2" s="5">
        <v>54678</v>
      </c>
      <c r="C2" s="5">
        <v>54678</v>
      </c>
      <c r="E2" s="227" t="s">
        <v>1048</v>
      </c>
      <c r="G2" s="6">
        <v>54678</v>
      </c>
    </row>
    <row r="3" spans="1:7" x14ac:dyDescent="0.25">
      <c r="A3" s="5" t="s">
        <v>1042</v>
      </c>
      <c r="C3" s="5" t="s">
        <v>1042</v>
      </c>
      <c r="G3" s="6" t="s">
        <v>1043</v>
      </c>
    </row>
    <row r="4" spans="1:7" x14ac:dyDescent="0.25">
      <c r="A4" s="5">
        <f>A2</f>
        <v>54678</v>
      </c>
      <c r="C4" s="5">
        <v>54678</v>
      </c>
      <c r="G4" s="6" t="s">
        <v>1042</v>
      </c>
    </row>
    <row r="5" spans="1:7" x14ac:dyDescent="0.25">
      <c r="A5" s="5" t="s">
        <v>1043</v>
      </c>
      <c r="C5" s="5" t="s">
        <v>1043</v>
      </c>
      <c r="G5" s="6"/>
    </row>
    <row r="7" spans="1:7" x14ac:dyDescent="0.25">
      <c r="A7" s="8" t="s">
        <v>986</v>
      </c>
    </row>
    <row r="8" spans="1:7" x14ac:dyDescent="0.25">
      <c r="A8" s="6">
        <f t="array" ref="A8">SUM(IF(FREQUENCY(IF(A2:A5&lt;&gt;"",MATCH(A2:A5,A2:A5,0)),ROW(A2:A5)-ROW(A2)+1),1))</f>
        <v>3</v>
      </c>
      <c r="B8" t="s">
        <v>1049</v>
      </c>
    </row>
    <row r="10" spans="1:7" x14ac:dyDescent="0.25">
      <c r="A10" s="8" t="s">
        <v>1044</v>
      </c>
    </row>
    <row r="11" spans="1:7" x14ac:dyDescent="0.25">
      <c r="A11" s="6">
        <f t="array" ref="A11">IF(ROWS(A$11:A11)&gt;A$8,"",INDEX($A$2:$A$5,MATCH(MIN(IF($A$2:$A$5&lt;&gt;"",IF(ISNA(MATCH($A$2:$A$5,A$10:A10,0)),MMULT(--(IF($A$2:$A$5&lt;&gt;"",$A$2:$A$5)&gt;TRANSPOSE(IF($A$2:$A$5&lt;&gt;"",$A$2:$A$5))),ROW($A$2:$A$5)^0)))),MMULT(--(IF($A$2:$A$5&lt;&gt;"",$A$2:$A$5)&gt;TRANSPOSE(IF($A$2:$A$5&lt;&gt;"",$A$2:$A$5))),ROW($A$2:$A$5)^0),0)))</f>
        <v>54678</v>
      </c>
    </row>
    <row r="12" spans="1:7" x14ac:dyDescent="0.25">
      <c r="A12" s="6" t="str">
        <f t="array" ref="A12">IF(ROWS(A$11:A12)&gt;A$8,"",INDEX($A$2:$A$5,MATCH(MIN(IF($A$2:$A$5&lt;&gt;"",IF(ISNA(MATCH($A$2:$A$5,A$10:A11,0)),MMULT(--(IF($A$2:$A$5&lt;&gt;"",$A$2:$A$5)&gt;TRANSPOSE(IF($A$2:$A$5&lt;&gt;"",$A$2:$A$5))),ROW($A$2:$A$5)^0)))),MMULT(--(IF($A$2:$A$5&lt;&gt;"",$A$2:$A$5)&gt;TRANSPOSE(IF($A$2:$A$5&lt;&gt;"",$A$2:$A$5))),ROW($A$2:$A$5)^0),0)))</f>
        <v>P-Tru-5423</v>
      </c>
    </row>
    <row r="13" spans="1:7" x14ac:dyDescent="0.25">
      <c r="A13" s="6" t="str">
        <f t="array" ref="A13">IF(ROWS(A$11:A13)&gt;A$8,"",INDEX($A$2:$A$5,MATCH(MIN(IF($A$2:$A$5&lt;&gt;"",IF(ISNA(MATCH($A$2:$A$5,A$10:A12,0)),MMULT(--(IF($A$2:$A$5&lt;&gt;"",$A$2:$A$5)&gt;TRANSPOSE(IF($A$2:$A$5&lt;&gt;"",$A$2:$A$5))),ROW($A$2:$A$5)^0)))),MMULT(--(IF($A$2:$A$5&lt;&gt;"",$A$2:$A$5)&gt;TRANSPOSE(IF($A$2:$A$5&lt;&gt;"",$A$2:$A$5))),ROW($A$2:$A$5)^0),0)))</f>
        <v>SD-987-56</v>
      </c>
    </row>
    <row r="14" spans="1:7" x14ac:dyDescent="0.25">
      <c r="A14" s="6" t="str">
        <f t="array" ref="A14">IF(ROWS(A$11:A14)&gt;A$8,"",INDEX($A$2:$A$5,MATCH(MIN(IF($A$2:$A$5&lt;&gt;"",IF(ISNA(MATCH($A$2:$A$5,A$10:A13,0)),MMULT(--(IF($A$2:$A$5&lt;&gt;"",$A$2:$A$5)&gt;TRANSPOSE(IF($A$2:$A$5&lt;&gt;"",$A$2:$A$5))),ROW($A$2:$A$5)^0)))),MMULT(--(IF($A$2:$A$5&lt;&gt;"",$A$2:$A$5)&gt;TRANSPOSE(IF($A$2:$A$5&lt;&gt;"",$A$2:$A$5))),ROW($A$2:$A$5)^0),0)))</f>
        <v/>
      </c>
    </row>
    <row r="15" spans="1:7" x14ac:dyDescent="0.25">
      <c r="A15" s="6" t="str">
        <f t="array" ref="A15">IF(ROWS(A$11:A15)&gt;A$8,"",INDEX($A$2:$A$5,MATCH(MIN(IF($A$2:$A$5&lt;&gt;"",IF(ISNA(MATCH($A$2:$A$5,A$10:A14,0)),MMULT(--(IF($A$2:$A$5&lt;&gt;"",$A$2:$A$5)&gt;TRANSPOSE(IF($A$2:$A$5&lt;&gt;"",$A$2:$A$5))),ROW($A$2:$A$5)^0)))),MMULT(--(IF($A$2:$A$5&lt;&gt;"",$A$2:$A$5)&gt;TRANSPOSE(IF($A$2:$A$5&lt;&gt;"",$A$2:$A$5))),ROW($A$2:$A$5)^0),0)))</f>
        <v/>
      </c>
    </row>
  </sheetData>
  <sortState ref="G2:G5">
    <sortCondition ref="G2"/>
  </sortState>
  <pageMargins left="0.7" right="0.7" top="0.75" bottom="0.75" header="0.3" footer="0.3"/>
</worksheet>
</file>

<file path=xl/worksheets/sheet2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8">
    <tabColor rgb="FFFFFF00"/>
  </sheetPr>
  <dimension ref="A1:W256"/>
  <sheetViews>
    <sheetView showGridLines="0" zoomScale="115" zoomScaleNormal="115" workbookViewId="0">
      <selection activeCell="E3" sqref="E3"/>
    </sheetView>
  </sheetViews>
  <sheetFormatPr defaultRowHeight="15" x14ac:dyDescent="0.25"/>
  <cols>
    <col min="4" max="5" width="6" customWidth="1"/>
    <col min="6" max="6" width="1" customWidth="1"/>
    <col min="7" max="8" width="6" customWidth="1"/>
    <col min="9" max="9" width="1" customWidth="1"/>
    <col min="10" max="11" width="6" customWidth="1"/>
    <col min="12" max="12" width="1" customWidth="1"/>
    <col min="13" max="14" width="6" customWidth="1"/>
    <col min="15" max="15" width="1" customWidth="1"/>
    <col min="16" max="17" width="6" customWidth="1"/>
    <col min="19" max="19" width="13.42578125" bestFit="1" customWidth="1"/>
    <col min="20" max="20" width="14.28515625" bestFit="1" customWidth="1"/>
    <col min="21" max="21" width="1.85546875" customWidth="1"/>
    <col min="22" max="22" width="13.42578125" customWidth="1"/>
    <col min="23" max="23" width="14.28515625" customWidth="1"/>
  </cols>
  <sheetData>
    <row r="1" spans="1:23" x14ac:dyDescent="0.25">
      <c r="A1" s="6">
        <f>CODE(B1)</f>
        <v>1</v>
      </c>
      <c r="B1" s="6" t="str">
        <f>CHAR(ROW())</f>
        <v>_x0001_</v>
      </c>
      <c r="D1" s="8" t="s">
        <v>119</v>
      </c>
      <c r="E1" s="8" t="s">
        <v>1036</v>
      </c>
      <c r="F1" s="50"/>
      <c r="G1" s="8" t="s">
        <v>119</v>
      </c>
      <c r="H1" s="8" t="s">
        <v>1036</v>
      </c>
      <c r="I1" s="50"/>
      <c r="J1" s="8" t="s">
        <v>119</v>
      </c>
      <c r="K1" s="8" t="s">
        <v>1036</v>
      </c>
      <c r="L1" s="50"/>
      <c r="M1" s="8" t="s">
        <v>119</v>
      </c>
      <c r="N1" s="8" t="s">
        <v>1036</v>
      </c>
      <c r="O1" s="50"/>
      <c r="P1" s="8" t="s">
        <v>119</v>
      </c>
      <c r="Q1" s="8" t="s">
        <v>1036</v>
      </c>
    </row>
    <row r="2" spans="1:23" x14ac:dyDescent="0.25">
      <c r="A2" s="6">
        <f t="shared" ref="A2:A65" si="0">CODE(B2)</f>
        <v>2</v>
      </c>
      <c r="B2" s="6" t="str">
        <f t="shared" ref="B2:B65" si="1">CHAR(ROW())</f>
        <v>_x0002_</v>
      </c>
      <c r="D2" s="14">
        <v>1</v>
      </c>
      <c r="E2" s="14" t="s">
        <v>1050</v>
      </c>
      <c r="F2" s="32"/>
      <c r="G2" s="14">
        <v>52</v>
      </c>
      <c r="H2" s="14" t="s">
        <v>1101</v>
      </c>
      <c r="I2" s="32"/>
      <c r="J2" s="14">
        <v>103</v>
      </c>
      <c r="K2" s="14" t="s">
        <v>1144</v>
      </c>
      <c r="L2" s="32"/>
      <c r="M2" s="14">
        <v>154</v>
      </c>
      <c r="N2" s="14" t="s">
        <v>1194</v>
      </c>
      <c r="O2" s="32"/>
      <c r="P2" s="14">
        <v>205</v>
      </c>
      <c r="Q2" s="14" t="s">
        <v>1245</v>
      </c>
      <c r="S2" s="28" t="s">
        <v>1295</v>
      </c>
      <c r="T2" s="28" t="s">
        <v>1296</v>
      </c>
      <c r="V2" s="28" t="s">
        <v>1295</v>
      </c>
      <c r="W2" s="28" t="s">
        <v>1296</v>
      </c>
    </row>
    <row r="3" spans="1:23" x14ac:dyDescent="0.25">
      <c r="A3" s="6">
        <f t="shared" si="0"/>
        <v>3</v>
      </c>
      <c r="B3" s="6" t="str">
        <f t="shared" si="1"/>
        <v>_x0003_</v>
      </c>
      <c r="D3" s="14">
        <v>2</v>
      </c>
      <c r="E3" s="14" t="s">
        <v>1051</v>
      </c>
      <c r="F3" s="32"/>
      <c r="G3" s="14">
        <v>53</v>
      </c>
      <c r="H3" s="14" t="s">
        <v>1102</v>
      </c>
      <c r="I3" s="32"/>
      <c r="J3" s="14">
        <v>104</v>
      </c>
      <c r="K3" s="14" t="s">
        <v>1145</v>
      </c>
      <c r="L3" s="32"/>
      <c r="M3" s="14">
        <v>155</v>
      </c>
      <c r="N3" s="14" t="s">
        <v>1195</v>
      </c>
      <c r="O3" s="32"/>
      <c r="P3" s="14">
        <v>206</v>
      </c>
      <c r="Q3" s="14" t="s">
        <v>1246</v>
      </c>
      <c r="S3" s="5">
        <f>CODE(T3)</f>
        <v>45</v>
      </c>
      <c r="T3" s="5" t="s">
        <v>1094</v>
      </c>
      <c r="V3" s="5">
        <f t="shared" ref="V3:V14" si="2">CODE(W3)</f>
        <v>65</v>
      </c>
      <c r="W3" s="5" t="s">
        <v>904</v>
      </c>
    </row>
    <row r="4" spans="1:23" x14ac:dyDescent="0.25">
      <c r="A4" s="6">
        <f t="shared" si="0"/>
        <v>4</v>
      </c>
      <c r="B4" s="6" t="str">
        <f t="shared" si="1"/>
        <v>_x0004_</v>
      </c>
      <c r="D4" s="14">
        <v>3</v>
      </c>
      <c r="E4" s="14" t="s">
        <v>1052</v>
      </c>
      <c r="F4" s="32"/>
      <c r="G4" s="14">
        <v>54</v>
      </c>
      <c r="H4" s="14" t="s">
        <v>1103</v>
      </c>
      <c r="I4" s="32"/>
      <c r="J4" s="14">
        <v>105</v>
      </c>
      <c r="K4" s="14" t="s">
        <v>1146</v>
      </c>
      <c r="L4" s="32"/>
      <c r="M4" s="14">
        <v>156</v>
      </c>
      <c r="N4" s="14" t="s">
        <v>1196</v>
      </c>
      <c r="O4" s="32"/>
      <c r="P4" s="14">
        <v>207</v>
      </c>
      <c r="Q4" s="14" t="s">
        <v>1247</v>
      </c>
      <c r="S4" s="5">
        <f>CODE(T4)</f>
        <v>47</v>
      </c>
      <c r="T4" s="5" t="s">
        <v>1096</v>
      </c>
      <c r="V4" s="5">
        <f t="shared" si="2"/>
        <v>66</v>
      </c>
      <c r="W4" s="5" t="s">
        <v>1035</v>
      </c>
    </row>
    <row r="5" spans="1:23" x14ac:dyDescent="0.25">
      <c r="A5" s="6">
        <f t="shared" si="0"/>
        <v>5</v>
      </c>
      <c r="B5" s="6" t="str">
        <f t="shared" si="1"/>
        <v>_x0005_</v>
      </c>
      <c r="D5" s="14">
        <v>4</v>
      </c>
      <c r="E5" s="14" t="s">
        <v>1053</v>
      </c>
      <c r="F5" s="32"/>
      <c r="G5" s="14">
        <v>55</v>
      </c>
      <c r="H5" s="14" t="s">
        <v>1104</v>
      </c>
      <c r="I5" s="32"/>
      <c r="J5" s="14">
        <v>106</v>
      </c>
      <c r="K5" s="14" t="s">
        <v>1147</v>
      </c>
      <c r="L5" s="32"/>
      <c r="M5" s="14">
        <v>157</v>
      </c>
      <c r="N5" s="14" t="s">
        <v>1197</v>
      </c>
      <c r="O5" s="32"/>
      <c r="P5" s="14">
        <v>208</v>
      </c>
      <c r="Q5" s="14" t="s">
        <v>1248</v>
      </c>
      <c r="S5" s="5">
        <f t="shared" ref="S5:S14" si="3">CODE(T5)</f>
        <v>48</v>
      </c>
      <c r="T5" s="5">
        <v>0</v>
      </c>
      <c r="V5" s="5">
        <f t="shared" si="2"/>
        <v>67</v>
      </c>
      <c r="W5" s="5" t="s">
        <v>874</v>
      </c>
    </row>
    <row r="6" spans="1:23" x14ac:dyDescent="0.25">
      <c r="A6" s="6">
        <f t="shared" si="0"/>
        <v>6</v>
      </c>
      <c r="B6" s="6" t="str">
        <f t="shared" si="1"/>
        <v>_x0006_</v>
      </c>
      <c r="D6" s="14">
        <v>5</v>
      </c>
      <c r="E6" s="14" t="s">
        <v>1054</v>
      </c>
      <c r="F6" s="32"/>
      <c r="G6" s="14">
        <v>56</v>
      </c>
      <c r="H6" s="14" t="s">
        <v>1105</v>
      </c>
      <c r="I6" s="32"/>
      <c r="J6" s="14">
        <v>107</v>
      </c>
      <c r="K6" s="14" t="s">
        <v>1148</v>
      </c>
      <c r="L6" s="32"/>
      <c r="M6" s="14">
        <v>158</v>
      </c>
      <c r="N6" s="14" t="s">
        <v>1198</v>
      </c>
      <c r="O6" s="32"/>
      <c r="P6" s="14">
        <v>209</v>
      </c>
      <c r="Q6" s="14" t="s">
        <v>1249</v>
      </c>
      <c r="S6" s="5">
        <f t="shared" si="3"/>
        <v>49</v>
      </c>
      <c r="T6" s="5">
        <v>1</v>
      </c>
      <c r="V6" s="5">
        <f t="shared" si="2"/>
        <v>83</v>
      </c>
      <c r="W6" s="14" t="s">
        <v>1124</v>
      </c>
    </row>
    <row r="7" spans="1:23" x14ac:dyDescent="0.25">
      <c r="A7" s="6">
        <f t="shared" si="0"/>
        <v>7</v>
      </c>
      <c r="B7" s="6" t="str">
        <f t="shared" si="1"/>
        <v>_x0007_</v>
      </c>
      <c r="D7" s="14">
        <v>6</v>
      </c>
      <c r="E7" s="14" t="s">
        <v>1055</v>
      </c>
      <c r="F7" s="32"/>
      <c r="G7" s="14">
        <v>57</v>
      </c>
      <c r="H7" s="14" t="s">
        <v>1106</v>
      </c>
      <c r="I7" s="32"/>
      <c r="J7" s="14">
        <v>108</v>
      </c>
      <c r="K7" s="14" t="s">
        <v>1149</v>
      </c>
      <c r="L7" s="32"/>
      <c r="M7" s="14">
        <v>159</v>
      </c>
      <c r="N7" s="14" t="s">
        <v>1199</v>
      </c>
      <c r="O7" s="32"/>
      <c r="P7" s="14">
        <v>210</v>
      </c>
      <c r="Q7" s="14" t="s">
        <v>1250</v>
      </c>
      <c r="S7" s="5">
        <f t="shared" si="3"/>
        <v>50</v>
      </c>
      <c r="T7" s="5">
        <v>2</v>
      </c>
      <c r="V7" s="5">
        <f t="shared" si="2"/>
        <v>84</v>
      </c>
      <c r="W7" s="14" t="s">
        <v>1125</v>
      </c>
    </row>
    <row r="8" spans="1:23" x14ac:dyDescent="0.25">
      <c r="A8" s="6">
        <f t="shared" si="0"/>
        <v>8</v>
      </c>
      <c r="B8" s="6" t="str">
        <f t="shared" si="1"/>
        <v>_x0008_</v>
      </c>
      <c r="D8" s="14">
        <v>7</v>
      </c>
      <c r="E8" s="14" t="s">
        <v>1056</v>
      </c>
      <c r="F8" s="32"/>
      <c r="G8" s="14">
        <v>58</v>
      </c>
      <c r="H8" s="14" t="s">
        <v>1107</v>
      </c>
      <c r="I8" s="32"/>
      <c r="J8" s="14">
        <v>109</v>
      </c>
      <c r="K8" s="14" t="s">
        <v>1150</v>
      </c>
      <c r="L8" s="32"/>
      <c r="M8" s="14">
        <v>160</v>
      </c>
      <c r="N8" s="14" t="s">
        <v>1200</v>
      </c>
      <c r="O8" s="32"/>
      <c r="P8" s="14">
        <v>211</v>
      </c>
      <c r="Q8" s="14" t="s">
        <v>1251</v>
      </c>
      <c r="S8" s="5">
        <f t="shared" si="3"/>
        <v>51</v>
      </c>
      <c r="T8" s="5">
        <v>3</v>
      </c>
      <c r="V8" s="5">
        <f t="shared" si="2"/>
        <v>85</v>
      </c>
      <c r="W8" s="14" t="s">
        <v>1126</v>
      </c>
    </row>
    <row r="9" spans="1:23" x14ac:dyDescent="0.25">
      <c r="A9" s="6">
        <f t="shared" si="0"/>
        <v>9</v>
      </c>
      <c r="B9" s="6" t="str">
        <f t="shared" si="1"/>
        <v xml:space="preserve">	</v>
      </c>
      <c r="D9" s="14">
        <v>8</v>
      </c>
      <c r="E9" s="14" t="s">
        <v>1057</v>
      </c>
      <c r="F9" s="32"/>
      <c r="G9" s="14">
        <v>59</v>
      </c>
      <c r="H9" s="14" t="s">
        <v>1108</v>
      </c>
      <c r="I9" s="32"/>
      <c r="J9" s="14">
        <v>110</v>
      </c>
      <c r="K9" s="14" t="s">
        <v>1151</v>
      </c>
      <c r="L9" s="32"/>
      <c r="M9" s="14">
        <v>161</v>
      </c>
      <c r="N9" s="14" t="s">
        <v>1201</v>
      </c>
      <c r="O9" s="32"/>
      <c r="P9" s="14">
        <v>212</v>
      </c>
      <c r="Q9" s="14" t="s">
        <v>1252</v>
      </c>
      <c r="S9" s="5">
        <f t="shared" si="3"/>
        <v>52</v>
      </c>
      <c r="T9" s="5">
        <v>4</v>
      </c>
      <c r="V9" s="5">
        <f t="shared" si="2"/>
        <v>97</v>
      </c>
      <c r="W9" s="14" t="s">
        <v>1138</v>
      </c>
    </row>
    <row r="10" spans="1:23" x14ac:dyDescent="0.25">
      <c r="A10" s="6">
        <f t="shared" si="0"/>
        <v>10</v>
      </c>
      <c r="B10" s="6" t="str">
        <f t="shared" si="1"/>
        <v xml:space="preserve">
</v>
      </c>
      <c r="D10" s="14">
        <v>9</v>
      </c>
      <c r="E10" s="14" t="s">
        <v>1058</v>
      </c>
      <c r="F10" s="32"/>
      <c r="G10" s="14">
        <v>60</v>
      </c>
      <c r="H10" s="14" t="s">
        <v>1109</v>
      </c>
      <c r="I10" s="32"/>
      <c r="J10" s="14">
        <v>111</v>
      </c>
      <c r="K10" s="14" t="s">
        <v>1152</v>
      </c>
      <c r="L10" s="32"/>
      <c r="M10" s="14">
        <v>162</v>
      </c>
      <c r="N10" s="14" t="s">
        <v>1202</v>
      </c>
      <c r="O10" s="32"/>
      <c r="P10" s="14">
        <v>213</v>
      </c>
      <c r="Q10" s="14" t="s">
        <v>1253</v>
      </c>
      <c r="S10" s="5">
        <f t="shared" si="3"/>
        <v>53</v>
      </c>
      <c r="T10" s="5">
        <v>5</v>
      </c>
      <c r="V10" s="5">
        <f t="shared" si="2"/>
        <v>98</v>
      </c>
      <c r="W10" s="14" t="s">
        <v>1139</v>
      </c>
    </row>
    <row r="11" spans="1:23" x14ac:dyDescent="0.25">
      <c r="A11" s="6">
        <f t="shared" si="0"/>
        <v>11</v>
      </c>
      <c r="B11" s="6" t="str">
        <f t="shared" si="1"/>
        <v>_x000B_</v>
      </c>
      <c r="D11" s="14">
        <v>10</v>
      </c>
      <c r="E11" s="14" t="s">
        <v>1059</v>
      </c>
      <c r="F11" s="32"/>
      <c r="G11" s="14">
        <v>61</v>
      </c>
      <c r="H11" s="14" t="s">
        <v>934</v>
      </c>
      <c r="I11" s="32"/>
      <c r="J11" s="14">
        <v>112</v>
      </c>
      <c r="K11" s="14" t="s">
        <v>1153</v>
      </c>
      <c r="L11" s="32"/>
      <c r="M11" s="14">
        <v>163</v>
      </c>
      <c r="N11" s="14" t="s">
        <v>1203</v>
      </c>
      <c r="O11" s="32"/>
      <c r="P11" s="14">
        <v>214</v>
      </c>
      <c r="Q11" s="14" t="s">
        <v>1254</v>
      </c>
      <c r="S11" s="5">
        <f t="shared" si="3"/>
        <v>54</v>
      </c>
      <c r="T11" s="5">
        <v>6</v>
      </c>
      <c r="V11" s="5">
        <f t="shared" si="2"/>
        <v>99</v>
      </c>
      <c r="W11" s="14" t="s">
        <v>1140</v>
      </c>
    </row>
    <row r="12" spans="1:23" x14ac:dyDescent="0.25">
      <c r="A12" s="6">
        <f t="shared" si="0"/>
        <v>12</v>
      </c>
      <c r="B12" s="6" t="str">
        <f t="shared" si="1"/>
        <v>_x000C_</v>
      </c>
      <c r="D12" s="14">
        <v>11</v>
      </c>
      <c r="E12" s="14" t="s">
        <v>1060</v>
      </c>
      <c r="F12" s="32"/>
      <c r="G12" s="14">
        <v>62</v>
      </c>
      <c r="H12" s="14" t="s">
        <v>1110</v>
      </c>
      <c r="I12" s="32"/>
      <c r="J12" s="14">
        <v>113</v>
      </c>
      <c r="K12" s="14" t="s">
        <v>1154</v>
      </c>
      <c r="L12" s="32"/>
      <c r="M12" s="14">
        <v>164</v>
      </c>
      <c r="N12" s="14" t="s">
        <v>1204</v>
      </c>
      <c r="O12" s="32"/>
      <c r="P12" s="14">
        <v>215</v>
      </c>
      <c r="Q12" s="14" t="s">
        <v>1255</v>
      </c>
      <c r="S12" s="5">
        <f t="shared" si="3"/>
        <v>55</v>
      </c>
      <c r="T12" s="5">
        <v>7</v>
      </c>
      <c r="V12" s="5">
        <f t="shared" si="2"/>
        <v>100</v>
      </c>
      <c r="W12" s="14" t="s">
        <v>1141</v>
      </c>
    </row>
    <row r="13" spans="1:23" x14ac:dyDescent="0.25">
      <c r="A13" s="6">
        <f t="shared" si="0"/>
        <v>13</v>
      </c>
      <c r="B13" s="6" t="str">
        <f t="shared" si="1"/>
        <v>_x000D_</v>
      </c>
      <c r="D13" s="14">
        <v>12</v>
      </c>
      <c r="E13" s="14" t="s">
        <v>1061</v>
      </c>
      <c r="F13" s="32"/>
      <c r="G13" s="14">
        <v>63</v>
      </c>
      <c r="H13" s="14" t="s">
        <v>960</v>
      </c>
      <c r="I13" s="32"/>
      <c r="J13" s="14">
        <v>114</v>
      </c>
      <c r="K13" s="14" t="s">
        <v>1155</v>
      </c>
      <c r="L13" s="32"/>
      <c r="M13" s="14">
        <v>165</v>
      </c>
      <c r="N13" s="14" t="s">
        <v>1205</v>
      </c>
      <c r="O13" s="32"/>
      <c r="P13" s="14">
        <v>216</v>
      </c>
      <c r="Q13" s="14" t="s">
        <v>1256</v>
      </c>
      <c r="S13" s="5">
        <f t="shared" si="3"/>
        <v>56</v>
      </c>
      <c r="T13" s="5">
        <v>8</v>
      </c>
      <c r="V13" s="5">
        <f t="shared" si="2"/>
        <v>101</v>
      </c>
      <c r="W13" s="14" t="s">
        <v>1142</v>
      </c>
    </row>
    <row r="14" spans="1:23" x14ac:dyDescent="0.25">
      <c r="A14" s="6">
        <f t="shared" si="0"/>
        <v>14</v>
      </c>
      <c r="B14" s="6" t="str">
        <f t="shared" si="1"/>
        <v>_x000E_</v>
      </c>
      <c r="D14" s="14">
        <v>13</v>
      </c>
      <c r="E14" s="14" t="s">
        <v>1062</v>
      </c>
      <c r="F14" s="32"/>
      <c r="G14" s="14">
        <v>64</v>
      </c>
      <c r="H14" s="14" t="s">
        <v>1111</v>
      </c>
      <c r="I14" s="32"/>
      <c r="J14" s="14">
        <v>115</v>
      </c>
      <c r="K14" s="14" t="s">
        <v>1156</v>
      </c>
      <c r="L14" s="32"/>
      <c r="M14" s="14">
        <v>166</v>
      </c>
      <c r="N14" s="14" t="s">
        <v>1206</v>
      </c>
      <c r="O14" s="32"/>
      <c r="P14" s="14">
        <v>217</v>
      </c>
      <c r="Q14" s="14" t="s">
        <v>1257</v>
      </c>
      <c r="S14" s="5">
        <f t="shared" si="3"/>
        <v>57</v>
      </c>
      <c r="T14" s="5">
        <v>9</v>
      </c>
      <c r="V14" s="14">
        <f t="shared" si="2"/>
        <v>102</v>
      </c>
      <c r="W14" s="14" t="s">
        <v>1143</v>
      </c>
    </row>
    <row r="15" spans="1:23" x14ac:dyDescent="0.25">
      <c r="A15" s="6">
        <f t="shared" si="0"/>
        <v>15</v>
      </c>
      <c r="B15" s="6" t="str">
        <f t="shared" si="1"/>
        <v>_x000F_</v>
      </c>
      <c r="D15" s="14">
        <v>14</v>
      </c>
      <c r="E15" s="14" t="s">
        <v>1063</v>
      </c>
      <c r="F15" s="32"/>
      <c r="G15" s="14">
        <v>65</v>
      </c>
      <c r="H15" s="14" t="s">
        <v>904</v>
      </c>
      <c r="I15" s="32"/>
      <c r="J15" s="14">
        <v>116</v>
      </c>
      <c r="K15" s="14" t="s">
        <v>1157</v>
      </c>
      <c r="L15" s="32"/>
      <c r="M15" s="14">
        <v>167</v>
      </c>
      <c r="N15" s="14" t="s">
        <v>1207</v>
      </c>
      <c r="O15" s="32"/>
      <c r="P15" s="14">
        <v>218</v>
      </c>
      <c r="Q15" s="14" t="s">
        <v>1258</v>
      </c>
    </row>
    <row r="16" spans="1:23" x14ac:dyDescent="0.25">
      <c r="A16" s="6">
        <f t="shared" si="0"/>
        <v>16</v>
      </c>
      <c r="B16" s="6" t="str">
        <f t="shared" si="1"/>
        <v>_x0010_</v>
      </c>
      <c r="D16" s="14">
        <v>15</v>
      </c>
      <c r="E16" s="14" t="s">
        <v>1064</v>
      </c>
      <c r="F16" s="32"/>
      <c r="G16" s="14">
        <v>66</v>
      </c>
      <c r="H16" s="14" t="s">
        <v>1035</v>
      </c>
      <c r="I16" s="32"/>
      <c r="J16" s="14">
        <v>117</v>
      </c>
      <c r="K16" s="14" t="s">
        <v>1158</v>
      </c>
      <c r="L16" s="32"/>
      <c r="M16" s="14">
        <v>168</v>
      </c>
      <c r="N16" s="14" t="s">
        <v>1208</v>
      </c>
      <c r="O16" s="32"/>
      <c r="P16" s="14">
        <v>219</v>
      </c>
      <c r="Q16" s="14" t="s">
        <v>1259</v>
      </c>
    </row>
    <row r="17" spans="1:17" x14ac:dyDescent="0.25">
      <c r="A17" s="6">
        <f t="shared" si="0"/>
        <v>17</v>
      </c>
      <c r="B17" s="6" t="str">
        <f t="shared" si="1"/>
        <v>_x0011_</v>
      </c>
      <c r="D17" s="14">
        <v>16</v>
      </c>
      <c r="E17" s="14" t="s">
        <v>1065</v>
      </c>
      <c r="F17" s="32"/>
      <c r="G17" s="14">
        <v>67</v>
      </c>
      <c r="H17" s="14" t="s">
        <v>874</v>
      </c>
      <c r="I17" s="32"/>
      <c r="J17" s="14">
        <v>118</v>
      </c>
      <c r="K17" s="14" t="s">
        <v>1159</v>
      </c>
      <c r="L17" s="32"/>
      <c r="M17" s="14">
        <v>169</v>
      </c>
      <c r="N17" s="14" t="s">
        <v>1209</v>
      </c>
      <c r="O17" s="32"/>
      <c r="P17" s="14">
        <v>220</v>
      </c>
      <c r="Q17" s="14" t="s">
        <v>1260</v>
      </c>
    </row>
    <row r="18" spans="1:17" x14ac:dyDescent="0.25">
      <c r="A18" s="6">
        <f t="shared" si="0"/>
        <v>18</v>
      </c>
      <c r="B18" s="6" t="str">
        <f t="shared" si="1"/>
        <v>_x0012_</v>
      </c>
      <c r="D18" s="14">
        <v>17</v>
      </c>
      <c r="E18" s="14" t="s">
        <v>1066</v>
      </c>
      <c r="F18" s="32"/>
      <c r="G18" s="14">
        <v>68</v>
      </c>
      <c r="H18" s="14" t="s">
        <v>1112</v>
      </c>
      <c r="I18" s="32"/>
      <c r="J18" s="14">
        <v>119</v>
      </c>
      <c r="K18" s="14" t="s">
        <v>1160</v>
      </c>
      <c r="L18" s="32"/>
      <c r="M18" s="14">
        <v>170</v>
      </c>
      <c r="N18" s="14" t="s">
        <v>1210</v>
      </c>
      <c r="O18" s="32"/>
      <c r="P18" s="14">
        <v>221</v>
      </c>
      <c r="Q18" s="14" t="s">
        <v>1261</v>
      </c>
    </row>
    <row r="19" spans="1:17" x14ac:dyDescent="0.25">
      <c r="A19" s="6">
        <f t="shared" si="0"/>
        <v>19</v>
      </c>
      <c r="B19" s="6" t="str">
        <f t="shared" si="1"/>
        <v>_x0013_</v>
      </c>
      <c r="D19" s="14">
        <v>18</v>
      </c>
      <c r="E19" s="14" t="s">
        <v>1067</v>
      </c>
      <c r="F19" s="32"/>
      <c r="G19" s="14">
        <v>69</v>
      </c>
      <c r="H19" s="14" t="s">
        <v>1113</v>
      </c>
      <c r="I19" s="32"/>
      <c r="J19" s="14">
        <v>120</v>
      </c>
      <c r="K19" s="14" t="s">
        <v>867</v>
      </c>
      <c r="L19" s="32"/>
      <c r="M19" s="14">
        <v>171</v>
      </c>
      <c r="N19" s="14" t="s">
        <v>1211</v>
      </c>
      <c r="O19" s="32"/>
      <c r="P19" s="14">
        <v>222</v>
      </c>
      <c r="Q19" s="14" t="s">
        <v>1262</v>
      </c>
    </row>
    <row r="20" spans="1:17" x14ac:dyDescent="0.25">
      <c r="A20" s="6">
        <f t="shared" si="0"/>
        <v>20</v>
      </c>
      <c r="B20" s="6" t="str">
        <f t="shared" si="1"/>
        <v>_x0014_</v>
      </c>
      <c r="D20" s="14">
        <v>19</v>
      </c>
      <c r="E20" s="14" t="s">
        <v>1068</v>
      </c>
      <c r="F20" s="32"/>
      <c r="G20" s="14">
        <v>70</v>
      </c>
      <c r="H20" s="14" t="s">
        <v>1114</v>
      </c>
      <c r="I20" s="32"/>
      <c r="J20" s="14">
        <v>121</v>
      </c>
      <c r="K20" s="14" t="s">
        <v>1161</v>
      </c>
      <c r="L20" s="32"/>
      <c r="M20" s="14">
        <v>172</v>
      </c>
      <c r="N20" s="14" t="s">
        <v>1212</v>
      </c>
      <c r="O20" s="32"/>
      <c r="P20" s="14">
        <v>223</v>
      </c>
      <c r="Q20" s="14" t="s">
        <v>1263</v>
      </c>
    </row>
    <row r="21" spans="1:17" x14ac:dyDescent="0.25">
      <c r="A21" s="6">
        <f t="shared" si="0"/>
        <v>21</v>
      </c>
      <c r="B21" s="6" t="str">
        <f t="shared" si="1"/>
        <v>_x0015_</v>
      </c>
      <c r="D21" s="14">
        <v>20</v>
      </c>
      <c r="E21" s="14" t="s">
        <v>1069</v>
      </c>
      <c r="F21" s="32"/>
      <c r="G21" s="14">
        <v>71</v>
      </c>
      <c r="H21" s="14" t="s">
        <v>1115</v>
      </c>
      <c r="I21" s="32"/>
      <c r="J21" s="14">
        <v>122</v>
      </c>
      <c r="K21" s="14" t="s">
        <v>1162</v>
      </c>
      <c r="L21" s="32"/>
      <c r="M21" s="14">
        <v>173</v>
      </c>
      <c r="N21" s="14" t="s">
        <v>1213</v>
      </c>
      <c r="O21" s="32"/>
      <c r="P21" s="14">
        <v>224</v>
      </c>
      <c r="Q21" s="14" t="s">
        <v>1264</v>
      </c>
    </row>
    <row r="22" spans="1:17" x14ac:dyDescent="0.25">
      <c r="A22" s="6">
        <f t="shared" si="0"/>
        <v>22</v>
      </c>
      <c r="B22" s="6" t="str">
        <f t="shared" si="1"/>
        <v>_x0016_</v>
      </c>
      <c r="D22" s="14">
        <v>21</v>
      </c>
      <c r="E22" s="14" t="s">
        <v>1070</v>
      </c>
      <c r="F22" s="32"/>
      <c r="G22" s="14">
        <v>72</v>
      </c>
      <c r="H22" s="14" t="s">
        <v>1116</v>
      </c>
      <c r="I22" s="32"/>
      <c r="J22" s="14">
        <v>123</v>
      </c>
      <c r="K22" s="14" t="s">
        <v>1163</v>
      </c>
      <c r="L22" s="32"/>
      <c r="M22" s="14">
        <v>174</v>
      </c>
      <c r="N22" s="14" t="s">
        <v>1214</v>
      </c>
      <c r="O22" s="32"/>
      <c r="P22" s="14">
        <v>225</v>
      </c>
      <c r="Q22" s="14" t="s">
        <v>1265</v>
      </c>
    </row>
    <row r="23" spans="1:17" x14ac:dyDescent="0.25">
      <c r="A23" s="6">
        <f t="shared" si="0"/>
        <v>23</v>
      </c>
      <c r="B23" s="6" t="str">
        <f t="shared" si="1"/>
        <v>_x0017_</v>
      </c>
      <c r="D23" s="14">
        <v>22</v>
      </c>
      <c r="E23" s="14" t="s">
        <v>1071</v>
      </c>
      <c r="F23" s="32"/>
      <c r="G23" s="14">
        <v>73</v>
      </c>
      <c r="H23" s="14" t="s">
        <v>1117</v>
      </c>
      <c r="I23" s="32"/>
      <c r="J23" s="14">
        <v>124</v>
      </c>
      <c r="K23" s="14" t="s">
        <v>1164</v>
      </c>
      <c r="L23" s="32"/>
      <c r="M23" s="14">
        <v>175</v>
      </c>
      <c r="N23" s="14" t="s">
        <v>1215</v>
      </c>
      <c r="O23" s="32"/>
      <c r="P23" s="14">
        <v>226</v>
      </c>
      <c r="Q23" s="14" t="s">
        <v>1266</v>
      </c>
    </row>
    <row r="24" spans="1:17" x14ac:dyDescent="0.25">
      <c r="A24" s="6">
        <f t="shared" si="0"/>
        <v>24</v>
      </c>
      <c r="B24" s="6" t="str">
        <f t="shared" si="1"/>
        <v>_x0018_</v>
      </c>
      <c r="D24" s="14">
        <v>23</v>
      </c>
      <c r="E24" s="14" t="s">
        <v>1072</v>
      </c>
      <c r="F24" s="32"/>
      <c r="G24" s="14">
        <v>74</v>
      </c>
      <c r="H24" s="14" t="s">
        <v>1118</v>
      </c>
      <c r="I24" s="32"/>
      <c r="J24" s="14">
        <v>125</v>
      </c>
      <c r="K24" s="14" t="s">
        <v>1165</v>
      </c>
      <c r="L24" s="32"/>
      <c r="M24" s="14">
        <v>176</v>
      </c>
      <c r="N24" s="14" t="s">
        <v>1216</v>
      </c>
      <c r="O24" s="32"/>
      <c r="P24" s="14">
        <v>227</v>
      </c>
      <c r="Q24" s="14" t="s">
        <v>1267</v>
      </c>
    </row>
    <row r="25" spans="1:17" x14ac:dyDescent="0.25">
      <c r="A25" s="6">
        <f t="shared" si="0"/>
        <v>25</v>
      </c>
      <c r="B25" s="6" t="str">
        <f t="shared" si="1"/>
        <v>_x0019_</v>
      </c>
      <c r="D25" s="14">
        <v>24</v>
      </c>
      <c r="E25" s="14" t="s">
        <v>1073</v>
      </c>
      <c r="F25" s="32"/>
      <c r="G25" s="14">
        <v>75</v>
      </c>
      <c r="H25" s="14" t="s">
        <v>32</v>
      </c>
      <c r="I25" s="32"/>
      <c r="J25" s="14">
        <v>126</v>
      </c>
      <c r="K25" s="14" t="s">
        <v>1166</v>
      </c>
      <c r="L25" s="32"/>
      <c r="M25" s="14">
        <v>177</v>
      </c>
      <c r="N25" s="14" t="s">
        <v>1217</v>
      </c>
      <c r="O25" s="32"/>
      <c r="P25" s="14">
        <v>228</v>
      </c>
      <c r="Q25" s="14" t="s">
        <v>1268</v>
      </c>
    </row>
    <row r="26" spans="1:17" x14ac:dyDescent="0.25">
      <c r="A26" s="6">
        <f t="shared" si="0"/>
        <v>26</v>
      </c>
      <c r="B26" s="6" t="str">
        <f t="shared" si="1"/>
        <v>_x001A_</v>
      </c>
      <c r="D26" s="14">
        <v>25</v>
      </c>
      <c r="E26" s="14" t="s">
        <v>1074</v>
      </c>
      <c r="F26" s="32"/>
      <c r="G26" s="14">
        <v>76</v>
      </c>
      <c r="H26" s="14" t="s">
        <v>124</v>
      </c>
      <c r="I26" s="32"/>
      <c r="J26" s="14">
        <v>127</v>
      </c>
      <c r="K26" s="14" t="s">
        <v>1167</v>
      </c>
      <c r="L26" s="32"/>
      <c r="M26" s="14">
        <v>178</v>
      </c>
      <c r="N26" s="14" t="s">
        <v>1218</v>
      </c>
      <c r="O26" s="32"/>
      <c r="P26" s="14">
        <v>229</v>
      </c>
      <c r="Q26" s="14" t="s">
        <v>1269</v>
      </c>
    </row>
    <row r="27" spans="1:17" x14ac:dyDescent="0.25">
      <c r="A27" s="6">
        <f t="shared" si="0"/>
        <v>27</v>
      </c>
      <c r="B27" s="6" t="str">
        <f t="shared" si="1"/>
        <v>_x001B_</v>
      </c>
      <c r="D27" s="14">
        <v>26</v>
      </c>
      <c r="E27" s="14" t="s">
        <v>1075</v>
      </c>
      <c r="F27" s="32"/>
      <c r="G27" s="14">
        <v>77</v>
      </c>
      <c r="H27" s="14" t="s">
        <v>1119</v>
      </c>
      <c r="I27" s="32"/>
      <c r="J27" s="14">
        <v>128</v>
      </c>
      <c r="K27" s="14" t="s">
        <v>1168</v>
      </c>
      <c r="L27" s="32"/>
      <c r="M27" s="14">
        <v>179</v>
      </c>
      <c r="N27" s="14" t="s">
        <v>1219</v>
      </c>
      <c r="O27" s="32"/>
      <c r="P27" s="14">
        <v>230</v>
      </c>
      <c r="Q27" s="14" t="s">
        <v>1270</v>
      </c>
    </row>
    <row r="28" spans="1:17" x14ac:dyDescent="0.25">
      <c r="A28" s="6">
        <f t="shared" si="0"/>
        <v>28</v>
      </c>
      <c r="B28" s="6" t="str">
        <f t="shared" si="1"/>
        <v>_x001C_</v>
      </c>
      <c r="D28" s="14">
        <v>27</v>
      </c>
      <c r="E28" s="14" t="s">
        <v>1076</v>
      </c>
      <c r="F28" s="32"/>
      <c r="G28" s="14">
        <v>78</v>
      </c>
      <c r="H28" s="14" t="s">
        <v>1120</v>
      </c>
      <c r="I28" s="32"/>
      <c r="J28" s="14">
        <v>129</v>
      </c>
      <c r="K28" s="14" t="s">
        <v>1169</v>
      </c>
      <c r="L28" s="32"/>
      <c r="M28" s="14">
        <v>180</v>
      </c>
      <c r="N28" s="14" t="s">
        <v>1220</v>
      </c>
      <c r="O28" s="32"/>
      <c r="P28" s="14">
        <v>231</v>
      </c>
      <c r="Q28" s="14" t="s">
        <v>1271</v>
      </c>
    </row>
    <row r="29" spans="1:17" x14ac:dyDescent="0.25">
      <c r="A29" s="6">
        <f t="shared" si="0"/>
        <v>29</v>
      </c>
      <c r="B29" s="6" t="str">
        <f t="shared" si="1"/>
        <v>_x001D_</v>
      </c>
      <c r="D29" s="14">
        <v>28</v>
      </c>
      <c r="E29" s="14" t="s">
        <v>1077</v>
      </c>
      <c r="F29" s="32"/>
      <c r="G29" s="14">
        <v>79</v>
      </c>
      <c r="H29" s="14" t="s">
        <v>1121</v>
      </c>
      <c r="I29" s="32"/>
      <c r="J29" s="14">
        <v>130</v>
      </c>
      <c r="K29" s="14" t="s">
        <v>1170</v>
      </c>
      <c r="L29" s="32"/>
      <c r="M29" s="14">
        <v>181</v>
      </c>
      <c r="N29" s="14" t="s">
        <v>1221</v>
      </c>
      <c r="O29" s="32"/>
      <c r="P29" s="14">
        <v>232</v>
      </c>
      <c r="Q29" s="14" t="s">
        <v>951</v>
      </c>
    </row>
    <row r="30" spans="1:17" x14ac:dyDescent="0.25">
      <c r="A30" s="6">
        <f t="shared" si="0"/>
        <v>30</v>
      </c>
      <c r="B30" s="6" t="str">
        <f t="shared" si="1"/>
        <v>_x001E_</v>
      </c>
      <c r="D30" s="14">
        <v>29</v>
      </c>
      <c r="E30" s="14" t="s">
        <v>1078</v>
      </c>
      <c r="F30" s="32"/>
      <c r="G30" s="14">
        <v>80</v>
      </c>
      <c r="H30" s="14" t="s">
        <v>1122</v>
      </c>
      <c r="I30" s="32"/>
      <c r="J30" s="14">
        <v>131</v>
      </c>
      <c r="K30" s="14" t="s">
        <v>1171</v>
      </c>
      <c r="L30" s="32"/>
      <c r="M30" s="14">
        <v>182</v>
      </c>
      <c r="N30" s="14" t="s">
        <v>1222</v>
      </c>
      <c r="O30" s="32"/>
      <c r="P30" s="14">
        <v>233</v>
      </c>
      <c r="Q30" s="14" t="s">
        <v>1272</v>
      </c>
    </row>
    <row r="31" spans="1:17" x14ac:dyDescent="0.25">
      <c r="A31" s="6">
        <f t="shared" si="0"/>
        <v>31</v>
      </c>
      <c r="B31" s="6" t="str">
        <f t="shared" si="1"/>
        <v>_x001F_</v>
      </c>
      <c r="D31" s="14">
        <v>30</v>
      </c>
      <c r="E31" s="14" t="s">
        <v>1079</v>
      </c>
      <c r="F31" s="32"/>
      <c r="G31" s="14">
        <v>81</v>
      </c>
      <c r="H31" s="14" t="s">
        <v>1123</v>
      </c>
      <c r="I31" s="32"/>
      <c r="J31" s="14">
        <v>132</v>
      </c>
      <c r="K31" s="14" t="s">
        <v>1172</v>
      </c>
      <c r="L31" s="32"/>
      <c r="M31" s="14">
        <v>183</v>
      </c>
      <c r="N31" s="14" t="s">
        <v>1223</v>
      </c>
      <c r="O31" s="32"/>
      <c r="P31" s="14">
        <v>234</v>
      </c>
      <c r="Q31" s="14" t="s">
        <v>1273</v>
      </c>
    </row>
    <row r="32" spans="1:17" x14ac:dyDescent="0.25">
      <c r="A32" s="6">
        <f t="shared" si="0"/>
        <v>32</v>
      </c>
      <c r="B32" s="6" t="str">
        <f t="shared" si="1"/>
        <v xml:space="preserve"> </v>
      </c>
      <c r="D32" s="14">
        <v>31</v>
      </c>
      <c r="E32" s="14" t="s">
        <v>1080</v>
      </c>
      <c r="F32" s="32"/>
      <c r="G32" s="14">
        <v>82</v>
      </c>
      <c r="H32" s="14" t="s">
        <v>123</v>
      </c>
      <c r="I32" s="32"/>
      <c r="J32" s="14">
        <v>133</v>
      </c>
      <c r="K32" s="14" t="s">
        <v>1173</v>
      </c>
      <c r="L32" s="32"/>
      <c r="M32" s="14">
        <v>184</v>
      </c>
      <c r="N32" s="14" t="s">
        <v>1224</v>
      </c>
      <c r="O32" s="32"/>
      <c r="P32" s="14">
        <v>235</v>
      </c>
      <c r="Q32" s="14" t="s">
        <v>1274</v>
      </c>
    </row>
    <row r="33" spans="1:17" x14ac:dyDescent="0.25">
      <c r="A33" s="6">
        <f t="shared" si="0"/>
        <v>33</v>
      </c>
      <c r="B33" s="6" t="str">
        <f t="shared" si="1"/>
        <v>!</v>
      </c>
      <c r="D33" s="14">
        <v>32</v>
      </c>
      <c r="E33" s="14" t="s">
        <v>1081</v>
      </c>
      <c r="F33" s="32"/>
      <c r="G33" s="14">
        <v>83</v>
      </c>
      <c r="H33" s="14" t="s">
        <v>1124</v>
      </c>
      <c r="I33" s="32"/>
      <c r="J33" s="14">
        <v>134</v>
      </c>
      <c r="K33" s="14" t="s">
        <v>1174</v>
      </c>
      <c r="L33" s="32"/>
      <c r="M33" s="14">
        <v>185</v>
      </c>
      <c r="N33" s="14" t="s">
        <v>1225</v>
      </c>
      <c r="O33" s="32"/>
      <c r="P33" s="14">
        <v>236</v>
      </c>
      <c r="Q33" s="14" t="s">
        <v>1275</v>
      </c>
    </row>
    <row r="34" spans="1:17" x14ac:dyDescent="0.25">
      <c r="A34" s="6">
        <f t="shared" si="0"/>
        <v>34</v>
      </c>
      <c r="B34" s="6" t="str">
        <f t="shared" si="1"/>
        <v>"</v>
      </c>
      <c r="D34" s="14">
        <v>33</v>
      </c>
      <c r="E34" s="14" t="s">
        <v>1082</v>
      </c>
      <c r="F34" s="32"/>
      <c r="G34" s="14">
        <v>84</v>
      </c>
      <c r="H34" s="14" t="s">
        <v>1125</v>
      </c>
      <c r="I34" s="32"/>
      <c r="J34" s="14">
        <v>135</v>
      </c>
      <c r="K34" s="14" t="s">
        <v>1175</v>
      </c>
      <c r="L34" s="32"/>
      <c r="M34" s="14">
        <v>186</v>
      </c>
      <c r="N34" s="14" t="s">
        <v>1226</v>
      </c>
      <c r="O34" s="32"/>
      <c r="P34" s="14">
        <v>237</v>
      </c>
      <c r="Q34" s="14" t="s">
        <v>1276</v>
      </c>
    </row>
    <row r="35" spans="1:17" x14ac:dyDescent="0.25">
      <c r="A35" s="6">
        <f t="shared" si="0"/>
        <v>35</v>
      </c>
      <c r="B35" s="6" t="str">
        <f t="shared" si="1"/>
        <v>#</v>
      </c>
      <c r="D35" s="14">
        <v>34</v>
      </c>
      <c r="E35" s="14" t="s">
        <v>1083</v>
      </c>
      <c r="F35" s="32"/>
      <c r="G35" s="14">
        <v>85</v>
      </c>
      <c r="H35" s="14" t="s">
        <v>1126</v>
      </c>
      <c r="I35" s="32"/>
      <c r="J35" s="14">
        <v>136</v>
      </c>
      <c r="K35" s="14" t="s">
        <v>1176</v>
      </c>
      <c r="L35" s="32"/>
      <c r="M35" s="14">
        <v>187</v>
      </c>
      <c r="N35" s="14" t="s">
        <v>1227</v>
      </c>
      <c r="O35" s="32"/>
      <c r="P35" s="14">
        <v>238</v>
      </c>
      <c r="Q35" s="14" t="s">
        <v>1277</v>
      </c>
    </row>
    <row r="36" spans="1:17" x14ac:dyDescent="0.25">
      <c r="A36" s="6">
        <f t="shared" si="0"/>
        <v>36</v>
      </c>
      <c r="B36" s="6" t="str">
        <f t="shared" si="1"/>
        <v>$</v>
      </c>
      <c r="D36" s="14">
        <v>35</v>
      </c>
      <c r="E36" s="14" t="s">
        <v>1084</v>
      </c>
      <c r="F36" s="32"/>
      <c r="G36" s="14">
        <v>86</v>
      </c>
      <c r="H36" s="14" t="s">
        <v>1127</v>
      </c>
      <c r="I36" s="32"/>
      <c r="J36" s="14">
        <v>137</v>
      </c>
      <c r="K36" s="14" t="s">
        <v>1177</v>
      </c>
      <c r="L36" s="32"/>
      <c r="M36" s="14">
        <v>188</v>
      </c>
      <c r="N36" s="14" t="s">
        <v>1228</v>
      </c>
      <c r="O36" s="32"/>
      <c r="P36" s="14">
        <v>239</v>
      </c>
      <c r="Q36" s="14" t="s">
        <v>1278</v>
      </c>
    </row>
    <row r="37" spans="1:17" x14ac:dyDescent="0.25">
      <c r="A37" s="6">
        <f t="shared" si="0"/>
        <v>37</v>
      </c>
      <c r="B37" s="6" t="str">
        <f t="shared" si="1"/>
        <v>%</v>
      </c>
      <c r="D37" s="14">
        <v>36</v>
      </c>
      <c r="E37" s="14" t="s">
        <v>1085</v>
      </c>
      <c r="F37" s="32"/>
      <c r="G37" s="14">
        <v>87</v>
      </c>
      <c r="H37" s="14" t="s">
        <v>1128</v>
      </c>
      <c r="I37" s="32"/>
      <c r="J37" s="14">
        <v>138</v>
      </c>
      <c r="K37" s="14" t="s">
        <v>1178</v>
      </c>
      <c r="L37" s="32"/>
      <c r="M37" s="14">
        <v>189</v>
      </c>
      <c r="N37" s="14" t="s">
        <v>1229</v>
      </c>
      <c r="O37" s="32"/>
      <c r="P37" s="14">
        <v>240</v>
      </c>
      <c r="Q37" s="14" t="s">
        <v>1279</v>
      </c>
    </row>
    <row r="38" spans="1:17" x14ac:dyDescent="0.25">
      <c r="A38" s="6">
        <f t="shared" si="0"/>
        <v>38</v>
      </c>
      <c r="B38" s="6" t="str">
        <f t="shared" si="1"/>
        <v>&amp;</v>
      </c>
      <c r="D38" s="14">
        <v>37</v>
      </c>
      <c r="E38" s="14" t="s">
        <v>1086</v>
      </c>
      <c r="F38" s="32"/>
      <c r="G38" s="14">
        <v>88</v>
      </c>
      <c r="H38" s="14" t="s">
        <v>1129</v>
      </c>
      <c r="I38" s="32"/>
      <c r="J38" s="14">
        <v>139</v>
      </c>
      <c r="K38" s="14" t="s">
        <v>1179</v>
      </c>
      <c r="L38" s="32"/>
      <c r="M38" s="14">
        <v>190</v>
      </c>
      <c r="N38" s="14" t="s">
        <v>1230</v>
      </c>
      <c r="O38" s="32"/>
      <c r="P38" s="14">
        <v>241</v>
      </c>
      <c r="Q38" s="14" t="s">
        <v>1280</v>
      </c>
    </row>
    <row r="39" spans="1:17" x14ac:dyDescent="0.25">
      <c r="A39" s="6">
        <f t="shared" si="0"/>
        <v>39</v>
      </c>
      <c r="B39" s="6" t="str">
        <f t="shared" si="1"/>
        <v>'</v>
      </c>
      <c r="D39" s="14">
        <v>38</v>
      </c>
      <c r="E39" s="14" t="s">
        <v>1087</v>
      </c>
      <c r="F39" s="32"/>
      <c r="G39" s="14">
        <v>89</v>
      </c>
      <c r="H39" s="14" t="s">
        <v>1130</v>
      </c>
      <c r="I39" s="32"/>
      <c r="J39" s="14">
        <v>140</v>
      </c>
      <c r="K39" s="14" t="s">
        <v>1180</v>
      </c>
      <c r="L39" s="32"/>
      <c r="M39" s="14">
        <v>191</v>
      </c>
      <c r="N39" s="14" t="s">
        <v>1231</v>
      </c>
      <c r="O39" s="32"/>
      <c r="P39" s="14">
        <v>242</v>
      </c>
      <c r="Q39" s="14" t="s">
        <v>1281</v>
      </c>
    </row>
    <row r="40" spans="1:17" x14ac:dyDescent="0.25">
      <c r="A40" s="6">
        <f t="shared" si="0"/>
        <v>40</v>
      </c>
      <c r="B40" s="6" t="str">
        <f t="shared" si="1"/>
        <v>(</v>
      </c>
      <c r="D40" s="14">
        <v>39</v>
      </c>
      <c r="E40" s="14" t="s">
        <v>1088</v>
      </c>
      <c r="F40" s="32"/>
      <c r="G40" s="14">
        <v>90</v>
      </c>
      <c r="H40" s="14" t="s">
        <v>1131</v>
      </c>
      <c r="I40" s="32"/>
      <c r="J40" s="14">
        <v>141</v>
      </c>
      <c r="K40" s="14" t="s">
        <v>1181</v>
      </c>
      <c r="L40" s="32"/>
      <c r="M40" s="14">
        <v>192</v>
      </c>
      <c r="N40" s="14" t="s">
        <v>1232</v>
      </c>
      <c r="O40" s="32"/>
      <c r="P40" s="14">
        <v>243</v>
      </c>
      <c r="Q40" s="14" t="s">
        <v>1282</v>
      </c>
    </row>
    <row r="41" spans="1:17" x14ac:dyDescent="0.25">
      <c r="A41" s="6">
        <f t="shared" si="0"/>
        <v>41</v>
      </c>
      <c r="B41" s="6" t="str">
        <f t="shared" si="1"/>
        <v>)</v>
      </c>
      <c r="D41" s="14">
        <v>40</v>
      </c>
      <c r="E41" s="14" t="s">
        <v>1089</v>
      </c>
      <c r="F41" s="32"/>
      <c r="G41" s="14">
        <v>91</v>
      </c>
      <c r="H41" s="14" t="s">
        <v>1132</v>
      </c>
      <c r="I41" s="32"/>
      <c r="J41" s="14">
        <v>142</v>
      </c>
      <c r="K41" s="14" t="s">
        <v>1182</v>
      </c>
      <c r="L41" s="32"/>
      <c r="M41" s="14">
        <v>193</v>
      </c>
      <c r="N41" s="14" t="s">
        <v>1233</v>
      </c>
      <c r="O41" s="32"/>
      <c r="P41" s="14">
        <v>244</v>
      </c>
      <c r="Q41" s="14" t="s">
        <v>1283</v>
      </c>
    </row>
    <row r="42" spans="1:17" x14ac:dyDescent="0.25">
      <c r="A42" s="6">
        <f t="shared" si="0"/>
        <v>42</v>
      </c>
      <c r="B42" s="6" t="str">
        <f t="shared" si="1"/>
        <v>*</v>
      </c>
      <c r="D42" s="14">
        <v>41</v>
      </c>
      <c r="E42" s="14" t="s">
        <v>1090</v>
      </c>
      <c r="F42" s="32"/>
      <c r="G42" s="14">
        <v>92</v>
      </c>
      <c r="H42" s="14" t="s">
        <v>1133</v>
      </c>
      <c r="I42" s="32"/>
      <c r="J42" s="14">
        <v>143</v>
      </c>
      <c r="K42" s="14" t="s">
        <v>1183</v>
      </c>
      <c r="L42" s="32"/>
      <c r="M42" s="14">
        <v>194</v>
      </c>
      <c r="N42" s="14" t="s">
        <v>1234</v>
      </c>
      <c r="O42" s="32"/>
      <c r="P42" s="14">
        <v>245</v>
      </c>
      <c r="Q42" s="14" t="s">
        <v>1284</v>
      </c>
    </row>
    <row r="43" spans="1:17" x14ac:dyDescent="0.25">
      <c r="A43" s="6">
        <f t="shared" si="0"/>
        <v>43</v>
      </c>
      <c r="B43" s="6" t="str">
        <f t="shared" si="1"/>
        <v>+</v>
      </c>
      <c r="D43" s="14">
        <v>42</v>
      </c>
      <c r="E43" s="14" t="s">
        <v>1091</v>
      </c>
      <c r="F43" s="32"/>
      <c r="G43" s="14">
        <v>93</v>
      </c>
      <c r="H43" s="14" t="s">
        <v>1134</v>
      </c>
      <c r="I43" s="32"/>
      <c r="J43" s="14">
        <v>144</v>
      </c>
      <c r="K43" s="14" t="s">
        <v>1184</v>
      </c>
      <c r="L43" s="32"/>
      <c r="M43" s="14">
        <v>195</v>
      </c>
      <c r="N43" s="14" t="s">
        <v>1235</v>
      </c>
      <c r="O43" s="32"/>
      <c r="P43" s="14">
        <v>246</v>
      </c>
      <c r="Q43" s="14" t="s">
        <v>1285</v>
      </c>
    </row>
    <row r="44" spans="1:17" x14ac:dyDescent="0.25">
      <c r="A44" s="6">
        <f t="shared" si="0"/>
        <v>44</v>
      </c>
      <c r="B44" s="6" t="str">
        <f t="shared" si="1"/>
        <v>,</v>
      </c>
      <c r="D44" s="14">
        <v>43</v>
      </c>
      <c r="E44" s="14" t="s">
        <v>1092</v>
      </c>
      <c r="F44" s="32"/>
      <c r="G44" s="14">
        <v>94</v>
      </c>
      <c r="H44" s="14" t="s">
        <v>1135</v>
      </c>
      <c r="I44" s="32"/>
      <c r="J44" s="14">
        <v>145</v>
      </c>
      <c r="K44" s="14" t="s">
        <v>1185</v>
      </c>
      <c r="L44" s="32"/>
      <c r="M44" s="14">
        <v>196</v>
      </c>
      <c r="N44" s="14" t="s">
        <v>1236</v>
      </c>
      <c r="O44" s="32"/>
      <c r="P44" s="14">
        <v>247</v>
      </c>
      <c r="Q44" s="14" t="s">
        <v>1286</v>
      </c>
    </row>
    <row r="45" spans="1:17" x14ac:dyDescent="0.25">
      <c r="A45" s="6">
        <f t="shared" si="0"/>
        <v>45</v>
      </c>
      <c r="B45" s="6" t="str">
        <f t="shared" si="1"/>
        <v>-</v>
      </c>
      <c r="D45" s="14">
        <v>44</v>
      </c>
      <c r="E45" s="14" t="s">
        <v>1093</v>
      </c>
      <c r="F45" s="32"/>
      <c r="G45" s="14">
        <v>95</v>
      </c>
      <c r="H45" s="14" t="s">
        <v>1136</v>
      </c>
      <c r="I45" s="32"/>
      <c r="J45" s="14">
        <v>146</v>
      </c>
      <c r="K45" s="14" t="s">
        <v>1186</v>
      </c>
      <c r="L45" s="32"/>
      <c r="M45" s="14">
        <v>197</v>
      </c>
      <c r="N45" s="14" t="s">
        <v>1237</v>
      </c>
      <c r="O45" s="32"/>
      <c r="P45" s="14">
        <v>248</v>
      </c>
      <c r="Q45" s="14" t="s">
        <v>1287</v>
      </c>
    </row>
    <row r="46" spans="1:17" x14ac:dyDescent="0.25">
      <c r="A46" s="6">
        <f t="shared" si="0"/>
        <v>46</v>
      </c>
      <c r="B46" s="6" t="str">
        <f t="shared" si="1"/>
        <v>.</v>
      </c>
      <c r="D46" s="14">
        <v>45</v>
      </c>
      <c r="E46" s="14" t="s">
        <v>1094</v>
      </c>
      <c r="F46" s="32"/>
      <c r="G46" s="14">
        <v>96</v>
      </c>
      <c r="H46" s="14" t="s">
        <v>1137</v>
      </c>
      <c r="I46" s="32"/>
      <c r="J46" s="14">
        <v>147</v>
      </c>
      <c r="K46" s="14" t="s">
        <v>1187</v>
      </c>
      <c r="L46" s="32"/>
      <c r="M46" s="14">
        <v>198</v>
      </c>
      <c r="N46" s="14" t="s">
        <v>1238</v>
      </c>
      <c r="O46" s="32"/>
      <c r="P46" s="14">
        <v>249</v>
      </c>
      <c r="Q46" s="14" t="s">
        <v>1288</v>
      </c>
    </row>
    <row r="47" spans="1:17" x14ac:dyDescent="0.25">
      <c r="A47" s="6">
        <f t="shared" si="0"/>
        <v>47</v>
      </c>
      <c r="B47" s="6" t="str">
        <f t="shared" si="1"/>
        <v>/</v>
      </c>
      <c r="D47" s="14">
        <v>46</v>
      </c>
      <c r="E47" s="14" t="s">
        <v>1095</v>
      </c>
      <c r="F47" s="32"/>
      <c r="G47" s="14">
        <v>97</v>
      </c>
      <c r="H47" s="14" t="s">
        <v>1138</v>
      </c>
      <c r="I47" s="32"/>
      <c r="J47" s="14">
        <v>148</v>
      </c>
      <c r="K47" s="14" t="s">
        <v>1188</v>
      </c>
      <c r="L47" s="32"/>
      <c r="M47" s="14">
        <v>199</v>
      </c>
      <c r="N47" s="14" t="s">
        <v>1239</v>
      </c>
      <c r="O47" s="32"/>
      <c r="P47" s="14">
        <v>250</v>
      </c>
      <c r="Q47" s="14" t="s">
        <v>1289</v>
      </c>
    </row>
    <row r="48" spans="1:17" x14ac:dyDescent="0.25">
      <c r="A48" s="6">
        <f t="shared" si="0"/>
        <v>48</v>
      </c>
      <c r="B48" s="6" t="str">
        <f t="shared" si="1"/>
        <v>0</v>
      </c>
      <c r="D48" s="14">
        <v>47</v>
      </c>
      <c r="E48" s="14" t="s">
        <v>1096</v>
      </c>
      <c r="F48" s="32"/>
      <c r="G48" s="14">
        <v>98</v>
      </c>
      <c r="H48" s="14" t="s">
        <v>1139</v>
      </c>
      <c r="I48" s="32"/>
      <c r="J48" s="14">
        <v>149</v>
      </c>
      <c r="K48" s="14" t="s">
        <v>1189</v>
      </c>
      <c r="L48" s="32"/>
      <c r="M48" s="14">
        <v>200</v>
      </c>
      <c r="N48" s="14" t="s">
        <v>1240</v>
      </c>
      <c r="O48" s="32"/>
      <c r="P48" s="14">
        <v>251</v>
      </c>
      <c r="Q48" s="14" t="s">
        <v>1290</v>
      </c>
    </row>
    <row r="49" spans="1:17" x14ac:dyDescent="0.25">
      <c r="A49" s="6">
        <f t="shared" si="0"/>
        <v>49</v>
      </c>
      <c r="B49" s="6" t="str">
        <f t="shared" si="1"/>
        <v>1</v>
      </c>
      <c r="D49" s="14">
        <v>48</v>
      </c>
      <c r="E49" s="14" t="s">
        <v>1097</v>
      </c>
      <c r="F49" s="32"/>
      <c r="G49" s="14">
        <v>99</v>
      </c>
      <c r="H49" s="14" t="s">
        <v>1140</v>
      </c>
      <c r="I49" s="32"/>
      <c r="J49" s="14">
        <v>150</v>
      </c>
      <c r="K49" s="14" t="s">
        <v>1190</v>
      </c>
      <c r="L49" s="32"/>
      <c r="M49" s="14">
        <v>201</v>
      </c>
      <c r="N49" s="14" t="s">
        <v>1241</v>
      </c>
      <c r="O49" s="32"/>
      <c r="P49" s="14">
        <v>252</v>
      </c>
      <c r="Q49" s="14" t="s">
        <v>1291</v>
      </c>
    </row>
    <row r="50" spans="1:17" x14ac:dyDescent="0.25">
      <c r="A50" s="6">
        <f t="shared" si="0"/>
        <v>50</v>
      </c>
      <c r="B50" s="6" t="str">
        <f t="shared" si="1"/>
        <v>2</v>
      </c>
      <c r="D50" s="14">
        <v>49</v>
      </c>
      <c r="E50" s="14" t="s">
        <v>1098</v>
      </c>
      <c r="F50" s="32"/>
      <c r="G50" s="14">
        <v>100</v>
      </c>
      <c r="H50" s="14" t="s">
        <v>1141</v>
      </c>
      <c r="I50" s="32"/>
      <c r="J50" s="14">
        <v>151</v>
      </c>
      <c r="K50" s="14" t="s">
        <v>1191</v>
      </c>
      <c r="L50" s="32"/>
      <c r="M50" s="14">
        <v>202</v>
      </c>
      <c r="N50" s="14" t="s">
        <v>1242</v>
      </c>
      <c r="O50" s="32"/>
      <c r="P50" s="14">
        <v>253</v>
      </c>
      <c r="Q50" s="14" t="s">
        <v>1292</v>
      </c>
    </row>
    <row r="51" spans="1:17" x14ac:dyDescent="0.25">
      <c r="A51" s="6">
        <f t="shared" si="0"/>
        <v>51</v>
      </c>
      <c r="B51" s="6" t="str">
        <f t="shared" si="1"/>
        <v>3</v>
      </c>
      <c r="D51" s="14">
        <v>50</v>
      </c>
      <c r="E51" s="14" t="s">
        <v>1099</v>
      </c>
      <c r="F51" s="32"/>
      <c r="G51" s="14">
        <v>101</v>
      </c>
      <c r="H51" s="14" t="s">
        <v>1142</v>
      </c>
      <c r="I51" s="32"/>
      <c r="J51" s="14">
        <v>152</v>
      </c>
      <c r="K51" s="14" t="s">
        <v>1192</v>
      </c>
      <c r="L51" s="32"/>
      <c r="M51" s="14">
        <v>203</v>
      </c>
      <c r="N51" s="14" t="s">
        <v>1243</v>
      </c>
      <c r="O51" s="32"/>
      <c r="P51" s="14">
        <v>254</v>
      </c>
      <c r="Q51" s="14" t="s">
        <v>1293</v>
      </c>
    </row>
    <row r="52" spans="1:17" x14ac:dyDescent="0.25">
      <c r="A52" s="6">
        <f t="shared" si="0"/>
        <v>52</v>
      </c>
      <c r="B52" s="6" t="str">
        <f t="shared" si="1"/>
        <v>4</v>
      </c>
      <c r="D52" s="14">
        <v>51</v>
      </c>
      <c r="E52" s="14" t="s">
        <v>1100</v>
      </c>
      <c r="F52" s="32"/>
      <c r="G52" s="14">
        <v>102</v>
      </c>
      <c r="H52" s="14" t="s">
        <v>1143</v>
      </c>
      <c r="I52" s="32"/>
      <c r="J52" s="14">
        <v>153</v>
      </c>
      <c r="K52" s="14" t="s">
        <v>1193</v>
      </c>
      <c r="L52" s="32"/>
      <c r="M52" s="14">
        <v>204</v>
      </c>
      <c r="N52" s="14" t="s">
        <v>1244</v>
      </c>
      <c r="O52" s="32"/>
      <c r="P52" s="14">
        <v>255</v>
      </c>
      <c r="Q52" s="14" t="s">
        <v>1294</v>
      </c>
    </row>
    <row r="53" spans="1:17" x14ac:dyDescent="0.25">
      <c r="A53" s="6">
        <f t="shared" si="0"/>
        <v>53</v>
      </c>
      <c r="B53" s="6" t="str">
        <f t="shared" si="1"/>
        <v>5</v>
      </c>
    </row>
    <row r="54" spans="1:17" x14ac:dyDescent="0.25">
      <c r="A54" s="6">
        <f t="shared" si="0"/>
        <v>54</v>
      </c>
      <c r="B54" s="6" t="str">
        <f t="shared" si="1"/>
        <v>6</v>
      </c>
    </row>
    <row r="55" spans="1:17" x14ac:dyDescent="0.25">
      <c r="A55" s="6">
        <f t="shared" si="0"/>
        <v>55</v>
      </c>
      <c r="B55" s="6" t="str">
        <f t="shared" si="1"/>
        <v>7</v>
      </c>
    </row>
    <row r="56" spans="1:17" x14ac:dyDescent="0.25">
      <c r="A56" s="6">
        <f t="shared" si="0"/>
        <v>56</v>
      </c>
      <c r="B56" s="6" t="str">
        <f t="shared" si="1"/>
        <v>8</v>
      </c>
    </row>
    <row r="57" spans="1:17" x14ac:dyDescent="0.25">
      <c r="A57" s="6">
        <f t="shared" si="0"/>
        <v>57</v>
      </c>
      <c r="B57" s="6" t="str">
        <f t="shared" si="1"/>
        <v>9</v>
      </c>
    </row>
    <row r="58" spans="1:17" x14ac:dyDescent="0.25">
      <c r="A58" s="6">
        <f t="shared" si="0"/>
        <v>58</v>
      </c>
      <c r="B58" s="6" t="str">
        <f t="shared" si="1"/>
        <v>:</v>
      </c>
    </row>
    <row r="59" spans="1:17" x14ac:dyDescent="0.25">
      <c r="A59" s="6">
        <f t="shared" si="0"/>
        <v>59</v>
      </c>
      <c r="B59" s="6" t="str">
        <f t="shared" si="1"/>
        <v>;</v>
      </c>
    </row>
    <row r="60" spans="1:17" x14ac:dyDescent="0.25">
      <c r="A60" s="6">
        <f t="shared" si="0"/>
        <v>60</v>
      </c>
      <c r="B60" s="6" t="str">
        <f t="shared" si="1"/>
        <v>&lt;</v>
      </c>
    </row>
    <row r="61" spans="1:17" x14ac:dyDescent="0.25">
      <c r="A61" s="6">
        <f t="shared" si="0"/>
        <v>61</v>
      </c>
      <c r="B61" s="6" t="str">
        <f t="shared" si="1"/>
        <v>=</v>
      </c>
    </row>
    <row r="62" spans="1:17" x14ac:dyDescent="0.25">
      <c r="A62" s="6">
        <f t="shared" si="0"/>
        <v>62</v>
      </c>
      <c r="B62" s="6" t="str">
        <f t="shared" si="1"/>
        <v>&gt;</v>
      </c>
    </row>
    <row r="63" spans="1:17" x14ac:dyDescent="0.25">
      <c r="A63" s="6">
        <f t="shared" si="0"/>
        <v>63</v>
      </c>
      <c r="B63" s="6" t="str">
        <f t="shared" si="1"/>
        <v>?</v>
      </c>
    </row>
    <row r="64" spans="1:17" x14ac:dyDescent="0.25">
      <c r="A64" s="6">
        <f t="shared" si="0"/>
        <v>64</v>
      </c>
      <c r="B64" s="6" t="str">
        <f t="shared" si="1"/>
        <v>@</v>
      </c>
    </row>
    <row r="65" spans="1:2" x14ac:dyDescent="0.25">
      <c r="A65" s="6">
        <f t="shared" si="0"/>
        <v>65</v>
      </c>
      <c r="B65" s="6" t="str">
        <f t="shared" si="1"/>
        <v>A</v>
      </c>
    </row>
    <row r="66" spans="1:2" x14ac:dyDescent="0.25">
      <c r="A66" s="6">
        <f t="shared" ref="A66:A129" si="4">CODE(B66)</f>
        <v>66</v>
      </c>
      <c r="B66" s="6" t="str">
        <f t="shared" ref="B66:B129" si="5">CHAR(ROW())</f>
        <v>B</v>
      </c>
    </row>
    <row r="67" spans="1:2" x14ac:dyDescent="0.25">
      <c r="A67" s="6">
        <f t="shared" si="4"/>
        <v>67</v>
      </c>
      <c r="B67" s="6" t="str">
        <f t="shared" si="5"/>
        <v>C</v>
      </c>
    </row>
    <row r="68" spans="1:2" x14ac:dyDescent="0.25">
      <c r="A68" s="6">
        <f t="shared" si="4"/>
        <v>68</v>
      </c>
      <c r="B68" s="6" t="str">
        <f t="shared" si="5"/>
        <v>D</v>
      </c>
    </row>
    <row r="69" spans="1:2" x14ac:dyDescent="0.25">
      <c r="A69" s="6">
        <f t="shared" si="4"/>
        <v>69</v>
      </c>
      <c r="B69" s="6" t="str">
        <f t="shared" si="5"/>
        <v>E</v>
      </c>
    </row>
    <row r="70" spans="1:2" x14ac:dyDescent="0.25">
      <c r="A70" s="6">
        <f t="shared" si="4"/>
        <v>70</v>
      </c>
      <c r="B70" s="6" t="str">
        <f t="shared" si="5"/>
        <v>F</v>
      </c>
    </row>
    <row r="71" spans="1:2" x14ac:dyDescent="0.25">
      <c r="A71" s="6">
        <f t="shared" si="4"/>
        <v>71</v>
      </c>
      <c r="B71" s="6" t="str">
        <f t="shared" si="5"/>
        <v>G</v>
      </c>
    </row>
    <row r="72" spans="1:2" x14ac:dyDescent="0.25">
      <c r="A72" s="6">
        <f t="shared" si="4"/>
        <v>72</v>
      </c>
      <c r="B72" s="6" t="str">
        <f t="shared" si="5"/>
        <v>H</v>
      </c>
    </row>
    <row r="73" spans="1:2" x14ac:dyDescent="0.25">
      <c r="A73" s="6">
        <f t="shared" si="4"/>
        <v>73</v>
      </c>
      <c r="B73" s="6" t="str">
        <f t="shared" si="5"/>
        <v>I</v>
      </c>
    </row>
    <row r="74" spans="1:2" x14ac:dyDescent="0.25">
      <c r="A74" s="6">
        <f t="shared" si="4"/>
        <v>74</v>
      </c>
      <c r="B74" s="6" t="str">
        <f t="shared" si="5"/>
        <v>J</v>
      </c>
    </row>
    <row r="75" spans="1:2" x14ac:dyDescent="0.25">
      <c r="A75" s="6">
        <f t="shared" si="4"/>
        <v>75</v>
      </c>
      <c r="B75" s="6" t="str">
        <f t="shared" si="5"/>
        <v>K</v>
      </c>
    </row>
    <row r="76" spans="1:2" x14ac:dyDescent="0.25">
      <c r="A76" s="6">
        <f t="shared" si="4"/>
        <v>76</v>
      </c>
      <c r="B76" s="6" t="str">
        <f t="shared" si="5"/>
        <v>L</v>
      </c>
    </row>
    <row r="77" spans="1:2" x14ac:dyDescent="0.25">
      <c r="A77" s="6">
        <f t="shared" si="4"/>
        <v>77</v>
      </c>
      <c r="B77" s="6" t="str">
        <f t="shared" si="5"/>
        <v>M</v>
      </c>
    </row>
    <row r="78" spans="1:2" x14ac:dyDescent="0.25">
      <c r="A78" s="6">
        <f t="shared" si="4"/>
        <v>78</v>
      </c>
      <c r="B78" s="6" t="str">
        <f t="shared" si="5"/>
        <v>N</v>
      </c>
    </row>
    <row r="79" spans="1:2" x14ac:dyDescent="0.25">
      <c r="A79" s="6">
        <f t="shared" si="4"/>
        <v>79</v>
      </c>
      <c r="B79" s="6" t="str">
        <f t="shared" si="5"/>
        <v>O</v>
      </c>
    </row>
    <row r="80" spans="1:2" x14ac:dyDescent="0.25">
      <c r="A80" s="6">
        <f t="shared" si="4"/>
        <v>80</v>
      </c>
      <c r="B80" s="6" t="str">
        <f t="shared" si="5"/>
        <v>P</v>
      </c>
    </row>
    <row r="81" spans="1:2" x14ac:dyDescent="0.25">
      <c r="A81" s="6">
        <f t="shared" si="4"/>
        <v>81</v>
      </c>
      <c r="B81" s="6" t="str">
        <f t="shared" si="5"/>
        <v>Q</v>
      </c>
    </row>
    <row r="82" spans="1:2" x14ac:dyDescent="0.25">
      <c r="A82" s="6">
        <f t="shared" si="4"/>
        <v>82</v>
      </c>
      <c r="B82" s="6" t="str">
        <f t="shared" si="5"/>
        <v>R</v>
      </c>
    </row>
    <row r="83" spans="1:2" x14ac:dyDescent="0.25">
      <c r="A83" s="6">
        <f t="shared" si="4"/>
        <v>83</v>
      </c>
      <c r="B83" s="6" t="str">
        <f t="shared" si="5"/>
        <v>S</v>
      </c>
    </row>
    <row r="84" spans="1:2" x14ac:dyDescent="0.25">
      <c r="A84" s="6">
        <f t="shared" si="4"/>
        <v>84</v>
      </c>
      <c r="B84" s="6" t="str">
        <f t="shared" si="5"/>
        <v>T</v>
      </c>
    </row>
    <row r="85" spans="1:2" x14ac:dyDescent="0.25">
      <c r="A85" s="6">
        <f t="shared" si="4"/>
        <v>85</v>
      </c>
      <c r="B85" s="6" t="str">
        <f t="shared" si="5"/>
        <v>U</v>
      </c>
    </row>
    <row r="86" spans="1:2" x14ac:dyDescent="0.25">
      <c r="A86" s="6">
        <f t="shared" si="4"/>
        <v>86</v>
      </c>
      <c r="B86" s="6" t="str">
        <f t="shared" si="5"/>
        <v>V</v>
      </c>
    </row>
    <row r="87" spans="1:2" x14ac:dyDescent="0.25">
      <c r="A87" s="6">
        <f t="shared" si="4"/>
        <v>87</v>
      </c>
      <c r="B87" s="6" t="str">
        <f t="shared" si="5"/>
        <v>W</v>
      </c>
    </row>
    <row r="88" spans="1:2" x14ac:dyDescent="0.25">
      <c r="A88" s="6">
        <f t="shared" si="4"/>
        <v>88</v>
      </c>
      <c r="B88" s="6" t="str">
        <f t="shared" si="5"/>
        <v>X</v>
      </c>
    </row>
    <row r="89" spans="1:2" x14ac:dyDescent="0.25">
      <c r="A89" s="6">
        <f t="shared" si="4"/>
        <v>89</v>
      </c>
      <c r="B89" s="6" t="str">
        <f t="shared" si="5"/>
        <v>Y</v>
      </c>
    </row>
    <row r="90" spans="1:2" x14ac:dyDescent="0.25">
      <c r="A90" s="6">
        <f t="shared" si="4"/>
        <v>90</v>
      </c>
      <c r="B90" s="6" t="str">
        <f t="shared" si="5"/>
        <v>Z</v>
      </c>
    </row>
    <row r="91" spans="1:2" x14ac:dyDescent="0.25">
      <c r="A91" s="6">
        <f t="shared" si="4"/>
        <v>91</v>
      </c>
      <c r="B91" s="6" t="str">
        <f t="shared" si="5"/>
        <v>[</v>
      </c>
    </row>
    <row r="92" spans="1:2" x14ac:dyDescent="0.25">
      <c r="A92" s="6">
        <f t="shared" si="4"/>
        <v>92</v>
      </c>
      <c r="B92" s="6" t="str">
        <f t="shared" si="5"/>
        <v>\</v>
      </c>
    </row>
    <row r="93" spans="1:2" x14ac:dyDescent="0.25">
      <c r="A93" s="6">
        <f t="shared" si="4"/>
        <v>93</v>
      </c>
      <c r="B93" s="6" t="str">
        <f t="shared" si="5"/>
        <v>]</v>
      </c>
    </row>
    <row r="94" spans="1:2" x14ac:dyDescent="0.25">
      <c r="A94" s="6">
        <f t="shared" si="4"/>
        <v>94</v>
      </c>
      <c r="B94" s="6" t="str">
        <f t="shared" si="5"/>
        <v>^</v>
      </c>
    </row>
    <row r="95" spans="1:2" x14ac:dyDescent="0.25">
      <c r="A95" s="6">
        <f t="shared" si="4"/>
        <v>95</v>
      </c>
      <c r="B95" s="6" t="str">
        <f t="shared" si="5"/>
        <v>_</v>
      </c>
    </row>
    <row r="96" spans="1:2" x14ac:dyDescent="0.25">
      <c r="A96" s="6">
        <f t="shared" si="4"/>
        <v>96</v>
      </c>
      <c r="B96" s="6" t="str">
        <f t="shared" si="5"/>
        <v>`</v>
      </c>
    </row>
    <row r="97" spans="1:2" x14ac:dyDescent="0.25">
      <c r="A97" s="6">
        <f t="shared" si="4"/>
        <v>97</v>
      </c>
      <c r="B97" s="6" t="str">
        <f t="shared" si="5"/>
        <v>a</v>
      </c>
    </row>
    <row r="98" spans="1:2" x14ac:dyDescent="0.25">
      <c r="A98" s="6">
        <f t="shared" si="4"/>
        <v>98</v>
      </c>
      <c r="B98" s="6" t="str">
        <f t="shared" si="5"/>
        <v>b</v>
      </c>
    </row>
    <row r="99" spans="1:2" x14ac:dyDescent="0.25">
      <c r="A99" s="6">
        <f t="shared" si="4"/>
        <v>99</v>
      </c>
      <c r="B99" s="6" t="str">
        <f t="shared" si="5"/>
        <v>c</v>
      </c>
    </row>
    <row r="100" spans="1:2" x14ac:dyDescent="0.25">
      <c r="A100" s="6">
        <f t="shared" si="4"/>
        <v>100</v>
      </c>
      <c r="B100" s="6" t="str">
        <f t="shared" si="5"/>
        <v>d</v>
      </c>
    </row>
    <row r="101" spans="1:2" x14ac:dyDescent="0.25">
      <c r="A101" s="6">
        <f t="shared" si="4"/>
        <v>101</v>
      </c>
      <c r="B101" s="6" t="str">
        <f t="shared" si="5"/>
        <v>e</v>
      </c>
    </row>
    <row r="102" spans="1:2" x14ac:dyDescent="0.25">
      <c r="A102" s="6">
        <f t="shared" si="4"/>
        <v>102</v>
      </c>
      <c r="B102" s="6" t="str">
        <f t="shared" si="5"/>
        <v>f</v>
      </c>
    </row>
    <row r="103" spans="1:2" x14ac:dyDescent="0.25">
      <c r="A103" s="6">
        <f t="shared" si="4"/>
        <v>103</v>
      </c>
      <c r="B103" s="6" t="str">
        <f t="shared" si="5"/>
        <v>g</v>
      </c>
    </row>
    <row r="104" spans="1:2" x14ac:dyDescent="0.25">
      <c r="A104" s="6">
        <f t="shared" si="4"/>
        <v>104</v>
      </c>
      <c r="B104" s="6" t="str">
        <f t="shared" si="5"/>
        <v>h</v>
      </c>
    </row>
    <row r="105" spans="1:2" x14ac:dyDescent="0.25">
      <c r="A105" s="6">
        <f t="shared" si="4"/>
        <v>105</v>
      </c>
      <c r="B105" s="6" t="str">
        <f t="shared" si="5"/>
        <v>i</v>
      </c>
    </row>
    <row r="106" spans="1:2" x14ac:dyDescent="0.25">
      <c r="A106" s="6">
        <f t="shared" si="4"/>
        <v>106</v>
      </c>
      <c r="B106" s="6" t="str">
        <f t="shared" si="5"/>
        <v>j</v>
      </c>
    </row>
    <row r="107" spans="1:2" x14ac:dyDescent="0.25">
      <c r="A107" s="6">
        <f t="shared" si="4"/>
        <v>107</v>
      </c>
      <c r="B107" s="6" t="str">
        <f t="shared" si="5"/>
        <v>k</v>
      </c>
    </row>
    <row r="108" spans="1:2" x14ac:dyDescent="0.25">
      <c r="A108" s="6">
        <f t="shared" si="4"/>
        <v>108</v>
      </c>
      <c r="B108" s="6" t="str">
        <f t="shared" si="5"/>
        <v>l</v>
      </c>
    </row>
    <row r="109" spans="1:2" x14ac:dyDescent="0.25">
      <c r="A109" s="6">
        <f t="shared" si="4"/>
        <v>109</v>
      </c>
      <c r="B109" s="6" t="str">
        <f t="shared" si="5"/>
        <v>m</v>
      </c>
    </row>
    <row r="110" spans="1:2" x14ac:dyDescent="0.25">
      <c r="A110" s="6">
        <f t="shared" si="4"/>
        <v>110</v>
      </c>
      <c r="B110" s="6" t="str">
        <f t="shared" si="5"/>
        <v>n</v>
      </c>
    </row>
    <row r="111" spans="1:2" x14ac:dyDescent="0.25">
      <c r="A111" s="6">
        <f t="shared" si="4"/>
        <v>111</v>
      </c>
      <c r="B111" s="6" t="str">
        <f t="shared" si="5"/>
        <v>o</v>
      </c>
    </row>
    <row r="112" spans="1:2" x14ac:dyDescent="0.25">
      <c r="A112" s="6">
        <f t="shared" si="4"/>
        <v>112</v>
      </c>
      <c r="B112" s="6" t="str">
        <f t="shared" si="5"/>
        <v>p</v>
      </c>
    </row>
    <row r="113" spans="1:2" x14ac:dyDescent="0.25">
      <c r="A113" s="6">
        <f t="shared" si="4"/>
        <v>113</v>
      </c>
      <c r="B113" s="6" t="str">
        <f t="shared" si="5"/>
        <v>q</v>
      </c>
    </row>
    <row r="114" spans="1:2" x14ac:dyDescent="0.25">
      <c r="A114" s="6">
        <f t="shared" si="4"/>
        <v>114</v>
      </c>
      <c r="B114" s="6" t="str">
        <f t="shared" si="5"/>
        <v>r</v>
      </c>
    </row>
    <row r="115" spans="1:2" x14ac:dyDescent="0.25">
      <c r="A115" s="6">
        <f t="shared" si="4"/>
        <v>115</v>
      </c>
      <c r="B115" s="6" t="str">
        <f t="shared" si="5"/>
        <v>s</v>
      </c>
    </row>
    <row r="116" spans="1:2" x14ac:dyDescent="0.25">
      <c r="A116" s="6">
        <f t="shared" si="4"/>
        <v>116</v>
      </c>
      <c r="B116" s="6" t="str">
        <f t="shared" si="5"/>
        <v>t</v>
      </c>
    </row>
    <row r="117" spans="1:2" x14ac:dyDescent="0.25">
      <c r="A117" s="6">
        <f t="shared" si="4"/>
        <v>117</v>
      </c>
      <c r="B117" s="6" t="str">
        <f t="shared" si="5"/>
        <v>u</v>
      </c>
    </row>
    <row r="118" spans="1:2" x14ac:dyDescent="0.25">
      <c r="A118" s="6">
        <f t="shared" si="4"/>
        <v>118</v>
      </c>
      <c r="B118" s="6" t="str">
        <f t="shared" si="5"/>
        <v>v</v>
      </c>
    </row>
    <row r="119" spans="1:2" x14ac:dyDescent="0.25">
      <c r="A119" s="6">
        <f t="shared" si="4"/>
        <v>119</v>
      </c>
      <c r="B119" s="6" t="str">
        <f t="shared" si="5"/>
        <v>w</v>
      </c>
    </row>
    <row r="120" spans="1:2" x14ac:dyDescent="0.25">
      <c r="A120" s="6">
        <f t="shared" si="4"/>
        <v>120</v>
      </c>
      <c r="B120" s="6" t="str">
        <f t="shared" si="5"/>
        <v>x</v>
      </c>
    </row>
    <row r="121" spans="1:2" x14ac:dyDescent="0.25">
      <c r="A121" s="6">
        <f t="shared" si="4"/>
        <v>121</v>
      </c>
      <c r="B121" s="6" t="str">
        <f t="shared" si="5"/>
        <v>y</v>
      </c>
    </row>
    <row r="122" spans="1:2" x14ac:dyDescent="0.25">
      <c r="A122" s="6">
        <f t="shared" si="4"/>
        <v>122</v>
      </c>
      <c r="B122" s="6" t="str">
        <f t="shared" si="5"/>
        <v>z</v>
      </c>
    </row>
    <row r="123" spans="1:2" x14ac:dyDescent="0.25">
      <c r="A123" s="6">
        <f t="shared" si="4"/>
        <v>123</v>
      </c>
      <c r="B123" s="6" t="str">
        <f t="shared" si="5"/>
        <v>{</v>
      </c>
    </row>
    <row r="124" spans="1:2" x14ac:dyDescent="0.25">
      <c r="A124" s="6">
        <f t="shared" si="4"/>
        <v>124</v>
      </c>
      <c r="B124" s="6" t="str">
        <f t="shared" si="5"/>
        <v>|</v>
      </c>
    </row>
    <row r="125" spans="1:2" x14ac:dyDescent="0.25">
      <c r="A125" s="6">
        <f t="shared" si="4"/>
        <v>125</v>
      </c>
      <c r="B125" s="6" t="str">
        <f t="shared" si="5"/>
        <v>}</v>
      </c>
    </row>
    <row r="126" spans="1:2" x14ac:dyDescent="0.25">
      <c r="A126" s="6">
        <f t="shared" si="4"/>
        <v>126</v>
      </c>
      <c r="B126" s="6" t="str">
        <f t="shared" si="5"/>
        <v>~</v>
      </c>
    </row>
    <row r="127" spans="1:2" x14ac:dyDescent="0.25">
      <c r="A127" s="6">
        <f t="shared" si="4"/>
        <v>127</v>
      </c>
      <c r="B127" s="6" t="str">
        <f t="shared" si="5"/>
        <v></v>
      </c>
    </row>
    <row r="128" spans="1:2" x14ac:dyDescent="0.25">
      <c r="A128" s="6">
        <f t="shared" si="4"/>
        <v>128</v>
      </c>
      <c r="B128" s="6" t="str">
        <f t="shared" si="5"/>
        <v>€</v>
      </c>
    </row>
    <row r="129" spans="1:2" x14ac:dyDescent="0.25">
      <c r="A129" s="6">
        <f t="shared" si="4"/>
        <v>129</v>
      </c>
      <c r="B129" s="6" t="str">
        <f t="shared" si="5"/>
        <v></v>
      </c>
    </row>
    <row r="130" spans="1:2" x14ac:dyDescent="0.25">
      <c r="A130" s="6">
        <f t="shared" ref="A130:A193" si="6">CODE(B130)</f>
        <v>130</v>
      </c>
      <c r="B130" s="6" t="str">
        <f t="shared" ref="B130:B193" si="7">CHAR(ROW())</f>
        <v>‚</v>
      </c>
    </row>
    <row r="131" spans="1:2" x14ac:dyDescent="0.25">
      <c r="A131" s="6">
        <f t="shared" si="6"/>
        <v>131</v>
      </c>
      <c r="B131" s="6" t="str">
        <f t="shared" si="7"/>
        <v>ƒ</v>
      </c>
    </row>
    <row r="132" spans="1:2" x14ac:dyDescent="0.25">
      <c r="A132" s="6">
        <f t="shared" si="6"/>
        <v>132</v>
      </c>
      <c r="B132" s="6" t="str">
        <f t="shared" si="7"/>
        <v>„</v>
      </c>
    </row>
    <row r="133" spans="1:2" x14ac:dyDescent="0.25">
      <c r="A133" s="6">
        <f t="shared" si="6"/>
        <v>133</v>
      </c>
      <c r="B133" s="6" t="str">
        <f t="shared" si="7"/>
        <v>…</v>
      </c>
    </row>
    <row r="134" spans="1:2" x14ac:dyDescent="0.25">
      <c r="A134" s="6">
        <f t="shared" si="6"/>
        <v>134</v>
      </c>
      <c r="B134" s="6" t="str">
        <f t="shared" si="7"/>
        <v>†</v>
      </c>
    </row>
    <row r="135" spans="1:2" x14ac:dyDescent="0.25">
      <c r="A135" s="6">
        <f t="shared" si="6"/>
        <v>135</v>
      </c>
      <c r="B135" s="6" t="str">
        <f t="shared" si="7"/>
        <v>‡</v>
      </c>
    </row>
    <row r="136" spans="1:2" x14ac:dyDescent="0.25">
      <c r="A136" s="6">
        <f t="shared" si="6"/>
        <v>136</v>
      </c>
      <c r="B136" s="6" t="str">
        <f t="shared" si="7"/>
        <v>ˆ</v>
      </c>
    </row>
    <row r="137" spans="1:2" x14ac:dyDescent="0.25">
      <c r="A137" s="6">
        <f t="shared" si="6"/>
        <v>137</v>
      </c>
      <c r="B137" s="6" t="str">
        <f t="shared" si="7"/>
        <v>‰</v>
      </c>
    </row>
    <row r="138" spans="1:2" x14ac:dyDescent="0.25">
      <c r="A138" s="6">
        <f t="shared" si="6"/>
        <v>138</v>
      </c>
      <c r="B138" s="6" t="str">
        <f t="shared" si="7"/>
        <v>Š</v>
      </c>
    </row>
    <row r="139" spans="1:2" x14ac:dyDescent="0.25">
      <c r="A139" s="6">
        <f t="shared" si="6"/>
        <v>139</v>
      </c>
      <c r="B139" s="6" t="str">
        <f t="shared" si="7"/>
        <v>‹</v>
      </c>
    </row>
    <row r="140" spans="1:2" x14ac:dyDescent="0.25">
      <c r="A140" s="6">
        <f t="shared" si="6"/>
        <v>140</v>
      </c>
      <c r="B140" s="6" t="str">
        <f t="shared" si="7"/>
        <v>Œ</v>
      </c>
    </row>
    <row r="141" spans="1:2" x14ac:dyDescent="0.25">
      <c r="A141" s="6">
        <f t="shared" si="6"/>
        <v>141</v>
      </c>
      <c r="B141" s="6" t="str">
        <f t="shared" si="7"/>
        <v></v>
      </c>
    </row>
    <row r="142" spans="1:2" x14ac:dyDescent="0.25">
      <c r="A142" s="6">
        <f t="shared" si="6"/>
        <v>142</v>
      </c>
      <c r="B142" s="6" t="str">
        <f t="shared" si="7"/>
        <v>Ž</v>
      </c>
    </row>
    <row r="143" spans="1:2" x14ac:dyDescent="0.25">
      <c r="A143" s="6">
        <f t="shared" si="6"/>
        <v>143</v>
      </c>
      <c r="B143" s="6" t="str">
        <f t="shared" si="7"/>
        <v></v>
      </c>
    </row>
    <row r="144" spans="1:2" x14ac:dyDescent="0.25">
      <c r="A144" s="6">
        <f t="shared" si="6"/>
        <v>144</v>
      </c>
      <c r="B144" s="6" t="str">
        <f t="shared" si="7"/>
        <v></v>
      </c>
    </row>
    <row r="145" spans="1:2" x14ac:dyDescent="0.25">
      <c r="A145" s="6">
        <f t="shared" si="6"/>
        <v>145</v>
      </c>
      <c r="B145" s="6" t="str">
        <f t="shared" si="7"/>
        <v>‘</v>
      </c>
    </row>
    <row r="146" spans="1:2" x14ac:dyDescent="0.25">
      <c r="A146" s="6">
        <f t="shared" si="6"/>
        <v>146</v>
      </c>
      <c r="B146" s="6" t="str">
        <f t="shared" si="7"/>
        <v>’</v>
      </c>
    </row>
    <row r="147" spans="1:2" x14ac:dyDescent="0.25">
      <c r="A147" s="6">
        <f t="shared" si="6"/>
        <v>147</v>
      </c>
      <c r="B147" s="6" t="str">
        <f t="shared" si="7"/>
        <v>“</v>
      </c>
    </row>
    <row r="148" spans="1:2" x14ac:dyDescent="0.25">
      <c r="A148" s="6">
        <f t="shared" si="6"/>
        <v>148</v>
      </c>
      <c r="B148" s="6" t="str">
        <f t="shared" si="7"/>
        <v>”</v>
      </c>
    </row>
    <row r="149" spans="1:2" x14ac:dyDescent="0.25">
      <c r="A149" s="6">
        <f t="shared" si="6"/>
        <v>149</v>
      </c>
      <c r="B149" s="6" t="str">
        <f t="shared" si="7"/>
        <v>•</v>
      </c>
    </row>
    <row r="150" spans="1:2" x14ac:dyDescent="0.25">
      <c r="A150" s="6">
        <f t="shared" si="6"/>
        <v>150</v>
      </c>
      <c r="B150" s="6" t="str">
        <f t="shared" si="7"/>
        <v>–</v>
      </c>
    </row>
    <row r="151" spans="1:2" x14ac:dyDescent="0.25">
      <c r="A151" s="6">
        <f t="shared" si="6"/>
        <v>151</v>
      </c>
      <c r="B151" s="6" t="str">
        <f t="shared" si="7"/>
        <v>—</v>
      </c>
    </row>
    <row r="152" spans="1:2" x14ac:dyDescent="0.25">
      <c r="A152" s="6">
        <f t="shared" si="6"/>
        <v>152</v>
      </c>
      <c r="B152" s="6" t="str">
        <f t="shared" si="7"/>
        <v>˜</v>
      </c>
    </row>
    <row r="153" spans="1:2" x14ac:dyDescent="0.25">
      <c r="A153" s="6">
        <f t="shared" si="6"/>
        <v>153</v>
      </c>
      <c r="B153" s="6" t="str">
        <f t="shared" si="7"/>
        <v>™</v>
      </c>
    </row>
    <row r="154" spans="1:2" x14ac:dyDescent="0.25">
      <c r="A154" s="6">
        <f t="shared" si="6"/>
        <v>154</v>
      </c>
      <c r="B154" s="6" t="str">
        <f t="shared" si="7"/>
        <v>š</v>
      </c>
    </row>
    <row r="155" spans="1:2" x14ac:dyDescent="0.25">
      <c r="A155" s="6">
        <f t="shared" si="6"/>
        <v>155</v>
      </c>
      <c r="B155" s="6" t="str">
        <f t="shared" si="7"/>
        <v>›</v>
      </c>
    </row>
    <row r="156" spans="1:2" x14ac:dyDescent="0.25">
      <c r="A156" s="6">
        <f t="shared" si="6"/>
        <v>156</v>
      </c>
      <c r="B156" s="6" t="str">
        <f t="shared" si="7"/>
        <v>œ</v>
      </c>
    </row>
    <row r="157" spans="1:2" x14ac:dyDescent="0.25">
      <c r="A157" s="6">
        <f t="shared" si="6"/>
        <v>157</v>
      </c>
      <c r="B157" s="6" t="str">
        <f t="shared" si="7"/>
        <v></v>
      </c>
    </row>
    <row r="158" spans="1:2" x14ac:dyDescent="0.25">
      <c r="A158" s="6">
        <f t="shared" si="6"/>
        <v>158</v>
      </c>
      <c r="B158" s="6" t="str">
        <f t="shared" si="7"/>
        <v>ž</v>
      </c>
    </row>
    <row r="159" spans="1:2" x14ac:dyDescent="0.25">
      <c r="A159" s="6">
        <f t="shared" si="6"/>
        <v>159</v>
      </c>
      <c r="B159" s="6" t="str">
        <f t="shared" si="7"/>
        <v>Ÿ</v>
      </c>
    </row>
    <row r="160" spans="1:2" x14ac:dyDescent="0.25">
      <c r="A160" s="6">
        <f t="shared" si="6"/>
        <v>160</v>
      </c>
      <c r="B160" s="6" t="str">
        <f t="shared" si="7"/>
        <v> </v>
      </c>
    </row>
    <row r="161" spans="1:2" x14ac:dyDescent="0.25">
      <c r="A161" s="6">
        <f t="shared" si="6"/>
        <v>161</v>
      </c>
      <c r="B161" s="6" t="str">
        <f t="shared" si="7"/>
        <v>¡</v>
      </c>
    </row>
    <row r="162" spans="1:2" x14ac:dyDescent="0.25">
      <c r="A162" s="6">
        <f t="shared" si="6"/>
        <v>162</v>
      </c>
      <c r="B162" s="6" t="str">
        <f t="shared" si="7"/>
        <v>¢</v>
      </c>
    </row>
    <row r="163" spans="1:2" x14ac:dyDescent="0.25">
      <c r="A163" s="6">
        <f t="shared" si="6"/>
        <v>163</v>
      </c>
      <c r="B163" s="6" t="str">
        <f t="shared" si="7"/>
        <v>£</v>
      </c>
    </row>
    <row r="164" spans="1:2" x14ac:dyDescent="0.25">
      <c r="A164" s="6">
        <f t="shared" si="6"/>
        <v>164</v>
      </c>
      <c r="B164" s="6" t="str">
        <f t="shared" si="7"/>
        <v>¤</v>
      </c>
    </row>
    <row r="165" spans="1:2" x14ac:dyDescent="0.25">
      <c r="A165" s="6">
        <f t="shared" si="6"/>
        <v>165</v>
      </c>
      <c r="B165" s="6" t="str">
        <f t="shared" si="7"/>
        <v>¥</v>
      </c>
    </row>
    <row r="166" spans="1:2" x14ac:dyDescent="0.25">
      <c r="A166" s="6">
        <f t="shared" si="6"/>
        <v>166</v>
      </c>
      <c r="B166" s="6" t="str">
        <f t="shared" si="7"/>
        <v>¦</v>
      </c>
    </row>
    <row r="167" spans="1:2" x14ac:dyDescent="0.25">
      <c r="A167" s="6">
        <f t="shared" si="6"/>
        <v>167</v>
      </c>
      <c r="B167" s="6" t="str">
        <f t="shared" si="7"/>
        <v>§</v>
      </c>
    </row>
    <row r="168" spans="1:2" x14ac:dyDescent="0.25">
      <c r="A168" s="6">
        <f t="shared" si="6"/>
        <v>168</v>
      </c>
      <c r="B168" s="6" t="str">
        <f t="shared" si="7"/>
        <v>¨</v>
      </c>
    </row>
    <row r="169" spans="1:2" x14ac:dyDescent="0.25">
      <c r="A169" s="6">
        <f t="shared" si="6"/>
        <v>169</v>
      </c>
      <c r="B169" s="6" t="str">
        <f t="shared" si="7"/>
        <v>©</v>
      </c>
    </row>
    <row r="170" spans="1:2" x14ac:dyDescent="0.25">
      <c r="A170" s="6">
        <f t="shared" si="6"/>
        <v>170</v>
      </c>
      <c r="B170" s="6" t="str">
        <f t="shared" si="7"/>
        <v>ª</v>
      </c>
    </row>
    <row r="171" spans="1:2" x14ac:dyDescent="0.25">
      <c r="A171" s="6">
        <f t="shared" si="6"/>
        <v>171</v>
      </c>
      <c r="B171" s="6" t="str">
        <f t="shared" si="7"/>
        <v>«</v>
      </c>
    </row>
    <row r="172" spans="1:2" x14ac:dyDescent="0.25">
      <c r="A172" s="6">
        <f t="shared" si="6"/>
        <v>172</v>
      </c>
      <c r="B172" s="6" t="str">
        <f t="shared" si="7"/>
        <v>¬</v>
      </c>
    </row>
    <row r="173" spans="1:2" x14ac:dyDescent="0.25">
      <c r="A173" s="6">
        <f t="shared" si="6"/>
        <v>173</v>
      </c>
      <c r="B173" s="6" t="str">
        <f t="shared" si="7"/>
        <v>­</v>
      </c>
    </row>
    <row r="174" spans="1:2" x14ac:dyDescent="0.25">
      <c r="A174" s="6">
        <f t="shared" si="6"/>
        <v>174</v>
      </c>
      <c r="B174" s="6" t="str">
        <f t="shared" si="7"/>
        <v>®</v>
      </c>
    </row>
    <row r="175" spans="1:2" x14ac:dyDescent="0.25">
      <c r="A175" s="6">
        <f t="shared" si="6"/>
        <v>175</v>
      </c>
      <c r="B175" s="6" t="str">
        <f t="shared" si="7"/>
        <v>¯</v>
      </c>
    </row>
    <row r="176" spans="1:2" x14ac:dyDescent="0.25">
      <c r="A176" s="6">
        <f t="shared" si="6"/>
        <v>176</v>
      </c>
      <c r="B176" s="6" t="str">
        <f t="shared" si="7"/>
        <v>°</v>
      </c>
    </row>
    <row r="177" spans="1:2" x14ac:dyDescent="0.25">
      <c r="A177" s="6">
        <f t="shared" si="6"/>
        <v>177</v>
      </c>
      <c r="B177" s="6" t="str">
        <f t="shared" si="7"/>
        <v>±</v>
      </c>
    </row>
    <row r="178" spans="1:2" x14ac:dyDescent="0.25">
      <c r="A178" s="6">
        <f t="shared" si="6"/>
        <v>178</v>
      </c>
      <c r="B178" s="6" t="str">
        <f t="shared" si="7"/>
        <v>²</v>
      </c>
    </row>
    <row r="179" spans="1:2" x14ac:dyDescent="0.25">
      <c r="A179" s="6">
        <f t="shared" si="6"/>
        <v>179</v>
      </c>
      <c r="B179" s="6" t="str">
        <f t="shared" si="7"/>
        <v>³</v>
      </c>
    </row>
    <row r="180" spans="1:2" x14ac:dyDescent="0.25">
      <c r="A180" s="6">
        <f t="shared" si="6"/>
        <v>180</v>
      </c>
      <c r="B180" s="6" t="str">
        <f t="shared" si="7"/>
        <v>´</v>
      </c>
    </row>
    <row r="181" spans="1:2" x14ac:dyDescent="0.25">
      <c r="A181" s="6">
        <f t="shared" si="6"/>
        <v>181</v>
      </c>
      <c r="B181" s="6" t="str">
        <f t="shared" si="7"/>
        <v>µ</v>
      </c>
    </row>
    <row r="182" spans="1:2" x14ac:dyDescent="0.25">
      <c r="A182" s="6">
        <f t="shared" si="6"/>
        <v>182</v>
      </c>
      <c r="B182" s="6" t="str">
        <f t="shared" si="7"/>
        <v>¶</v>
      </c>
    </row>
    <row r="183" spans="1:2" x14ac:dyDescent="0.25">
      <c r="A183" s="6">
        <f t="shared" si="6"/>
        <v>183</v>
      </c>
      <c r="B183" s="6" t="str">
        <f t="shared" si="7"/>
        <v>·</v>
      </c>
    </row>
    <row r="184" spans="1:2" x14ac:dyDescent="0.25">
      <c r="A184" s="6">
        <f t="shared" si="6"/>
        <v>184</v>
      </c>
      <c r="B184" s="6" t="str">
        <f t="shared" si="7"/>
        <v>¸</v>
      </c>
    </row>
    <row r="185" spans="1:2" x14ac:dyDescent="0.25">
      <c r="A185" s="6">
        <f t="shared" si="6"/>
        <v>185</v>
      </c>
      <c r="B185" s="6" t="str">
        <f t="shared" si="7"/>
        <v>¹</v>
      </c>
    </row>
    <row r="186" spans="1:2" x14ac:dyDescent="0.25">
      <c r="A186" s="6">
        <f t="shared" si="6"/>
        <v>186</v>
      </c>
      <c r="B186" s="6" t="str">
        <f t="shared" si="7"/>
        <v>º</v>
      </c>
    </row>
    <row r="187" spans="1:2" x14ac:dyDescent="0.25">
      <c r="A187" s="6">
        <f t="shared" si="6"/>
        <v>187</v>
      </c>
      <c r="B187" s="6" t="str">
        <f t="shared" si="7"/>
        <v>»</v>
      </c>
    </row>
    <row r="188" spans="1:2" x14ac:dyDescent="0.25">
      <c r="A188" s="6">
        <f t="shared" si="6"/>
        <v>188</v>
      </c>
      <c r="B188" s="6" t="str">
        <f t="shared" si="7"/>
        <v>¼</v>
      </c>
    </row>
    <row r="189" spans="1:2" x14ac:dyDescent="0.25">
      <c r="A189" s="6">
        <f t="shared" si="6"/>
        <v>189</v>
      </c>
      <c r="B189" s="6" t="str">
        <f t="shared" si="7"/>
        <v>½</v>
      </c>
    </row>
    <row r="190" spans="1:2" x14ac:dyDescent="0.25">
      <c r="A190" s="6">
        <f t="shared" si="6"/>
        <v>190</v>
      </c>
      <c r="B190" s="6" t="str">
        <f t="shared" si="7"/>
        <v>¾</v>
      </c>
    </row>
    <row r="191" spans="1:2" x14ac:dyDescent="0.25">
      <c r="A191" s="6">
        <f t="shared" si="6"/>
        <v>191</v>
      </c>
      <c r="B191" s="6" t="str">
        <f t="shared" si="7"/>
        <v>¿</v>
      </c>
    </row>
    <row r="192" spans="1:2" x14ac:dyDescent="0.25">
      <c r="A192" s="6">
        <f t="shared" si="6"/>
        <v>192</v>
      </c>
      <c r="B192" s="6" t="str">
        <f t="shared" si="7"/>
        <v>À</v>
      </c>
    </row>
    <row r="193" spans="1:2" x14ac:dyDescent="0.25">
      <c r="A193" s="6">
        <f t="shared" si="6"/>
        <v>193</v>
      </c>
      <c r="B193" s="6" t="str">
        <f t="shared" si="7"/>
        <v>Á</v>
      </c>
    </row>
    <row r="194" spans="1:2" x14ac:dyDescent="0.25">
      <c r="A194" s="6">
        <f t="shared" ref="A194:A256" si="8">CODE(B194)</f>
        <v>194</v>
      </c>
      <c r="B194" s="6" t="str">
        <f t="shared" ref="B194:B256" si="9">CHAR(ROW())</f>
        <v>Â</v>
      </c>
    </row>
    <row r="195" spans="1:2" x14ac:dyDescent="0.25">
      <c r="A195" s="6">
        <f t="shared" si="8"/>
        <v>195</v>
      </c>
      <c r="B195" s="6" t="str">
        <f t="shared" si="9"/>
        <v>Ã</v>
      </c>
    </row>
    <row r="196" spans="1:2" x14ac:dyDescent="0.25">
      <c r="A196" s="6">
        <f t="shared" si="8"/>
        <v>196</v>
      </c>
      <c r="B196" s="6" t="str">
        <f t="shared" si="9"/>
        <v>Ä</v>
      </c>
    </row>
    <row r="197" spans="1:2" x14ac:dyDescent="0.25">
      <c r="A197" s="6">
        <f t="shared" si="8"/>
        <v>197</v>
      </c>
      <c r="B197" s="6" t="str">
        <f t="shared" si="9"/>
        <v>Å</v>
      </c>
    </row>
    <row r="198" spans="1:2" x14ac:dyDescent="0.25">
      <c r="A198" s="6">
        <f t="shared" si="8"/>
        <v>198</v>
      </c>
      <c r="B198" s="6" t="str">
        <f t="shared" si="9"/>
        <v>Æ</v>
      </c>
    </row>
    <row r="199" spans="1:2" x14ac:dyDescent="0.25">
      <c r="A199" s="6">
        <f t="shared" si="8"/>
        <v>199</v>
      </c>
      <c r="B199" s="6" t="str">
        <f t="shared" si="9"/>
        <v>Ç</v>
      </c>
    </row>
    <row r="200" spans="1:2" x14ac:dyDescent="0.25">
      <c r="A200" s="6">
        <f t="shared" si="8"/>
        <v>200</v>
      </c>
      <c r="B200" s="6" t="str">
        <f t="shared" si="9"/>
        <v>È</v>
      </c>
    </row>
    <row r="201" spans="1:2" x14ac:dyDescent="0.25">
      <c r="A201" s="6">
        <f t="shared" si="8"/>
        <v>201</v>
      </c>
      <c r="B201" s="6" t="str">
        <f t="shared" si="9"/>
        <v>É</v>
      </c>
    </row>
    <row r="202" spans="1:2" x14ac:dyDescent="0.25">
      <c r="A202" s="6">
        <f t="shared" si="8"/>
        <v>202</v>
      </c>
      <c r="B202" s="6" t="str">
        <f t="shared" si="9"/>
        <v>Ê</v>
      </c>
    </row>
    <row r="203" spans="1:2" x14ac:dyDescent="0.25">
      <c r="A203" s="6">
        <f t="shared" si="8"/>
        <v>203</v>
      </c>
      <c r="B203" s="6" t="str">
        <f t="shared" si="9"/>
        <v>Ë</v>
      </c>
    </row>
    <row r="204" spans="1:2" x14ac:dyDescent="0.25">
      <c r="A204" s="6">
        <f t="shared" si="8"/>
        <v>204</v>
      </c>
      <c r="B204" s="6" t="str">
        <f t="shared" si="9"/>
        <v>Ì</v>
      </c>
    </row>
    <row r="205" spans="1:2" x14ac:dyDescent="0.25">
      <c r="A205" s="6">
        <f t="shared" si="8"/>
        <v>205</v>
      </c>
      <c r="B205" s="6" t="str">
        <f t="shared" si="9"/>
        <v>Í</v>
      </c>
    </row>
    <row r="206" spans="1:2" x14ac:dyDescent="0.25">
      <c r="A206" s="6">
        <f t="shared" si="8"/>
        <v>206</v>
      </c>
      <c r="B206" s="6" t="str">
        <f t="shared" si="9"/>
        <v>Î</v>
      </c>
    </row>
    <row r="207" spans="1:2" x14ac:dyDescent="0.25">
      <c r="A207" s="6">
        <f t="shared" si="8"/>
        <v>207</v>
      </c>
      <c r="B207" s="6" t="str">
        <f t="shared" si="9"/>
        <v>Ï</v>
      </c>
    </row>
    <row r="208" spans="1:2" x14ac:dyDescent="0.25">
      <c r="A208" s="6">
        <f t="shared" si="8"/>
        <v>208</v>
      </c>
      <c r="B208" s="6" t="str">
        <f t="shared" si="9"/>
        <v>Ð</v>
      </c>
    </row>
    <row r="209" spans="1:2" x14ac:dyDescent="0.25">
      <c r="A209" s="6">
        <f t="shared" si="8"/>
        <v>209</v>
      </c>
      <c r="B209" s="6" t="str">
        <f t="shared" si="9"/>
        <v>Ñ</v>
      </c>
    </row>
    <row r="210" spans="1:2" x14ac:dyDescent="0.25">
      <c r="A210" s="6">
        <f t="shared" si="8"/>
        <v>210</v>
      </c>
      <c r="B210" s="6" t="str">
        <f t="shared" si="9"/>
        <v>Ò</v>
      </c>
    </row>
    <row r="211" spans="1:2" x14ac:dyDescent="0.25">
      <c r="A211" s="6">
        <f t="shared" si="8"/>
        <v>211</v>
      </c>
      <c r="B211" s="6" t="str">
        <f t="shared" si="9"/>
        <v>Ó</v>
      </c>
    </row>
    <row r="212" spans="1:2" x14ac:dyDescent="0.25">
      <c r="A212" s="6">
        <f t="shared" si="8"/>
        <v>212</v>
      </c>
      <c r="B212" s="6" t="str">
        <f t="shared" si="9"/>
        <v>Ô</v>
      </c>
    </row>
    <row r="213" spans="1:2" x14ac:dyDescent="0.25">
      <c r="A213" s="6">
        <f t="shared" si="8"/>
        <v>213</v>
      </c>
      <c r="B213" s="6" t="str">
        <f t="shared" si="9"/>
        <v>Õ</v>
      </c>
    </row>
    <row r="214" spans="1:2" x14ac:dyDescent="0.25">
      <c r="A214" s="6">
        <f t="shared" si="8"/>
        <v>214</v>
      </c>
      <c r="B214" s="6" t="str">
        <f t="shared" si="9"/>
        <v>Ö</v>
      </c>
    </row>
    <row r="215" spans="1:2" x14ac:dyDescent="0.25">
      <c r="A215" s="6">
        <f t="shared" si="8"/>
        <v>215</v>
      </c>
      <c r="B215" s="6" t="str">
        <f t="shared" si="9"/>
        <v>×</v>
      </c>
    </row>
    <row r="216" spans="1:2" x14ac:dyDescent="0.25">
      <c r="A216" s="6">
        <f t="shared" si="8"/>
        <v>216</v>
      </c>
      <c r="B216" s="6" t="str">
        <f t="shared" si="9"/>
        <v>Ø</v>
      </c>
    </row>
    <row r="217" spans="1:2" x14ac:dyDescent="0.25">
      <c r="A217" s="6">
        <f t="shared" si="8"/>
        <v>217</v>
      </c>
      <c r="B217" s="6" t="str">
        <f t="shared" si="9"/>
        <v>Ù</v>
      </c>
    </row>
    <row r="218" spans="1:2" x14ac:dyDescent="0.25">
      <c r="A218" s="6">
        <f t="shared" si="8"/>
        <v>218</v>
      </c>
      <c r="B218" s="6" t="str">
        <f t="shared" si="9"/>
        <v>Ú</v>
      </c>
    </row>
    <row r="219" spans="1:2" x14ac:dyDescent="0.25">
      <c r="A219" s="6">
        <f t="shared" si="8"/>
        <v>219</v>
      </c>
      <c r="B219" s="6" t="str">
        <f t="shared" si="9"/>
        <v>Û</v>
      </c>
    </row>
    <row r="220" spans="1:2" x14ac:dyDescent="0.25">
      <c r="A220" s="6">
        <f t="shared" si="8"/>
        <v>220</v>
      </c>
      <c r="B220" s="6" t="str">
        <f t="shared" si="9"/>
        <v>Ü</v>
      </c>
    </row>
    <row r="221" spans="1:2" x14ac:dyDescent="0.25">
      <c r="A221" s="6">
        <f t="shared" si="8"/>
        <v>221</v>
      </c>
      <c r="B221" s="6" t="str">
        <f t="shared" si="9"/>
        <v>Ý</v>
      </c>
    </row>
    <row r="222" spans="1:2" x14ac:dyDescent="0.25">
      <c r="A222" s="6">
        <f t="shared" si="8"/>
        <v>222</v>
      </c>
      <c r="B222" s="6" t="str">
        <f t="shared" si="9"/>
        <v>Þ</v>
      </c>
    </row>
    <row r="223" spans="1:2" x14ac:dyDescent="0.25">
      <c r="A223" s="6">
        <f t="shared" si="8"/>
        <v>223</v>
      </c>
      <c r="B223" s="6" t="str">
        <f t="shared" si="9"/>
        <v>ß</v>
      </c>
    </row>
    <row r="224" spans="1:2" x14ac:dyDescent="0.25">
      <c r="A224" s="6">
        <f t="shared" si="8"/>
        <v>224</v>
      </c>
      <c r="B224" s="6" t="str">
        <f t="shared" si="9"/>
        <v>à</v>
      </c>
    </row>
    <row r="225" spans="1:2" x14ac:dyDescent="0.25">
      <c r="A225" s="6">
        <f t="shared" si="8"/>
        <v>225</v>
      </c>
      <c r="B225" s="6" t="str">
        <f t="shared" si="9"/>
        <v>á</v>
      </c>
    </row>
    <row r="226" spans="1:2" x14ac:dyDescent="0.25">
      <c r="A226" s="6">
        <f t="shared" si="8"/>
        <v>226</v>
      </c>
      <c r="B226" s="6" t="str">
        <f t="shared" si="9"/>
        <v>â</v>
      </c>
    </row>
    <row r="227" spans="1:2" x14ac:dyDescent="0.25">
      <c r="A227" s="6">
        <f t="shared" si="8"/>
        <v>227</v>
      </c>
      <c r="B227" s="6" t="str">
        <f t="shared" si="9"/>
        <v>ã</v>
      </c>
    </row>
    <row r="228" spans="1:2" x14ac:dyDescent="0.25">
      <c r="A228" s="6">
        <f t="shared" si="8"/>
        <v>228</v>
      </c>
      <c r="B228" s="6" t="str">
        <f t="shared" si="9"/>
        <v>ä</v>
      </c>
    </row>
    <row r="229" spans="1:2" x14ac:dyDescent="0.25">
      <c r="A229" s="6">
        <f t="shared" si="8"/>
        <v>229</v>
      </c>
      <c r="B229" s="6" t="str">
        <f t="shared" si="9"/>
        <v>å</v>
      </c>
    </row>
    <row r="230" spans="1:2" x14ac:dyDescent="0.25">
      <c r="A230" s="6">
        <f t="shared" si="8"/>
        <v>230</v>
      </c>
      <c r="B230" s="6" t="str">
        <f t="shared" si="9"/>
        <v>æ</v>
      </c>
    </row>
    <row r="231" spans="1:2" x14ac:dyDescent="0.25">
      <c r="A231" s="6">
        <f t="shared" si="8"/>
        <v>231</v>
      </c>
      <c r="B231" s="6" t="str">
        <f t="shared" si="9"/>
        <v>ç</v>
      </c>
    </row>
    <row r="232" spans="1:2" x14ac:dyDescent="0.25">
      <c r="A232" s="6">
        <f t="shared" si="8"/>
        <v>232</v>
      </c>
      <c r="B232" s="6" t="str">
        <f t="shared" si="9"/>
        <v>è</v>
      </c>
    </row>
    <row r="233" spans="1:2" x14ac:dyDescent="0.25">
      <c r="A233" s="6">
        <f t="shared" si="8"/>
        <v>233</v>
      </c>
      <c r="B233" s="6" t="str">
        <f t="shared" si="9"/>
        <v>é</v>
      </c>
    </row>
    <row r="234" spans="1:2" x14ac:dyDescent="0.25">
      <c r="A234" s="6">
        <f t="shared" si="8"/>
        <v>234</v>
      </c>
      <c r="B234" s="6" t="str">
        <f t="shared" si="9"/>
        <v>ê</v>
      </c>
    </row>
    <row r="235" spans="1:2" x14ac:dyDescent="0.25">
      <c r="A235" s="6">
        <f t="shared" si="8"/>
        <v>235</v>
      </c>
      <c r="B235" s="6" t="str">
        <f t="shared" si="9"/>
        <v>ë</v>
      </c>
    </row>
    <row r="236" spans="1:2" x14ac:dyDescent="0.25">
      <c r="A236" s="6">
        <f t="shared" si="8"/>
        <v>236</v>
      </c>
      <c r="B236" s="6" t="str">
        <f t="shared" si="9"/>
        <v>ì</v>
      </c>
    </row>
    <row r="237" spans="1:2" x14ac:dyDescent="0.25">
      <c r="A237" s="6">
        <f t="shared" si="8"/>
        <v>237</v>
      </c>
      <c r="B237" s="6" t="str">
        <f t="shared" si="9"/>
        <v>í</v>
      </c>
    </row>
    <row r="238" spans="1:2" x14ac:dyDescent="0.25">
      <c r="A238" s="6">
        <f t="shared" si="8"/>
        <v>238</v>
      </c>
      <c r="B238" s="6" t="str">
        <f t="shared" si="9"/>
        <v>î</v>
      </c>
    </row>
    <row r="239" spans="1:2" x14ac:dyDescent="0.25">
      <c r="A239" s="6">
        <f t="shared" si="8"/>
        <v>239</v>
      </c>
      <c r="B239" s="6" t="str">
        <f t="shared" si="9"/>
        <v>ï</v>
      </c>
    </row>
    <row r="240" spans="1:2" x14ac:dyDescent="0.25">
      <c r="A240" s="6">
        <f t="shared" si="8"/>
        <v>240</v>
      </c>
      <c r="B240" s="6" t="str">
        <f t="shared" si="9"/>
        <v>ð</v>
      </c>
    </row>
    <row r="241" spans="1:2" x14ac:dyDescent="0.25">
      <c r="A241" s="6">
        <f t="shared" si="8"/>
        <v>241</v>
      </c>
      <c r="B241" s="6" t="str">
        <f t="shared" si="9"/>
        <v>ñ</v>
      </c>
    </row>
    <row r="242" spans="1:2" x14ac:dyDescent="0.25">
      <c r="A242" s="6">
        <f t="shared" si="8"/>
        <v>242</v>
      </c>
      <c r="B242" s="6" t="str">
        <f t="shared" si="9"/>
        <v>ò</v>
      </c>
    </row>
    <row r="243" spans="1:2" x14ac:dyDescent="0.25">
      <c r="A243" s="6">
        <f t="shared" si="8"/>
        <v>243</v>
      </c>
      <c r="B243" s="6" t="str">
        <f t="shared" si="9"/>
        <v>ó</v>
      </c>
    </row>
    <row r="244" spans="1:2" x14ac:dyDescent="0.25">
      <c r="A244" s="6">
        <f t="shared" si="8"/>
        <v>244</v>
      </c>
      <c r="B244" s="6" t="str">
        <f t="shared" si="9"/>
        <v>ô</v>
      </c>
    </row>
    <row r="245" spans="1:2" x14ac:dyDescent="0.25">
      <c r="A245" s="6">
        <f t="shared" si="8"/>
        <v>245</v>
      </c>
      <c r="B245" s="6" t="str">
        <f t="shared" si="9"/>
        <v>õ</v>
      </c>
    </row>
    <row r="246" spans="1:2" x14ac:dyDescent="0.25">
      <c r="A246" s="6">
        <f t="shared" si="8"/>
        <v>246</v>
      </c>
      <c r="B246" s="6" t="str">
        <f t="shared" si="9"/>
        <v>ö</v>
      </c>
    </row>
    <row r="247" spans="1:2" x14ac:dyDescent="0.25">
      <c r="A247" s="6">
        <f t="shared" si="8"/>
        <v>247</v>
      </c>
      <c r="B247" s="6" t="str">
        <f t="shared" si="9"/>
        <v>÷</v>
      </c>
    </row>
    <row r="248" spans="1:2" x14ac:dyDescent="0.25">
      <c r="A248" s="6">
        <f t="shared" si="8"/>
        <v>248</v>
      </c>
      <c r="B248" s="6" t="str">
        <f t="shared" si="9"/>
        <v>ø</v>
      </c>
    </row>
    <row r="249" spans="1:2" x14ac:dyDescent="0.25">
      <c r="A249" s="6">
        <f t="shared" si="8"/>
        <v>249</v>
      </c>
      <c r="B249" s="6" t="str">
        <f t="shared" si="9"/>
        <v>ù</v>
      </c>
    </row>
    <row r="250" spans="1:2" x14ac:dyDescent="0.25">
      <c r="A250" s="6">
        <f t="shared" si="8"/>
        <v>250</v>
      </c>
      <c r="B250" s="6" t="str">
        <f t="shared" si="9"/>
        <v>ú</v>
      </c>
    </row>
    <row r="251" spans="1:2" x14ac:dyDescent="0.25">
      <c r="A251" s="6">
        <f t="shared" si="8"/>
        <v>251</v>
      </c>
      <c r="B251" s="6" t="str">
        <f t="shared" si="9"/>
        <v>û</v>
      </c>
    </row>
    <row r="252" spans="1:2" x14ac:dyDescent="0.25">
      <c r="A252" s="6">
        <f t="shared" si="8"/>
        <v>252</v>
      </c>
      <c r="B252" s="6" t="str">
        <f t="shared" si="9"/>
        <v>ü</v>
      </c>
    </row>
    <row r="253" spans="1:2" x14ac:dyDescent="0.25">
      <c r="A253" s="6">
        <f t="shared" si="8"/>
        <v>253</v>
      </c>
      <c r="B253" s="6" t="str">
        <f t="shared" si="9"/>
        <v>ý</v>
      </c>
    </row>
    <row r="254" spans="1:2" x14ac:dyDescent="0.25">
      <c r="A254" s="6">
        <f t="shared" si="8"/>
        <v>254</v>
      </c>
      <c r="B254" s="6" t="str">
        <f t="shared" si="9"/>
        <v>þ</v>
      </c>
    </row>
    <row r="255" spans="1:2" x14ac:dyDescent="0.25">
      <c r="A255" s="6">
        <f t="shared" si="8"/>
        <v>255</v>
      </c>
      <c r="B255" s="6" t="str">
        <f t="shared" si="9"/>
        <v>ÿ</v>
      </c>
    </row>
    <row r="256" spans="1:2" x14ac:dyDescent="0.25">
      <c r="A256" s="6" t="e">
        <f t="shared" si="8"/>
        <v>#VALUE!</v>
      </c>
      <c r="B256" s="6" t="e">
        <f t="shared" si="9"/>
        <v>#VALUE!</v>
      </c>
    </row>
  </sheetData>
  <pageMargins left="0.7" right="0.7" top="0.75" bottom="0.75" header="0.3" footer="0.3"/>
</worksheet>
</file>

<file path=xl/worksheets/sheet2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9">
    <tabColor rgb="FF0000FF"/>
  </sheetPr>
  <dimension ref="A1:G15"/>
  <sheetViews>
    <sheetView zoomScale="160" zoomScaleNormal="160" workbookViewId="0">
      <selection activeCell="E3" sqref="E3"/>
    </sheetView>
  </sheetViews>
  <sheetFormatPr defaultRowHeight="15" x14ac:dyDescent="0.25"/>
  <cols>
    <col min="1" max="1" width="13.7109375" customWidth="1"/>
    <col min="2" max="2" width="1.42578125" customWidth="1"/>
    <col min="3" max="4" width="12.42578125" customWidth="1"/>
    <col min="5" max="6" width="15.42578125" customWidth="1"/>
    <col min="7" max="7" width="15.85546875" customWidth="1"/>
    <col min="8" max="9" width="12.42578125" customWidth="1"/>
  </cols>
  <sheetData>
    <row r="1" spans="1:7" x14ac:dyDescent="0.25">
      <c r="A1" s="8" t="s">
        <v>548</v>
      </c>
      <c r="C1" s="291" t="s">
        <v>1046</v>
      </c>
      <c r="D1" s="18"/>
      <c r="E1" s="102" t="s">
        <v>1047</v>
      </c>
      <c r="F1" s="47"/>
      <c r="G1" s="8" t="s">
        <v>1045</v>
      </c>
    </row>
    <row r="2" spans="1:7" x14ac:dyDescent="0.25">
      <c r="A2" s="5">
        <v>54678</v>
      </c>
      <c r="C2" s="5">
        <f t="array" ref="C2:C5">MMULT(--(IF($A$2:$A$5&lt;&gt;"",$A$2:$A$5)&gt;TRANSPOSE(IF($A$2:$A$5&lt;&gt;"",$A$2:$A$5))),ROW($A$2:$A$5)^0)</f>
        <v>0</v>
      </c>
      <c r="E2" s="5">
        <f>SUMPRODUCT(--($A$2:$A$5&lt;A2))</f>
        <v>0</v>
      </c>
      <c r="G2" s="5">
        <v>54678</v>
      </c>
    </row>
    <row r="3" spans="1:7" x14ac:dyDescent="0.25">
      <c r="A3" s="5" t="s">
        <v>1042</v>
      </c>
      <c r="C3" s="5">
        <v>3</v>
      </c>
      <c r="E3" s="5">
        <f>SUMPRODUCT(--($A$2:$A$5&lt;A3))</f>
        <v>3</v>
      </c>
      <c r="G3" s="5">
        <v>54678</v>
      </c>
    </row>
    <row r="4" spans="1:7" x14ac:dyDescent="0.25">
      <c r="A4" s="5">
        <f>A2</f>
        <v>54678</v>
      </c>
      <c r="C4" s="5">
        <v>0</v>
      </c>
      <c r="E4" s="5">
        <f>SUMPRODUCT(--($A$2:$A$5&lt;A4))</f>
        <v>0</v>
      </c>
      <c r="G4" s="5" t="s">
        <v>1043</v>
      </c>
    </row>
    <row r="5" spans="1:7" x14ac:dyDescent="0.25">
      <c r="A5" s="5" t="s">
        <v>1043</v>
      </c>
      <c r="C5" s="5">
        <v>2</v>
      </c>
      <c r="E5" s="5">
        <f>SUMPRODUCT(--($A$2:$A$5&lt;A5))</f>
        <v>2</v>
      </c>
      <c r="G5" s="5" t="s">
        <v>1042</v>
      </c>
    </row>
    <row r="7" spans="1:7" x14ac:dyDescent="0.25">
      <c r="A7" s="8" t="s">
        <v>986</v>
      </c>
    </row>
    <row r="8" spans="1:7" x14ac:dyDescent="0.25">
      <c r="A8" s="6">
        <f t="array" ref="A8">SUM(IF(FREQUENCY(IF(A2:A5&lt;&gt;"",MATCH(A2:A5,A2:A5,0)),ROW(A2:A5)-ROW(A2)+1),1))</f>
        <v>3</v>
      </c>
    </row>
    <row r="10" spans="1:7" x14ac:dyDescent="0.25">
      <c r="A10" s="8" t="s">
        <v>1044</v>
      </c>
    </row>
    <row r="11" spans="1:7" x14ac:dyDescent="0.25">
      <c r="A11" s="6"/>
    </row>
    <row r="12" spans="1:7" x14ac:dyDescent="0.25">
      <c r="A12" s="6"/>
    </row>
    <row r="13" spans="1:7" x14ac:dyDescent="0.25">
      <c r="A13" s="6"/>
    </row>
    <row r="14" spans="1:7" x14ac:dyDescent="0.25">
      <c r="A14" s="6"/>
    </row>
    <row r="15" spans="1:7" x14ac:dyDescent="0.25">
      <c r="A15" s="6"/>
    </row>
  </sheetData>
  <pageMargins left="0.7" right="0.7" top="0.75" bottom="0.75" header="0.3" footer="0.3"/>
</worksheet>
</file>

<file path=xl/worksheets/sheet2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0">
    <tabColor rgb="FF0000FF"/>
  </sheetPr>
  <dimension ref="A1:H15"/>
  <sheetViews>
    <sheetView zoomScale="160" zoomScaleNormal="160" workbookViewId="0">
      <selection activeCell="E3" sqref="E3"/>
    </sheetView>
  </sheetViews>
  <sheetFormatPr defaultRowHeight="15" x14ac:dyDescent="0.25"/>
  <cols>
    <col min="1" max="1" width="13.7109375" customWidth="1"/>
    <col min="2" max="2" width="1.42578125" customWidth="1"/>
    <col min="3" max="3" width="17.42578125" customWidth="1"/>
    <col min="4" max="4" width="1.5703125" customWidth="1"/>
    <col min="5" max="9" width="11.42578125" customWidth="1"/>
    <col min="10" max="10" width="12.42578125" customWidth="1"/>
  </cols>
  <sheetData>
    <row r="1" spans="1:8" x14ac:dyDescent="0.25">
      <c r="A1" s="8" t="s">
        <v>548</v>
      </c>
      <c r="E1" s="5">
        <f t="array" ref="E1:H1">TRANSPOSE(A2:A5)</f>
        <v>54678</v>
      </c>
      <c r="F1" s="5" t="str">
        <v>SD-987-56</v>
      </c>
      <c r="G1" s="5">
        <v>54678</v>
      </c>
      <c r="H1" s="5" t="str">
        <v>P-Tru-5423</v>
      </c>
    </row>
    <row r="2" spans="1:8" x14ac:dyDescent="0.25">
      <c r="A2" s="5">
        <v>54678</v>
      </c>
      <c r="C2">
        <f t="array" ref="C2:C5">MMULT(E2:H5,{1;1;1;1})</f>
        <v>0</v>
      </c>
      <c r="E2" s="5">
        <f t="array" ref="E2:H5">--(A2:A5&gt;E1:H1)</f>
        <v>0</v>
      </c>
      <c r="F2" s="5">
        <v>0</v>
      </c>
      <c r="G2" s="5">
        <v>0</v>
      </c>
      <c r="H2" s="5">
        <v>0</v>
      </c>
    </row>
    <row r="3" spans="1:8" x14ac:dyDescent="0.25">
      <c r="A3" s="5" t="s">
        <v>1042</v>
      </c>
      <c r="C3">
        <v>3</v>
      </c>
      <c r="E3" s="5">
        <v>1</v>
      </c>
      <c r="F3" s="5">
        <v>0</v>
      </c>
      <c r="G3" s="5">
        <v>1</v>
      </c>
      <c r="H3" s="5">
        <v>1</v>
      </c>
    </row>
    <row r="4" spans="1:8" x14ac:dyDescent="0.25">
      <c r="A4" s="5">
        <f>A2</f>
        <v>54678</v>
      </c>
      <c r="C4">
        <v>0</v>
      </c>
      <c r="E4" s="5">
        <v>0</v>
      </c>
      <c r="F4" s="5">
        <v>0</v>
      </c>
      <c r="G4" s="5">
        <v>0</v>
      </c>
      <c r="H4" s="5">
        <v>0</v>
      </c>
    </row>
    <row r="5" spans="1:8" x14ac:dyDescent="0.25">
      <c r="A5" s="5" t="s">
        <v>1043</v>
      </c>
      <c r="C5">
        <v>2</v>
      </c>
      <c r="E5" s="5">
        <v>1</v>
      </c>
      <c r="F5" s="5">
        <v>0</v>
      </c>
      <c r="G5" s="5">
        <v>1</v>
      </c>
      <c r="H5" s="5">
        <v>0</v>
      </c>
    </row>
    <row r="7" spans="1:8" x14ac:dyDescent="0.25">
      <c r="A7" s="8" t="s">
        <v>986</v>
      </c>
    </row>
    <row r="8" spans="1:8" x14ac:dyDescent="0.25">
      <c r="A8" s="6">
        <f t="array" ref="A8">SUM(IF(FREQUENCY(IF(A2:A5&lt;&gt;"",MATCH(A2:A5,A2:A5,0)),ROW(A2:A5)-ROW(A2)+1),1))</f>
        <v>3</v>
      </c>
    </row>
    <row r="10" spans="1:8" x14ac:dyDescent="0.25">
      <c r="A10" s="8" t="s">
        <v>1044</v>
      </c>
    </row>
    <row r="11" spans="1:8" x14ac:dyDescent="0.25">
      <c r="A11" s="6"/>
    </row>
    <row r="12" spans="1:8" x14ac:dyDescent="0.25">
      <c r="A12" s="6"/>
    </row>
    <row r="13" spans="1:8" x14ac:dyDescent="0.25">
      <c r="A13" s="6"/>
    </row>
    <row r="14" spans="1:8" x14ac:dyDescent="0.25">
      <c r="A14" s="6"/>
    </row>
    <row r="15" spans="1:8" x14ac:dyDescent="0.25">
      <c r="A15" s="6"/>
    </row>
  </sheetData>
  <pageMargins left="0.7" right="0.7" top="0.75" bottom="0.75" header="0.3" footer="0.3"/>
</worksheet>
</file>

<file path=xl/worksheets/sheet2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1">
    <tabColor rgb="FF0000FF"/>
  </sheetPr>
  <dimension ref="A1:C15"/>
  <sheetViews>
    <sheetView zoomScale="160" zoomScaleNormal="160" workbookViewId="0">
      <selection activeCell="E3" sqref="E3"/>
    </sheetView>
  </sheetViews>
  <sheetFormatPr defaultRowHeight="15" x14ac:dyDescent="0.25"/>
  <cols>
    <col min="1" max="1" width="13.7109375" customWidth="1"/>
    <col min="2" max="2" width="4.85546875" customWidth="1"/>
    <col min="3" max="3" width="17.42578125" customWidth="1"/>
    <col min="4" max="4" width="1.5703125" customWidth="1"/>
    <col min="5" max="9" width="11.42578125" customWidth="1"/>
    <col min="10" max="10" width="12.42578125" customWidth="1"/>
  </cols>
  <sheetData>
    <row r="1" spans="1:3" x14ac:dyDescent="0.25">
      <c r="A1" s="8" t="s">
        <v>548</v>
      </c>
    </row>
    <row r="2" spans="1:3" x14ac:dyDescent="0.25">
      <c r="A2" s="5">
        <v>54678</v>
      </c>
      <c r="C2">
        <f t="array" ref="C2:C5">MMULT(--(IF($A$2:$A$5&lt;&gt;"",$A$2:$A$5)&gt;TRANSPOSE(IF($A$2:$A$5&lt;&gt;"",$A$2:$A$5))),ROW($A$2:$A$5)^0)</f>
        <v>0</v>
      </c>
    </row>
    <row r="3" spans="1:3" x14ac:dyDescent="0.25">
      <c r="A3" s="5"/>
      <c r="C3">
        <v>3</v>
      </c>
    </row>
    <row r="4" spans="1:3" x14ac:dyDescent="0.25">
      <c r="A4" s="5">
        <f>A2</f>
        <v>54678</v>
      </c>
      <c r="C4">
        <v>0</v>
      </c>
    </row>
    <row r="5" spans="1:3" x14ac:dyDescent="0.25">
      <c r="A5" s="5" t="s">
        <v>1043</v>
      </c>
      <c r="C5">
        <v>2</v>
      </c>
    </row>
    <row r="6" spans="1:3" ht="4.5" customHeight="1" x14ac:dyDescent="0.25"/>
    <row r="7" spans="1:3" x14ac:dyDescent="0.25">
      <c r="A7" s="8" t="s">
        <v>986</v>
      </c>
    </row>
    <row r="8" spans="1:3" x14ac:dyDescent="0.25">
      <c r="A8" s="6">
        <f t="array" ref="A8">SUM(IF(FREQUENCY(IF(A2:A5&lt;&gt;"",MATCH(A2:A5,A2:A5,0)),ROW(A2:A5)-ROW(A2)+1),1))</f>
        <v>2</v>
      </c>
    </row>
    <row r="9" spans="1:3" ht="3" customHeight="1" x14ac:dyDescent="0.25"/>
    <row r="10" spans="1:3" x14ac:dyDescent="0.25">
      <c r="A10" s="8" t="s">
        <v>1044</v>
      </c>
    </row>
    <row r="11" spans="1:3" x14ac:dyDescent="0.25">
      <c r="A11" s="6">
        <f t="array" ref="A11">IF(ROWS(A$11:A11)&gt;A$8,"",INDEX($A$2:$A$5,MATCH(MIN(IF($A$2:$A$5&lt;&gt;"",IF(ISNA(MATCH($A$2:$A$5,A$10:A10,0)),HMA))),HMA,0)))</f>
        <v>54678</v>
      </c>
    </row>
    <row r="12" spans="1:3" x14ac:dyDescent="0.25">
      <c r="A12" s="6" t="str">
        <f t="array" ref="A12">IF(ROWS(A$11:A12)&gt;A$8,"",INDEX($A$2:$A$5,MATCH(MIN(IF($A$2:$A$5&lt;&gt;"",IF(ISNA(MATCH($A$2:$A$5,A$10:A11,0)),HMA))),HMA,0)))</f>
        <v>P-Tru-5423</v>
      </c>
    </row>
    <row r="13" spans="1:3" x14ac:dyDescent="0.25">
      <c r="A13" s="6" t="str">
        <f t="array" ref="A13">IF(ROWS(A$11:A13)&gt;A$8,"",INDEX($A$2:$A$5,MATCH(MIN(IF($A$2:$A$5&lt;&gt;"",IF(ISNA(MATCH($A$2:$A$5,A$10:A12,0)),HMA))),HMA,0)))</f>
        <v/>
      </c>
    </row>
    <row r="14" spans="1:3" x14ac:dyDescent="0.25">
      <c r="A14" s="6" t="str">
        <f t="array" ref="A14">IF(ROWS(A$11:A14)&gt;A$8,"",INDEX($A$2:$A$5,MATCH(MIN(IF($A$2:$A$5&lt;&gt;"",IF(ISNA(MATCH($A$2:$A$5,A$10:A13,0)),HMA))),HMA,0)))</f>
        <v/>
      </c>
    </row>
    <row r="15" spans="1:3" x14ac:dyDescent="0.25">
      <c r="A15" s="6" t="str">
        <f t="array" ref="A15">IF(ROWS(A$11:A15)&gt;A$8,"",INDEX($A$2:$A$5,MATCH(MIN(IF($A$2:$A$5&lt;&gt;"",IF(ISNA(MATCH($A$2:$A$5,A$10:A14,0)),HMA))),HMA,0)))</f>
        <v/>
      </c>
    </row>
  </sheetData>
  <pageMargins left="0.7" right="0.7" top="0.75" bottom="0.75" header="0.3" footer="0.3"/>
</worksheet>
</file>

<file path=xl/worksheets/sheet2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2">
    <tabColor rgb="FF0000FF"/>
  </sheetPr>
  <dimension ref="A1:M11"/>
  <sheetViews>
    <sheetView zoomScale="130" zoomScaleNormal="130" workbookViewId="0">
      <selection activeCell="E3" sqref="E3"/>
    </sheetView>
  </sheetViews>
  <sheetFormatPr defaultRowHeight="15" x14ac:dyDescent="0.25"/>
  <cols>
    <col min="1" max="1" width="8.28515625" customWidth="1"/>
    <col min="11" max="11" width="56.85546875" customWidth="1"/>
  </cols>
  <sheetData>
    <row r="1" spans="1:13" x14ac:dyDescent="0.25">
      <c r="A1" s="23" t="s">
        <v>1297</v>
      </c>
      <c r="M1" s="23" t="s">
        <v>0</v>
      </c>
    </row>
    <row r="2" spans="1:13" x14ac:dyDescent="0.25">
      <c r="A2" s="4" t="s">
        <v>0</v>
      </c>
      <c r="B2" s="4" t="s">
        <v>1</v>
      </c>
      <c r="I2" s="4" t="s">
        <v>0</v>
      </c>
      <c r="J2" s="4" t="s">
        <v>2</v>
      </c>
      <c r="M2" t="s">
        <v>4</v>
      </c>
    </row>
    <row r="3" spans="1:13" x14ac:dyDescent="0.25">
      <c r="A3" s="5" t="s">
        <v>3</v>
      </c>
      <c r="B3" s="5">
        <v>5</v>
      </c>
      <c r="I3" s="5" t="s">
        <v>4</v>
      </c>
      <c r="J3" s="6">
        <f t="array" ref="J3">MIN(IF($A$3:$A$8=I3,$B$3:$B$8))</f>
        <v>6</v>
      </c>
      <c r="K3" t="s">
        <v>1863</v>
      </c>
      <c r="M3" t="s">
        <v>3</v>
      </c>
    </row>
    <row r="4" spans="1:13" x14ac:dyDescent="0.25">
      <c r="A4" s="5" t="s">
        <v>5</v>
      </c>
      <c r="B4" s="5">
        <v>12</v>
      </c>
      <c r="I4" s="5" t="s">
        <v>3</v>
      </c>
      <c r="J4" s="6">
        <f t="array" ref="J4">MIN(IF($A$3:$A$8=I4,$B$3:$B$8))</f>
        <v>4</v>
      </c>
      <c r="K4" t="s">
        <v>1864</v>
      </c>
      <c r="M4" t="s">
        <v>5</v>
      </c>
    </row>
    <row r="5" spans="1:13" x14ac:dyDescent="0.25">
      <c r="A5" s="5" t="s">
        <v>4</v>
      </c>
      <c r="B5" s="5">
        <v>6</v>
      </c>
      <c r="I5" s="5" t="s">
        <v>5</v>
      </c>
      <c r="J5" s="6">
        <f t="array" ref="J5">MIN(IF($A$3:$A$8=I5,$B$3:$B$8))</f>
        <v>10</v>
      </c>
      <c r="K5" t="s">
        <v>1865</v>
      </c>
    </row>
    <row r="6" spans="1:13" x14ac:dyDescent="0.25">
      <c r="A6" s="5" t="s">
        <v>3</v>
      </c>
      <c r="B6" s="5">
        <v>4</v>
      </c>
    </row>
    <row r="7" spans="1:13" x14ac:dyDescent="0.25">
      <c r="A7" s="5" t="s">
        <v>5</v>
      </c>
      <c r="B7" s="5">
        <v>10</v>
      </c>
      <c r="J7" t="s">
        <v>1298</v>
      </c>
    </row>
    <row r="8" spans="1:13" x14ac:dyDescent="0.25">
      <c r="A8" s="5" t="s">
        <v>4</v>
      </c>
      <c r="B8" s="5">
        <v>9</v>
      </c>
      <c r="I8" s="4" t="s">
        <v>0</v>
      </c>
      <c r="J8" s="4" t="s">
        <v>2</v>
      </c>
    </row>
    <row r="9" spans="1:13" x14ac:dyDescent="0.25">
      <c r="I9" s="5" t="s">
        <v>4</v>
      </c>
      <c r="J9" s="6">
        <f>_xlfn.AGGREGATE(15,6,$B$3:$B$8/($A$3:$A$8=I9),1)</f>
        <v>6</v>
      </c>
      <c r="K9" t="s">
        <v>1866</v>
      </c>
    </row>
    <row r="10" spans="1:13" x14ac:dyDescent="0.25">
      <c r="A10" s="26" t="s">
        <v>21</v>
      </c>
      <c r="I10" s="5" t="s">
        <v>3</v>
      </c>
      <c r="J10" s="6">
        <f>_xlfn.AGGREGATE(15,6,$B$3:$B$8/($A$3:$A$8=I10),1)</f>
        <v>4</v>
      </c>
      <c r="K10" t="s">
        <v>1867</v>
      </c>
    </row>
    <row r="11" spans="1:13" x14ac:dyDescent="0.25">
      <c r="A11" s="5" t="s">
        <v>4</v>
      </c>
      <c r="I11" s="5" t="s">
        <v>5</v>
      </c>
      <c r="J11" s="6">
        <f>_xlfn.AGGREGATE(15,6,$B$3:$B$8/($A$3:$A$8=I11),1)</f>
        <v>10</v>
      </c>
      <c r="K11" t="s">
        <v>1868</v>
      </c>
    </row>
  </sheetData>
  <sortState ref="M2:M4">
    <sortCondition ref="M3"/>
  </sortState>
  <conditionalFormatting sqref="A3:B8">
    <cfRule type="expression" dxfId="2" priority="6">
      <formula>MIN(IF($A$3:$A$8=$A$11,$B$3:$B$8))=$B3</formula>
    </cfRule>
  </conditionalFormatting>
  <dataValidations disablePrompts="1" count="1">
    <dataValidation type="list" allowBlank="1" showInputMessage="1" showErrorMessage="1" sqref="A11">
      <formula1>$M$2:$M$4</formula1>
    </dataValidation>
  </dataValidations>
  <pageMargins left="0.7" right="0.7" top="0.75" bottom="0.75" header="0.3" footer="0.3"/>
  <pageSetup orientation="portrait" r:id="rId1"/>
</worksheet>
</file>

<file path=xl/worksheets/sheet2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3">
    <tabColor rgb="FF0000FF"/>
  </sheetPr>
  <dimension ref="A1:K19"/>
  <sheetViews>
    <sheetView zoomScale="145" zoomScaleNormal="145" workbookViewId="0">
      <selection activeCell="E3" sqref="E3"/>
    </sheetView>
  </sheetViews>
  <sheetFormatPr defaultRowHeight="15" x14ac:dyDescent="0.25"/>
  <cols>
    <col min="1" max="1" width="9.85546875" customWidth="1"/>
    <col min="2" max="2" width="7.42578125" customWidth="1"/>
    <col min="3" max="3" width="2.7109375" customWidth="1"/>
    <col min="4" max="4" width="11.140625" customWidth="1"/>
    <col min="6" max="6" width="39.28515625" customWidth="1"/>
    <col min="8" max="8" width="11.28515625" customWidth="1"/>
    <col min="9" max="11" width="5.28515625" customWidth="1"/>
  </cols>
  <sheetData>
    <row r="1" spans="1:11" x14ac:dyDescent="0.25">
      <c r="A1" s="23" t="str">
        <f>"Conditional format row with racer's "&amp;CHOOSE(B17,"",B17,B17)&amp;" fastest times using helper cell."</f>
        <v>Conditional format row with racer's 2 fastest times using helper cell.</v>
      </c>
    </row>
    <row r="2" spans="1:11" x14ac:dyDescent="0.25">
      <c r="A2" s="8" t="s">
        <v>1299</v>
      </c>
      <c r="B2" s="8" t="s">
        <v>98</v>
      </c>
      <c r="H2" s="8" t="s">
        <v>1299</v>
      </c>
      <c r="I2" s="5">
        <v>1</v>
      </c>
      <c r="J2" s="5">
        <v>2</v>
      </c>
      <c r="K2" s="14">
        <v>3</v>
      </c>
    </row>
    <row r="3" spans="1:11" x14ac:dyDescent="0.25">
      <c r="A3" s="5" t="s">
        <v>102</v>
      </c>
      <c r="B3" s="5">
        <v>44.4</v>
      </c>
      <c r="H3" s="5" t="s">
        <v>102</v>
      </c>
      <c r="I3" s="6">
        <f t="shared" ref="I3:K5" si="0">_xlfn.AGGREGATE(15,6,$B$3:$B$14/($A$3:$A$14=$H3),I$2)</f>
        <v>43.6</v>
      </c>
      <c r="J3" s="6">
        <f t="shared" si="0"/>
        <v>44.4</v>
      </c>
      <c r="K3" s="6">
        <f t="shared" si="0"/>
        <v>46.8</v>
      </c>
    </row>
    <row r="4" spans="1:11" x14ac:dyDescent="0.25">
      <c r="A4" s="5" t="s">
        <v>1300</v>
      </c>
      <c r="B4" s="5">
        <v>47.9</v>
      </c>
      <c r="H4" s="5" t="s">
        <v>1300</v>
      </c>
      <c r="I4" s="6">
        <f t="shared" si="0"/>
        <v>47.9</v>
      </c>
      <c r="J4" s="6">
        <f t="shared" si="0"/>
        <v>49.6</v>
      </c>
      <c r="K4" s="6">
        <f t="shared" si="0"/>
        <v>49.7</v>
      </c>
    </row>
    <row r="5" spans="1:11" x14ac:dyDescent="0.25">
      <c r="A5" s="14" t="s">
        <v>103</v>
      </c>
      <c r="B5" s="5">
        <v>49.5</v>
      </c>
      <c r="H5" s="5" t="s">
        <v>103</v>
      </c>
      <c r="I5" s="6">
        <f t="shared" si="0"/>
        <v>49.5</v>
      </c>
      <c r="J5" s="6">
        <f t="shared" si="0"/>
        <v>50.2</v>
      </c>
      <c r="K5" s="6">
        <f t="shared" si="0"/>
        <v>50.3</v>
      </c>
    </row>
    <row r="6" spans="1:11" x14ac:dyDescent="0.25">
      <c r="A6" s="14" t="s">
        <v>103</v>
      </c>
      <c r="B6" s="5">
        <v>50.3</v>
      </c>
    </row>
    <row r="7" spans="1:11" x14ac:dyDescent="0.25">
      <c r="A7" s="14" t="s">
        <v>102</v>
      </c>
      <c r="B7" s="5">
        <v>46.8</v>
      </c>
    </row>
    <row r="8" spans="1:11" x14ac:dyDescent="0.25">
      <c r="A8" s="14" t="s">
        <v>102</v>
      </c>
      <c r="B8" s="5">
        <v>43.6</v>
      </c>
    </row>
    <row r="9" spans="1:11" x14ac:dyDescent="0.25">
      <c r="A9" s="5" t="s">
        <v>103</v>
      </c>
      <c r="B9" s="5">
        <v>50.2</v>
      </c>
    </row>
    <row r="10" spans="1:11" x14ac:dyDescent="0.25">
      <c r="A10" s="14" t="s">
        <v>1300</v>
      </c>
      <c r="B10" s="5">
        <v>49.7</v>
      </c>
    </row>
    <row r="11" spans="1:11" x14ac:dyDescent="0.25">
      <c r="A11" s="14" t="s">
        <v>102</v>
      </c>
      <c r="B11" s="5">
        <v>51.1</v>
      </c>
    </row>
    <row r="12" spans="1:11" x14ac:dyDescent="0.25">
      <c r="A12" s="14" t="s">
        <v>1300</v>
      </c>
      <c r="B12" s="5">
        <v>49.6</v>
      </c>
    </row>
    <row r="13" spans="1:11" x14ac:dyDescent="0.25">
      <c r="A13" s="5" t="s">
        <v>1300</v>
      </c>
      <c r="B13" s="5">
        <v>50.3</v>
      </c>
    </row>
    <row r="14" spans="1:11" x14ac:dyDescent="0.25">
      <c r="A14" s="14" t="s">
        <v>103</v>
      </c>
      <c r="B14" s="5">
        <v>50.3</v>
      </c>
    </row>
    <row r="16" spans="1:11" x14ac:dyDescent="0.25">
      <c r="A16" s="26" t="s">
        <v>21</v>
      </c>
      <c r="B16" s="26" t="s">
        <v>1302</v>
      </c>
      <c r="D16" s="23" t="s">
        <v>1301</v>
      </c>
    </row>
    <row r="17" spans="1:5" x14ac:dyDescent="0.25">
      <c r="A17" s="5" t="s">
        <v>103</v>
      </c>
      <c r="B17" s="5">
        <v>2</v>
      </c>
      <c r="D17" s="214" t="str">
        <f>B17&amp;CHOOSE(B17,"st","nd","rd")&amp;" Fastest"</f>
        <v>2nd Fastest</v>
      </c>
    </row>
    <row r="18" spans="1:5" x14ac:dyDescent="0.25">
      <c r="D18" s="6">
        <f>_xlfn.AGGREGATE(15,6,B3:B14/(A3:A14=A17),B17)</f>
        <v>50.2</v>
      </c>
      <c r="E18" t="s">
        <v>1869</v>
      </c>
    </row>
    <row r="19" spans="1:5" x14ac:dyDescent="0.25">
      <c r="D19" s="6">
        <f t="array" ref="D19">SMALL(IF($A$3:$A$14=$A$17,$B$3:$B$14),$B$17)</f>
        <v>50.2</v>
      </c>
      <c r="E19" t="s">
        <v>1870</v>
      </c>
    </row>
  </sheetData>
  <conditionalFormatting sqref="A3:B14">
    <cfRule type="expression" dxfId="1" priority="39">
      <formula>AND($A3=$A$17,$B3&lt;=$D$18)</formula>
    </cfRule>
  </conditionalFormatting>
  <dataValidations disablePrompts="1" count="2">
    <dataValidation type="list" allowBlank="1" showInputMessage="1" showErrorMessage="1" sqref="A17">
      <formula1>$H$3:$H$5</formula1>
    </dataValidation>
    <dataValidation type="list" allowBlank="1" showInputMessage="1" showErrorMessage="1" sqref="B17">
      <formula1>"1,2,3"</formula1>
    </dataValidation>
  </dataValidations>
  <pageMargins left="0.7" right="0.7" top="0.75" bottom="0.75" header="0.3" footer="0.3"/>
</worksheet>
</file>

<file path=xl/worksheets/sheet2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4">
    <tabColor rgb="FF0000FF"/>
  </sheetPr>
  <dimension ref="A1:J32"/>
  <sheetViews>
    <sheetView zoomScale="160" zoomScaleNormal="160" workbookViewId="0">
      <selection activeCell="E3" sqref="E3"/>
    </sheetView>
  </sheetViews>
  <sheetFormatPr defaultRowHeight="15" x14ac:dyDescent="0.25"/>
  <cols>
    <col min="1" max="1" width="14.28515625" customWidth="1"/>
    <col min="2" max="2" width="13.28515625" bestFit="1" customWidth="1"/>
    <col min="3" max="3" width="6.5703125" customWidth="1"/>
    <col min="4" max="4" width="22" customWidth="1"/>
    <col min="5" max="5" width="7.5703125" customWidth="1"/>
    <col min="6" max="6" width="4.7109375" customWidth="1"/>
    <col min="7" max="7" width="11.7109375" customWidth="1"/>
    <col min="9" max="9" width="11.140625" customWidth="1"/>
  </cols>
  <sheetData>
    <row r="1" spans="1:4" x14ac:dyDescent="0.25">
      <c r="A1" s="8" t="s">
        <v>1303</v>
      </c>
      <c r="B1" s="296">
        <v>225000</v>
      </c>
      <c r="C1" t="s">
        <v>1312</v>
      </c>
    </row>
    <row r="2" spans="1:4" x14ac:dyDescent="0.25">
      <c r="A2" s="8" t="s">
        <v>1304</v>
      </c>
      <c r="B2" s="295">
        <v>0.04</v>
      </c>
      <c r="C2" t="s">
        <v>1313</v>
      </c>
    </row>
    <row r="3" spans="1:4" x14ac:dyDescent="0.25">
      <c r="A3" s="8" t="s">
        <v>1305</v>
      </c>
      <c r="B3" s="292">
        <f>B2/12</f>
        <v>3.3333333333333335E-3</v>
      </c>
      <c r="C3" t="s">
        <v>1871</v>
      </c>
    </row>
    <row r="4" spans="1:4" x14ac:dyDescent="0.25">
      <c r="A4" s="8" t="s">
        <v>1306</v>
      </c>
      <c r="B4" s="5">
        <v>30</v>
      </c>
      <c r="C4" t="s">
        <v>1313</v>
      </c>
    </row>
    <row r="5" spans="1:4" x14ac:dyDescent="0.25">
      <c r="A5" s="8" t="s">
        <v>1307</v>
      </c>
      <c r="B5" s="6">
        <f>B4*12</f>
        <v>360</v>
      </c>
      <c r="C5" t="s">
        <v>1872</v>
      </c>
    </row>
    <row r="6" spans="1:4" x14ac:dyDescent="0.25">
      <c r="A6" s="8" t="s">
        <v>1308</v>
      </c>
      <c r="B6" s="293">
        <f>-PMT(B3,B5,B1)</f>
        <v>1074.1844147972838</v>
      </c>
      <c r="C6" t="s">
        <v>1873</v>
      </c>
    </row>
    <row r="8" spans="1:4" x14ac:dyDescent="0.25">
      <c r="A8" s="23" t="s">
        <v>1311</v>
      </c>
      <c r="B8" s="23"/>
    </row>
    <row r="9" spans="1:4" x14ac:dyDescent="0.25">
      <c r="A9" s="8" t="str">
        <f>A2</f>
        <v>Annual Rate</v>
      </c>
      <c r="B9" s="8" t="str">
        <f>A6</f>
        <v>Monthly PMT</v>
      </c>
    </row>
    <row r="10" spans="1:4" x14ac:dyDescent="0.25">
      <c r="A10" s="5"/>
      <c r="B10" s="297">
        <f>B6</f>
        <v>1074.1844147972838</v>
      </c>
      <c r="C10" t="s">
        <v>1874</v>
      </c>
      <c r="D10" t="s">
        <v>1897</v>
      </c>
    </row>
    <row r="11" spans="1:4" x14ac:dyDescent="0.25">
      <c r="A11" s="295">
        <f>B31</f>
        <v>0.02</v>
      </c>
      <c r="B11" s="85">
        <f t="dataTable" ref="B11:B15" dt2D="0" dtr="0" r1="B2"/>
        <v>831.64381354984619</v>
      </c>
      <c r="D11" s="302" t="s">
        <v>1314</v>
      </c>
    </row>
    <row r="12" spans="1:4" x14ac:dyDescent="0.25">
      <c r="A12" s="295">
        <f>A11+B$32</f>
        <v>0.03</v>
      </c>
      <c r="B12" s="85">
        <v>948.60907589126361</v>
      </c>
      <c r="D12" s="302" t="s">
        <v>1315</v>
      </c>
    </row>
    <row r="13" spans="1:4" x14ac:dyDescent="0.25">
      <c r="A13" s="295">
        <f>A12+B$32</f>
        <v>0.04</v>
      </c>
      <c r="B13" s="85">
        <v>1074.1844147972838</v>
      </c>
    </row>
    <row r="14" spans="1:4" x14ac:dyDescent="0.25">
      <c r="A14" s="295">
        <f>A13+B$32</f>
        <v>0.05</v>
      </c>
      <c r="B14" s="85">
        <v>1207.8486517773129</v>
      </c>
    </row>
    <row r="15" spans="1:4" x14ac:dyDescent="0.25">
      <c r="A15" s="295">
        <f>A14+B$32</f>
        <v>6.0000000000000005E-2</v>
      </c>
      <c r="B15" s="85">
        <v>1348.9886815936927</v>
      </c>
    </row>
    <row r="17" spans="1:10" x14ac:dyDescent="0.25">
      <c r="B17" t="s">
        <v>1316</v>
      </c>
    </row>
    <row r="18" spans="1:10" x14ac:dyDescent="0.25">
      <c r="B18" s="85">
        <f>-PMT(A11/12,$B$4*12,$B$1)</f>
        <v>831.64381354984619</v>
      </c>
    </row>
    <row r="19" spans="1:10" x14ac:dyDescent="0.25">
      <c r="B19" s="85">
        <f>-PMT(A12/12,$B$4*12,$B$1)</f>
        <v>948.60907589126361</v>
      </c>
    </row>
    <row r="20" spans="1:10" x14ac:dyDescent="0.25">
      <c r="B20" s="85">
        <f>-PMT(A13/12,$B$4*12,$B$1)</f>
        <v>1074.1844147972838</v>
      </c>
    </row>
    <row r="21" spans="1:10" x14ac:dyDescent="0.25">
      <c r="B21" s="85">
        <f>-PMT(A14/12,$B$4*12,$B$1)</f>
        <v>1207.8486517773129</v>
      </c>
    </row>
    <row r="22" spans="1:10" x14ac:dyDescent="0.25">
      <c r="B22" s="85">
        <f>-PMT(A15/12,$B$4*12,$B$1)</f>
        <v>1348.9886815936927</v>
      </c>
      <c r="J22" s="221"/>
    </row>
    <row r="31" spans="1:10" ht="30" x14ac:dyDescent="0.25">
      <c r="A31" s="106" t="s">
        <v>1309</v>
      </c>
      <c r="B31" s="294">
        <v>0.02</v>
      </c>
    </row>
    <row r="32" spans="1:10" ht="30" x14ac:dyDescent="0.25">
      <c r="A32" s="106" t="s">
        <v>1310</v>
      </c>
      <c r="B32" s="294">
        <v>0.01</v>
      </c>
    </row>
  </sheetData>
  <pageMargins left="0.7" right="0.7" top="0.75" bottom="0.75" header="0.3" footer="0.3"/>
</worksheet>
</file>

<file path=xl/worksheets/sheet2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00FF"/>
  </sheetPr>
  <dimension ref="A1:I18"/>
  <sheetViews>
    <sheetView zoomScale="115" zoomScaleNormal="115" workbookViewId="0">
      <selection activeCell="E3" sqref="E3"/>
    </sheetView>
  </sheetViews>
  <sheetFormatPr defaultRowHeight="15" x14ac:dyDescent="0.25"/>
  <cols>
    <col min="1" max="1" width="18.5703125" customWidth="1"/>
    <col min="2" max="2" width="8.85546875" customWidth="1"/>
    <col min="3" max="3" width="2.42578125" customWidth="1"/>
    <col min="4" max="4" width="11.85546875" bestFit="1" customWidth="1"/>
    <col min="5" max="9" width="13.85546875" customWidth="1"/>
  </cols>
  <sheetData>
    <row r="1" spans="1:9" ht="30" x14ac:dyDescent="0.25">
      <c r="E1" s="303" t="s">
        <v>1875</v>
      </c>
      <c r="F1" s="303" t="s">
        <v>1876</v>
      </c>
      <c r="G1" s="303" t="s">
        <v>1877</v>
      </c>
      <c r="H1" s="303" t="s">
        <v>1878</v>
      </c>
      <c r="I1" s="303" t="s">
        <v>1879</v>
      </c>
    </row>
    <row r="2" spans="1:9" x14ac:dyDescent="0.25">
      <c r="A2" s="23" t="s">
        <v>1318</v>
      </c>
      <c r="B2" s="23"/>
      <c r="D2" s="8" t="s">
        <v>25</v>
      </c>
      <c r="E2" s="8" t="s">
        <v>91</v>
      </c>
      <c r="F2" s="8" t="s">
        <v>1317</v>
      </c>
      <c r="G2" s="8" t="s">
        <v>1319</v>
      </c>
      <c r="H2" s="8" t="s">
        <v>475</v>
      </c>
      <c r="I2" s="8" t="s">
        <v>147</v>
      </c>
    </row>
    <row r="3" spans="1:9" x14ac:dyDescent="0.25">
      <c r="A3" s="304" t="s">
        <v>1325</v>
      </c>
      <c r="B3" s="301">
        <v>5000</v>
      </c>
      <c r="D3" s="5"/>
      <c r="E3" s="305">
        <f>B3*B4</f>
        <v>150000</v>
      </c>
      <c r="F3" s="305">
        <f>B3*B5</f>
        <v>68450</v>
      </c>
      <c r="G3" s="305">
        <f>E3-F3</f>
        <v>81550</v>
      </c>
      <c r="H3" s="305">
        <f>E3-F3-B6</f>
        <v>2300</v>
      </c>
      <c r="I3" s="305">
        <f>F3+B6</f>
        <v>147700</v>
      </c>
    </row>
    <row r="4" spans="1:9" x14ac:dyDescent="0.25">
      <c r="A4" s="304" t="s">
        <v>1320</v>
      </c>
      <c r="B4" s="69">
        <v>30</v>
      </c>
      <c r="D4" s="5">
        <f>B17</f>
        <v>0</v>
      </c>
      <c r="E4" s="306">
        <f t="dataTable" ref="E4:I12" dt2D="0" dtr="0" r1="B3"/>
        <v>0</v>
      </c>
      <c r="F4" s="306">
        <v>0</v>
      </c>
      <c r="G4" s="306">
        <v>0</v>
      </c>
      <c r="H4" s="306">
        <v>-79250</v>
      </c>
      <c r="I4" s="306">
        <v>79250</v>
      </c>
    </row>
    <row r="5" spans="1:9" x14ac:dyDescent="0.25">
      <c r="A5" s="304" t="s">
        <v>1324</v>
      </c>
      <c r="B5" s="30">
        <v>13.69</v>
      </c>
      <c r="D5" s="5">
        <f t="shared" ref="D5:D12" si="0">D4+$B$18</f>
        <v>2000</v>
      </c>
      <c r="E5" s="306">
        <v>60000</v>
      </c>
      <c r="F5" s="306">
        <v>27380</v>
      </c>
      <c r="G5" s="306">
        <v>32620</v>
      </c>
      <c r="H5" s="306">
        <v>-46630</v>
      </c>
      <c r="I5" s="306">
        <v>106630</v>
      </c>
    </row>
    <row r="6" spans="1:9" x14ac:dyDescent="0.25">
      <c r="A6" s="304" t="s">
        <v>1323</v>
      </c>
      <c r="B6" s="69">
        <v>79250</v>
      </c>
      <c r="D6" s="5">
        <f t="shared" si="0"/>
        <v>4000</v>
      </c>
      <c r="E6" s="306">
        <v>120000</v>
      </c>
      <c r="F6" s="306">
        <v>54760</v>
      </c>
      <c r="G6" s="306">
        <v>65240</v>
      </c>
      <c r="H6" s="306">
        <v>-14010</v>
      </c>
      <c r="I6" s="306">
        <v>134010</v>
      </c>
    </row>
    <row r="7" spans="1:9" x14ac:dyDescent="0.25">
      <c r="D7" s="5">
        <f t="shared" si="0"/>
        <v>6000</v>
      </c>
      <c r="E7" s="306">
        <v>180000</v>
      </c>
      <c r="F7" s="306">
        <v>82140</v>
      </c>
      <c r="G7" s="306">
        <v>97860</v>
      </c>
      <c r="H7" s="306">
        <v>18610</v>
      </c>
      <c r="I7" s="306">
        <v>161390</v>
      </c>
    </row>
    <row r="8" spans="1:9" x14ac:dyDescent="0.25">
      <c r="D8" s="5">
        <f t="shared" si="0"/>
        <v>8000</v>
      </c>
      <c r="E8" s="306">
        <v>240000</v>
      </c>
      <c r="F8" s="306">
        <v>109520</v>
      </c>
      <c r="G8" s="306">
        <v>130480</v>
      </c>
      <c r="H8" s="306">
        <v>51230</v>
      </c>
      <c r="I8" s="306">
        <v>188770</v>
      </c>
    </row>
    <row r="9" spans="1:9" x14ac:dyDescent="0.25">
      <c r="D9" s="5">
        <f t="shared" si="0"/>
        <v>10000</v>
      </c>
      <c r="E9" s="306">
        <v>300000</v>
      </c>
      <c r="F9" s="306">
        <v>136900</v>
      </c>
      <c r="G9" s="306">
        <v>163100</v>
      </c>
      <c r="H9" s="306">
        <v>83850</v>
      </c>
      <c r="I9" s="306">
        <v>216150</v>
      </c>
    </row>
    <row r="10" spans="1:9" x14ac:dyDescent="0.25">
      <c r="D10" s="5">
        <f t="shared" si="0"/>
        <v>12000</v>
      </c>
      <c r="E10" s="306">
        <v>360000</v>
      </c>
      <c r="F10" s="306">
        <v>164280</v>
      </c>
      <c r="G10" s="306">
        <v>195720</v>
      </c>
      <c r="H10" s="306">
        <v>116470</v>
      </c>
      <c r="I10" s="306">
        <v>243530</v>
      </c>
    </row>
    <row r="11" spans="1:9" x14ac:dyDescent="0.25">
      <c r="D11" s="5">
        <f t="shared" si="0"/>
        <v>14000</v>
      </c>
      <c r="E11" s="306">
        <v>420000</v>
      </c>
      <c r="F11" s="306">
        <v>191660</v>
      </c>
      <c r="G11" s="306">
        <v>228340</v>
      </c>
      <c r="H11" s="306">
        <v>149090</v>
      </c>
      <c r="I11" s="306">
        <v>270910</v>
      </c>
    </row>
    <row r="12" spans="1:9" x14ac:dyDescent="0.25">
      <c r="D12" s="5">
        <f t="shared" si="0"/>
        <v>16000</v>
      </c>
      <c r="E12" s="306">
        <v>480000</v>
      </c>
      <c r="F12" s="306">
        <v>219040</v>
      </c>
      <c r="G12" s="306">
        <v>260960</v>
      </c>
      <c r="H12" s="306">
        <v>181710</v>
      </c>
      <c r="I12" s="306">
        <v>298290</v>
      </c>
    </row>
    <row r="17" spans="1:2" x14ac:dyDescent="0.25">
      <c r="A17" s="304" t="s">
        <v>1321</v>
      </c>
      <c r="B17" s="300">
        <v>0</v>
      </c>
    </row>
    <row r="18" spans="1:2" x14ac:dyDescent="0.25">
      <c r="A18" s="304" t="s">
        <v>1322</v>
      </c>
      <c r="B18" s="300">
        <v>2000</v>
      </c>
    </row>
  </sheetData>
  <pageMargins left="0.7" right="0.7" top="0.75" bottom="0.75" header="0.3" footer="0.3"/>
</worksheet>
</file>

<file path=xl/worksheets/sheet2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5">
    <tabColor rgb="FF0000FF"/>
  </sheetPr>
  <dimension ref="A1:I19"/>
  <sheetViews>
    <sheetView zoomScale="115" zoomScaleNormal="115" workbookViewId="0">
      <selection activeCell="E3" sqref="E3"/>
    </sheetView>
  </sheetViews>
  <sheetFormatPr defaultRowHeight="15" x14ac:dyDescent="0.25"/>
  <cols>
    <col min="1" max="1" width="6.28515625" customWidth="1"/>
    <col min="2" max="2" width="8.7109375" customWidth="1"/>
    <col min="3" max="3" width="9" customWidth="1"/>
    <col min="4" max="4" width="7.5703125" customWidth="1"/>
    <col min="5" max="5" width="1.7109375" customWidth="1"/>
    <col min="6" max="6" width="8.28515625" customWidth="1"/>
    <col min="7" max="7" width="8.85546875" customWidth="1"/>
    <col min="8" max="9" width="8.28515625" customWidth="1"/>
    <col min="10" max="10" width="20.7109375" customWidth="1"/>
    <col min="11" max="11" width="13.140625" bestFit="1" customWidth="1"/>
    <col min="12" max="12" width="16.28515625" bestFit="1" customWidth="1"/>
    <col min="13" max="14" width="6.28515625" customWidth="1"/>
    <col min="15" max="15" width="11.28515625" bestFit="1" customWidth="1"/>
  </cols>
  <sheetData>
    <row r="1" spans="1:9" x14ac:dyDescent="0.25">
      <c r="A1" s="8" t="s">
        <v>8</v>
      </c>
      <c r="B1" s="8" t="s">
        <v>22</v>
      </c>
      <c r="C1" s="8" t="s">
        <v>90</v>
      </c>
      <c r="D1" s="8" t="s">
        <v>25</v>
      </c>
      <c r="F1" s="8" t="s">
        <v>22</v>
      </c>
      <c r="G1" s="8" t="s">
        <v>90</v>
      </c>
      <c r="H1" s="8" t="s">
        <v>396</v>
      </c>
    </row>
    <row r="2" spans="1:9" x14ac:dyDescent="0.25">
      <c r="A2" s="312">
        <v>41484</v>
      </c>
      <c r="B2" s="5" t="s">
        <v>27</v>
      </c>
      <c r="C2" s="5" t="s">
        <v>1326</v>
      </c>
      <c r="D2" s="5">
        <v>18707</v>
      </c>
      <c r="F2" s="5" t="s">
        <v>27</v>
      </c>
      <c r="G2" s="5" t="s">
        <v>1326</v>
      </c>
      <c r="H2" s="307">
        <f>DMIN(B1:D19,"Units",F1:G2)</f>
        <v>12731</v>
      </c>
      <c r="I2" t="s">
        <v>1880</v>
      </c>
    </row>
    <row r="3" spans="1:9" x14ac:dyDescent="0.25">
      <c r="A3" s="312">
        <v>41485</v>
      </c>
      <c r="B3" s="5" t="s">
        <v>23</v>
      </c>
      <c r="C3" s="5" t="s">
        <v>1327</v>
      </c>
      <c r="D3" s="5">
        <v>9939</v>
      </c>
      <c r="H3" s="308"/>
    </row>
    <row r="4" spans="1:9" x14ac:dyDescent="0.25">
      <c r="A4" s="312">
        <v>41486</v>
      </c>
      <c r="B4" s="5" t="s">
        <v>31</v>
      </c>
      <c r="C4" s="14" t="s">
        <v>1328</v>
      </c>
      <c r="D4" s="5">
        <v>10493</v>
      </c>
      <c r="F4" s="310" t="s">
        <v>1881</v>
      </c>
      <c r="G4" s="124"/>
      <c r="H4" s="311"/>
    </row>
    <row r="5" spans="1:9" x14ac:dyDescent="0.25">
      <c r="A5" s="312">
        <v>41487</v>
      </c>
      <c r="B5" s="5" t="s">
        <v>27</v>
      </c>
      <c r="C5" s="14" t="s">
        <v>1328</v>
      </c>
      <c r="D5" s="5">
        <v>5806</v>
      </c>
      <c r="F5" s="250"/>
    </row>
    <row r="6" spans="1:9" x14ac:dyDescent="0.25">
      <c r="A6" s="312">
        <v>41488</v>
      </c>
      <c r="B6" s="5" t="s">
        <v>23</v>
      </c>
      <c r="C6" s="14" t="s">
        <v>1326</v>
      </c>
      <c r="D6" s="5">
        <v>20035</v>
      </c>
      <c r="F6" s="250"/>
    </row>
    <row r="7" spans="1:9" x14ac:dyDescent="0.25">
      <c r="A7" s="312">
        <v>41489</v>
      </c>
      <c r="B7" s="5" t="s">
        <v>31</v>
      </c>
      <c r="C7" s="14" t="s">
        <v>1327</v>
      </c>
      <c r="D7" s="5">
        <v>112</v>
      </c>
      <c r="F7" s="309"/>
    </row>
    <row r="8" spans="1:9" x14ac:dyDescent="0.25">
      <c r="A8" s="312">
        <v>41490</v>
      </c>
      <c r="B8" s="5" t="s">
        <v>27</v>
      </c>
      <c r="C8" s="14" t="s">
        <v>1327</v>
      </c>
      <c r="D8" s="5">
        <v>10776</v>
      </c>
      <c r="F8" s="35">
        <f>H2</f>
        <v>12731</v>
      </c>
      <c r="G8" s="5" t="s">
        <v>1328</v>
      </c>
      <c r="H8" s="5" t="s">
        <v>1326</v>
      </c>
      <c r="I8" s="5" t="s">
        <v>1327</v>
      </c>
    </row>
    <row r="9" spans="1:9" x14ac:dyDescent="0.25">
      <c r="A9" s="312">
        <v>41491</v>
      </c>
      <c r="B9" s="5" t="s">
        <v>23</v>
      </c>
      <c r="C9" s="14" t="s">
        <v>1327</v>
      </c>
      <c r="D9" s="5">
        <v>9185</v>
      </c>
      <c r="F9" s="5" t="s">
        <v>23</v>
      </c>
      <c r="G9" s="5">
        <f t="dataTable" ref="G9:I11" dt2D="1" dtr="1" r1="G2" r2="F2"/>
        <v>10452</v>
      </c>
      <c r="H9" s="5">
        <v>8692</v>
      </c>
      <c r="I9" s="5">
        <v>9185</v>
      </c>
    </row>
    <row r="10" spans="1:9" x14ac:dyDescent="0.25">
      <c r="A10" s="312">
        <v>41492</v>
      </c>
      <c r="B10" s="5" t="s">
        <v>31</v>
      </c>
      <c r="C10" s="14" t="s">
        <v>1326</v>
      </c>
      <c r="D10" s="5">
        <v>4497</v>
      </c>
      <c r="F10" s="5" t="s">
        <v>31</v>
      </c>
      <c r="G10" s="5">
        <v>10493</v>
      </c>
      <c r="H10" s="5">
        <v>4497</v>
      </c>
      <c r="I10" s="5">
        <v>112</v>
      </c>
    </row>
    <row r="11" spans="1:9" x14ac:dyDescent="0.25">
      <c r="A11" s="312">
        <v>41493</v>
      </c>
      <c r="B11" s="5" t="s">
        <v>27</v>
      </c>
      <c r="C11" s="14" t="s">
        <v>1328</v>
      </c>
      <c r="D11" s="5">
        <v>8353</v>
      </c>
      <c r="F11" s="5" t="s">
        <v>27</v>
      </c>
      <c r="G11" s="5">
        <v>5806</v>
      </c>
      <c r="H11" s="5">
        <v>12731</v>
      </c>
      <c r="I11" s="5">
        <v>10718</v>
      </c>
    </row>
    <row r="12" spans="1:9" x14ac:dyDescent="0.25">
      <c r="A12" s="312">
        <v>41494</v>
      </c>
      <c r="B12" s="5" t="s">
        <v>23</v>
      </c>
      <c r="C12" s="14" t="s">
        <v>1328</v>
      </c>
      <c r="D12" s="5">
        <v>10452</v>
      </c>
    </row>
    <row r="13" spans="1:9" x14ac:dyDescent="0.25">
      <c r="A13" s="312">
        <v>41495</v>
      </c>
      <c r="B13" s="5" t="s">
        <v>31</v>
      </c>
      <c r="C13" s="14" t="s">
        <v>1328</v>
      </c>
      <c r="D13" s="5">
        <v>14032</v>
      </c>
      <c r="G13" s="23" t="s">
        <v>1330</v>
      </c>
    </row>
    <row r="14" spans="1:9" x14ac:dyDescent="0.25">
      <c r="A14" s="312">
        <v>41496</v>
      </c>
      <c r="B14" s="5" t="s">
        <v>27</v>
      </c>
      <c r="C14" s="14" t="s">
        <v>1327</v>
      </c>
      <c r="D14" s="5">
        <v>10718</v>
      </c>
      <c r="G14" s="6">
        <f t="array" ref="G14">MIN(IF($B$2:$B$19=$F9,IF($C$2:$C$19=G$8,$D$2:$D$19)))</f>
        <v>10452</v>
      </c>
      <c r="H14" s="6">
        <f t="array" ref="H14">MIN(IF($B$2:$B$19=$F9,IF($C$2:$C$19=H$8,$D$2:$D$19)))</f>
        <v>8692</v>
      </c>
      <c r="I14" s="6">
        <f t="array" ref="I14">MIN(IF($B$2:$B$19=$F9,IF($C$2:$C$19=I$8,$D$2:$D$19)))</f>
        <v>9185</v>
      </c>
    </row>
    <row r="15" spans="1:9" x14ac:dyDescent="0.25">
      <c r="A15" s="312">
        <v>41497</v>
      </c>
      <c r="B15" s="5" t="s">
        <v>23</v>
      </c>
      <c r="C15" s="14" t="s">
        <v>1326</v>
      </c>
      <c r="D15" s="5">
        <v>16978</v>
      </c>
      <c r="G15" s="6">
        <f t="array" ref="G15">MIN(IF($B$2:$B$19=$F10,IF($C$2:$C$19=G$8,$D$2:$D$19)))</f>
        <v>10493</v>
      </c>
      <c r="H15" s="6">
        <f t="array" ref="H15">MIN(IF($B$2:$B$19=$F10,IF($C$2:$C$19=H$8,$D$2:$D$19)))</f>
        <v>4497</v>
      </c>
      <c r="I15" s="6">
        <f t="array" ref="I15">MIN(IF($B$2:$B$19=$F10,IF($C$2:$C$19=I$8,$D$2:$D$19)))</f>
        <v>112</v>
      </c>
    </row>
    <row r="16" spans="1:9" x14ac:dyDescent="0.25">
      <c r="A16" s="312">
        <v>41498</v>
      </c>
      <c r="B16" s="5" t="s">
        <v>31</v>
      </c>
      <c r="C16" s="14" t="s">
        <v>1327</v>
      </c>
      <c r="D16" s="5">
        <v>665</v>
      </c>
      <c r="G16" s="6">
        <f t="array" ref="G16">MIN(IF($B$2:$B$19=$F11,IF($C$2:$C$19=G$8,$D$2:$D$19)))</f>
        <v>5806</v>
      </c>
      <c r="H16" s="6">
        <f t="array" ref="H16">MIN(IF($B$2:$B$19=$F11,IF($C$2:$C$19=H$8,$D$2:$D$19)))</f>
        <v>12731</v>
      </c>
      <c r="I16" s="6">
        <f t="array" ref="I16">MIN(IF($B$2:$B$19=$F11,IF($C$2:$C$19=I$8,$D$2:$D$19)))</f>
        <v>10718</v>
      </c>
    </row>
    <row r="17" spans="1:4" x14ac:dyDescent="0.25">
      <c r="A17" s="312">
        <v>41499</v>
      </c>
      <c r="B17" s="5" t="s">
        <v>27</v>
      </c>
      <c r="C17" s="14" t="s">
        <v>1326</v>
      </c>
      <c r="D17" s="5">
        <v>12731</v>
      </c>
    </row>
    <row r="18" spans="1:4" x14ac:dyDescent="0.25">
      <c r="A18" s="312">
        <v>41500</v>
      </c>
      <c r="B18" s="5" t="s">
        <v>23</v>
      </c>
      <c r="C18" s="14" t="s">
        <v>1326</v>
      </c>
      <c r="D18" s="5">
        <v>8692</v>
      </c>
    </row>
    <row r="19" spans="1:4" x14ac:dyDescent="0.25">
      <c r="A19" s="312">
        <v>41501</v>
      </c>
      <c r="B19" s="5" t="s">
        <v>31</v>
      </c>
      <c r="C19" s="14" t="s">
        <v>1328</v>
      </c>
      <c r="D19" s="5">
        <v>21000</v>
      </c>
    </row>
  </sheetData>
  <sortState ref="F9:F11">
    <sortCondition ref="F7"/>
  </sortState>
  <pageMargins left="0.7" right="0.7" top="0.75" bottom="0.75" header="0.3" footer="0.3"/>
</worksheet>
</file>

<file path=xl/worksheets/sheet2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6">
    <tabColor rgb="FF0000FF"/>
  </sheetPr>
  <dimension ref="A1:K15"/>
  <sheetViews>
    <sheetView zoomScale="130" zoomScaleNormal="130" workbookViewId="0">
      <selection activeCell="E3" sqref="E3"/>
    </sheetView>
  </sheetViews>
  <sheetFormatPr defaultRowHeight="15" x14ac:dyDescent="0.25"/>
  <cols>
    <col min="1" max="1" width="12.85546875" bestFit="1" customWidth="1"/>
    <col min="2" max="2" width="5.140625" customWidth="1"/>
    <col min="3" max="3" width="5.28515625" customWidth="1"/>
    <col min="4" max="4" width="1.85546875" customWidth="1"/>
    <col min="5" max="5" width="14.7109375" customWidth="1"/>
    <col min="6" max="7" width="5.7109375" customWidth="1"/>
    <col min="8" max="8" width="24.140625" customWidth="1"/>
  </cols>
  <sheetData>
    <row r="1" spans="1:11" x14ac:dyDescent="0.25">
      <c r="A1" s="4" t="s">
        <v>133</v>
      </c>
      <c r="B1" s="4" t="s">
        <v>120</v>
      </c>
      <c r="C1" s="4" t="s">
        <v>121</v>
      </c>
      <c r="F1" s="36" t="s">
        <v>121</v>
      </c>
      <c r="G1" s="37"/>
    </row>
    <row r="2" spans="1:11" x14ac:dyDescent="0.25">
      <c r="A2" s="5" t="s">
        <v>125</v>
      </c>
      <c r="B2" s="5" t="s">
        <v>123</v>
      </c>
      <c r="C2" s="5">
        <v>18</v>
      </c>
      <c r="E2" s="8" t="str">
        <f>A1</f>
        <v>Product Code</v>
      </c>
      <c r="F2" s="8" t="str">
        <f>B1</f>
        <v>L/R?</v>
      </c>
      <c r="G2" s="8" t="str">
        <f>C1</f>
        <v>Qty</v>
      </c>
    </row>
    <row r="3" spans="1:11" x14ac:dyDescent="0.25">
      <c r="A3" s="5" t="s">
        <v>127</v>
      </c>
      <c r="B3" s="5" t="s">
        <v>124</v>
      </c>
      <c r="C3" s="5">
        <v>36</v>
      </c>
      <c r="E3" s="5" t="s">
        <v>126</v>
      </c>
      <c r="F3" s="5" t="s">
        <v>123</v>
      </c>
      <c r="G3" s="307">
        <f>DGET(A1:C15,G2,E2:F3)</f>
        <v>36</v>
      </c>
      <c r="H3" t="s">
        <v>1882</v>
      </c>
    </row>
    <row r="4" spans="1:11" x14ac:dyDescent="0.25">
      <c r="A4" s="5" t="s">
        <v>122</v>
      </c>
      <c r="B4" s="5" t="s">
        <v>124</v>
      </c>
      <c r="C4" s="5">
        <v>30</v>
      </c>
      <c r="G4" s="308"/>
    </row>
    <row r="5" spans="1:11" x14ac:dyDescent="0.25">
      <c r="A5" s="5" t="s">
        <v>126</v>
      </c>
      <c r="B5" s="5" t="s">
        <v>123</v>
      </c>
      <c r="C5" s="5">
        <v>36</v>
      </c>
      <c r="E5" s="310" t="s">
        <v>1883</v>
      </c>
      <c r="F5" s="299"/>
      <c r="G5" s="298"/>
    </row>
    <row r="6" spans="1:11" x14ac:dyDescent="0.25">
      <c r="A6" s="5" t="s">
        <v>129</v>
      </c>
      <c r="B6" s="5" t="s">
        <v>124</v>
      </c>
      <c r="C6" s="5">
        <v>18</v>
      </c>
      <c r="E6" s="250"/>
    </row>
    <row r="7" spans="1:11" x14ac:dyDescent="0.25">
      <c r="A7" s="5" t="s">
        <v>130</v>
      </c>
      <c r="B7" s="5" t="s">
        <v>124</v>
      </c>
      <c r="C7" s="5">
        <v>20</v>
      </c>
      <c r="E7" s="309"/>
      <c r="F7" s="313" t="s">
        <v>121</v>
      </c>
      <c r="G7" s="37"/>
      <c r="J7" s="23" t="s">
        <v>1329</v>
      </c>
    </row>
    <row r="8" spans="1:11" x14ac:dyDescent="0.25">
      <c r="A8" s="5" t="s">
        <v>125</v>
      </c>
      <c r="B8" s="5" t="s">
        <v>124</v>
      </c>
      <c r="C8" s="5">
        <v>24</v>
      </c>
      <c r="E8" s="5">
        <f>G3</f>
        <v>36</v>
      </c>
      <c r="F8" s="8" t="s">
        <v>124</v>
      </c>
      <c r="G8" s="8" t="s">
        <v>123</v>
      </c>
    </row>
    <row r="9" spans="1:11" x14ac:dyDescent="0.25">
      <c r="A9" s="5" t="s">
        <v>130</v>
      </c>
      <c r="B9" s="5" t="s">
        <v>123</v>
      </c>
      <c r="C9" s="5">
        <v>24</v>
      </c>
      <c r="E9" s="5" t="s">
        <v>122</v>
      </c>
      <c r="F9" s="5">
        <f t="dataTable" ref="F9:G15" dt2D="1" dtr="1" r1="F3" r2="E3"/>
        <v>30</v>
      </c>
      <c r="G9" s="5">
        <v>35</v>
      </c>
      <c r="J9" s="6">
        <f t="array" ref="J9">INDEX($C$2:$C$15,MATCH($E9&amp;F$8,$A$2:$A$15&amp;$B$2:$B$15,0))</f>
        <v>30</v>
      </c>
      <c r="K9" s="6">
        <f t="array" ref="K9">INDEX($C$2:$C$15,MATCH($E9&amp;G$8,$A$2:$A$15&amp;$B$2:$B$15,0))</f>
        <v>35</v>
      </c>
    </row>
    <row r="10" spans="1:11" x14ac:dyDescent="0.25">
      <c r="A10" s="5" t="s">
        <v>129</v>
      </c>
      <c r="B10" s="5" t="s">
        <v>123</v>
      </c>
      <c r="C10" s="5">
        <v>28</v>
      </c>
      <c r="E10" s="5" t="s">
        <v>126</v>
      </c>
      <c r="F10" s="5">
        <v>30</v>
      </c>
      <c r="G10" s="5">
        <v>36</v>
      </c>
      <c r="J10" s="6">
        <f t="array" ref="J10">INDEX($C$2:$C$15,MATCH($E10&amp;F$8,$A$2:$A$15&amp;$B$2:$B$15,0))</f>
        <v>30</v>
      </c>
      <c r="K10" s="6">
        <f t="array" ref="K10">INDEX($C$2:$C$15,MATCH($E10&amp;G$8,$A$2:$A$15&amp;$B$2:$B$15,0))</f>
        <v>36</v>
      </c>
    </row>
    <row r="11" spans="1:11" x14ac:dyDescent="0.25">
      <c r="A11" s="5" t="s">
        <v>128</v>
      </c>
      <c r="B11" s="5" t="s">
        <v>124</v>
      </c>
      <c r="C11" s="5">
        <v>30</v>
      </c>
      <c r="E11" s="5" t="s">
        <v>127</v>
      </c>
      <c r="F11" s="5">
        <v>36</v>
      </c>
      <c r="G11" s="5">
        <v>35</v>
      </c>
      <c r="J11" s="6">
        <f t="array" ref="J11">INDEX($C$2:$C$15,MATCH($E11&amp;F$8,$A$2:$A$15&amp;$B$2:$B$15,0))</f>
        <v>36</v>
      </c>
      <c r="K11" s="6">
        <f t="array" ref="K11">INDEX($C$2:$C$15,MATCH($E11&amp;G$8,$A$2:$A$15&amp;$B$2:$B$15,0))</f>
        <v>35</v>
      </c>
    </row>
    <row r="12" spans="1:11" x14ac:dyDescent="0.25">
      <c r="A12" s="5" t="s">
        <v>126</v>
      </c>
      <c r="B12" s="5" t="s">
        <v>124</v>
      </c>
      <c r="C12" s="5">
        <v>30</v>
      </c>
      <c r="E12" s="5" t="s">
        <v>129</v>
      </c>
      <c r="F12" s="5">
        <v>18</v>
      </c>
      <c r="G12" s="5">
        <v>28</v>
      </c>
      <c r="J12" s="6">
        <f t="array" ref="J12">INDEX($C$2:$C$15,MATCH($E12&amp;F$8,$A$2:$A$15&amp;$B$2:$B$15,0))</f>
        <v>18</v>
      </c>
      <c r="K12" s="6">
        <f t="array" ref="K12">INDEX($C$2:$C$15,MATCH($E12&amp;G$8,$A$2:$A$15&amp;$B$2:$B$15,0))</f>
        <v>28</v>
      </c>
    </row>
    <row r="13" spans="1:11" x14ac:dyDescent="0.25">
      <c r="A13" s="5" t="s">
        <v>122</v>
      </c>
      <c r="B13" s="5" t="s">
        <v>123</v>
      </c>
      <c r="C13" s="5">
        <v>35</v>
      </c>
      <c r="E13" s="5" t="s">
        <v>125</v>
      </c>
      <c r="F13" s="5">
        <v>24</v>
      </c>
      <c r="G13" s="5">
        <v>18</v>
      </c>
      <c r="J13" s="6">
        <f t="array" ref="J13">INDEX($C$2:$C$15,MATCH($E13&amp;F$8,$A$2:$A$15&amp;$B$2:$B$15,0))</f>
        <v>24</v>
      </c>
      <c r="K13" s="6">
        <f t="array" ref="K13">INDEX($C$2:$C$15,MATCH($E13&amp;G$8,$A$2:$A$15&amp;$B$2:$B$15,0))</f>
        <v>18</v>
      </c>
    </row>
    <row r="14" spans="1:11" x14ac:dyDescent="0.25">
      <c r="A14" s="5" t="s">
        <v>127</v>
      </c>
      <c r="B14" s="5" t="s">
        <v>123</v>
      </c>
      <c r="C14" s="5">
        <v>35</v>
      </c>
      <c r="E14" s="5" t="s">
        <v>128</v>
      </c>
      <c r="F14" s="5">
        <v>30</v>
      </c>
      <c r="G14" s="5">
        <v>36</v>
      </c>
      <c r="J14" s="6">
        <f t="array" ref="J14">INDEX($C$2:$C$15,MATCH($E14&amp;F$8,$A$2:$A$15&amp;$B$2:$B$15,0))</f>
        <v>30</v>
      </c>
      <c r="K14" s="6">
        <f t="array" ref="K14">INDEX($C$2:$C$15,MATCH($E14&amp;G$8,$A$2:$A$15&amp;$B$2:$B$15,0))</f>
        <v>36</v>
      </c>
    </row>
    <row r="15" spans="1:11" x14ac:dyDescent="0.25">
      <c r="A15" s="5" t="s">
        <v>128</v>
      </c>
      <c r="B15" s="5" t="s">
        <v>123</v>
      </c>
      <c r="C15" s="5">
        <v>36</v>
      </c>
      <c r="E15" s="5" t="s">
        <v>130</v>
      </c>
      <c r="F15" s="5">
        <v>20</v>
      </c>
      <c r="G15" s="5">
        <v>24</v>
      </c>
      <c r="J15" s="6">
        <f t="array" ref="J15">INDEX($C$2:$C$15,MATCH($E15&amp;F$8,$A$2:$A$15&amp;$B$2:$B$15,0))</f>
        <v>20</v>
      </c>
      <c r="K15" s="6">
        <f t="array" ref="K15">INDEX($C$2:$C$15,MATCH($E15&amp;G$8,$A$2:$A$15&amp;$B$2:$B$15,0))</f>
        <v>24</v>
      </c>
    </row>
  </sheetData>
  <dataValidations count="2">
    <dataValidation type="list" allowBlank="1" showInputMessage="1" showErrorMessage="1" sqref="F3">
      <formula1>"L,R"</formula1>
    </dataValidation>
    <dataValidation type="list" allowBlank="1" showInputMessage="1" showErrorMessage="1" sqref="E3">
      <formula1>$Q$2:$Q$8</formula1>
    </dataValidation>
  </dataValidations>
  <pageMargins left="0.7" right="0.7" top="0.75" bottom="0.75" header="0.3" footer="0.3"/>
</worksheet>
</file>

<file path=xl/worksheets/sheet2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7">
    <tabColor rgb="FF0000FF"/>
  </sheetPr>
  <dimension ref="A1:F12"/>
  <sheetViews>
    <sheetView zoomScale="145" zoomScaleNormal="145" workbookViewId="0">
      <selection activeCell="E3" sqref="E3"/>
    </sheetView>
  </sheetViews>
  <sheetFormatPr defaultRowHeight="15" x14ac:dyDescent="0.25"/>
  <cols>
    <col min="1" max="1" width="15" customWidth="1"/>
    <col min="2" max="2" width="9.140625" customWidth="1"/>
    <col min="3" max="3" width="4.140625" customWidth="1"/>
    <col min="4" max="4" width="11.140625" customWidth="1"/>
    <col min="5" max="5" width="12.42578125" customWidth="1"/>
    <col min="6" max="6" width="60.140625" customWidth="1"/>
    <col min="7" max="8" width="9.7109375" customWidth="1"/>
    <col min="9" max="11" width="13.28515625" customWidth="1"/>
    <col min="12" max="13" width="12" customWidth="1"/>
    <col min="15" max="20" width="9" customWidth="1"/>
  </cols>
  <sheetData>
    <row r="1" spans="1:6" ht="30" x14ac:dyDescent="0.25">
      <c r="A1" s="28" t="s">
        <v>1342</v>
      </c>
      <c r="B1" s="28" t="s">
        <v>1343</v>
      </c>
      <c r="D1" s="28" t="s">
        <v>1345</v>
      </c>
      <c r="E1" s="28" t="s">
        <v>1344</v>
      </c>
    </row>
    <row r="2" spans="1:6" x14ac:dyDescent="0.25">
      <c r="A2" s="5">
        <v>2</v>
      </c>
      <c r="B2" s="5">
        <v>75</v>
      </c>
      <c r="D2" s="6">
        <f t="array" ref="D2:E2">LINEST(B2:B12,A2:A12)</f>
        <v>0.88420007446940529</v>
      </c>
      <c r="E2" s="6">
        <v>71.92069008315751</v>
      </c>
    </row>
    <row r="3" spans="1:6" x14ac:dyDescent="0.25">
      <c r="A3" s="5">
        <v>15</v>
      </c>
      <c r="B3" s="5">
        <v>91</v>
      </c>
    </row>
    <row r="4" spans="1:6" x14ac:dyDescent="0.25">
      <c r="A4" s="5">
        <v>5</v>
      </c>
      <c r="B4" s="5">
        <v>79</v>
      </c>
    </row>
    <row r="5" spans="1:6" x14ac:dyDescent="0.25">
      <c r="A5" s="5">
        <v>1</v>
      </c>
      <c r="B5" s="5">
        <v>70</v>
      </c>
      <c r="D5" s="28" t="s">
        <v>1150</v>
      </c>
      <c r="E5" s="6">
        <f>INDEX(LINEST($B$2:$B$12,$A$2:$A$12),ROWS(E$5:E5))</f>
        <v>0.88420007446940529</v>
      </c>
      <c r="F5" t="s">
        <v>1884</v>
      </c>
    </row>
    <row r="6" spans="1:6" x14ac:dyDescent="0.25">
      <c r="A6" s="5">
        <v>6</v>
      </c>
      <c r="B6" s="5">
        <v>65</v>
      </c>
      <c r="D6" s="28" t="s">
        <v>1139</v>
      </c>
      <c r="E6" s="6">
        <f>INDEX(LINEST($B$2:$B$12,$A$2:$A$12),ROWS(E$5:E6))</f>
        <v>71.92069008315751</v>
      </c>
      <c r="F6" t="s">
        <v>1885</v>
      </c>
    </row>
    <row r="7" spans="1:6" x14ac:dyDescent="0.25">
      <c r="A7" s="5">
        <v>9</v>
      </c>
      <c r="B7" s="5">
        <v>98</v>
      </c>
    </row>
    <row r="8" spans="1:6" x14ac:dyDescent="0.25">
      <c r="A8" s="5">
        <v>25</v>
      </c>
      <c r="B8" s="5">
        <v>100</v>
      </c>
    </row>
    <row r="9" spans="1:6" x14ac:dyDescent="0.25">
      <c r="A9" s="5">
        <v>41</v>
      </c>
      <c r="B9" s="5">
        <v>100</v>
      </c>
    </row>
    <row r="10" spans="1:6" x14ac:dyDescent="0.25">
      <c r="A10" s="5">
        <v>10</v>
      </c>
      <c r="B10" s="5">
        <v>82</v>
      </c>
    </row>
    <row r="11" spans="1:6" x14ac:dyDescent="0.25">
      <c r="A11" s="5">
        <v>6</v>
      </c>
      <c r="B11" s="5">
        <v>79</v>
      </c>
    </row>
    <row r="12" spans="1:6" x14ac:dyDescent="0.25">
      <c r="A12" s="5">
        <v>2</v>
      </c>
      <c r="B12" s="5">
        <v>60</v>
      </c>
    </row>
  </sheetData>
  <pageMargins left="0.7" right="0.7" top="0.75" bottom="0.75" header="0.3" footer="0.3"/>
</worksheet>
</file>

<file path=xl/worksheets/sheet2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8">
    <tabColor rgb="FF0000FF"/>
  </sheetPr>
  <dimension ref="A1:G12"/>
  <sheetViews>
    <sheetView zoomScale="145" zoomScaleNormal="145" workbookViewId="0">
      <selection activeCell="E3" sqref="E3"/>
    </sheetView>
  </sheetViews>
  <sheetFormatPr defaultRowHeight="15" x14ac:dyDescent="0.25"/>
  <cols>
    <col min="1" max="1" width="15" customWidth="1"/>
    <col min="2" max="2" width="9.140625" customWidth="1"/>
    <col min="3" max="3" width="1.85546875" customWidth="1"/>
    <col min="4" max="4" width="27.140625" bestFit="1" customWidth="1"/>
    <col min="5" max="5" width="11.140625" customWidth="1"/>
    <col min="6" max="6" width="12.42578125" customWidth="1"/>
    <col min="7" max="7" width="15.28515625" bestFit="1" customWidth="1"/>
    <col min="8" max="9" width="9.7109375" customWidth="1"/>
    <col min="10" max="12" width="13.28515625" customWidth="1"/>
    <col min="13" max="14" width="12" customWidth="1"/>
    <col min="16" max="21" width="9" customWidth="1"/>
  </cols>
  <sheetData>
    <row r="1" spans="1:7" ht="30" x14ac:dyDescent="0.25">
      <c r="A1" s="28" t="s">
        <v>1342</v>
      </c>
      <c r="B1" s="28" t="s">
        <v>1343</v>
      </c>
    </row>
    <row r="2" spans="1:7" x14ac:dyDescent="0.25">
      <c r="A2" s="5">
        <v>2</v>
      </c>
      <c r="B2" s="5">
        <v>75</v>
      </c>
      <c r="D2" s="314" t="s">
        <v>1333</v>
      </c>
      <c r="E2" s="6">
        <f t="array" ref="E2:F6">LINEST(B2:B12,A2:A12,TRUE,TRUE)</f>
        <v>0.88420007446940529</v>
      </c>
      <c r="F2" s="6">
        <v>71.92069008315751</v>
      </c>
      <c r="G2" s="231" t="s">
        <v>1332</v>
      </c>
    </row>
    <row r="3" spans="1:7" x14ac:dyDescent="0.25">
      <c r="A3" s="5">
        <v>15</v>
      </c>
      <c r="B3" s="5">
        <v>91</v>
      </c>
      <c r="D3" s="315" t="s">
        <v>1334</v>
      </c>
      <c r="E3" s="6">
        <v>0.24983159193299612</v>
      </c>
      <c r="F3" s="6">
        <v>3.9987247166573474</v>
      </c>
      <c r="G3" s="231" t="s">
        <v>1335</v>
      </c>
    </row>
    <row r="4" spans="1:7" x14ac:dyDescent="0.25">
      <c r="A4" s="5">
        <v>5</v>
      </c>
      <c r="B4" s="5">
        <v>79</v>
      </c>
      <c r="D4" s="316" t="s">
        <v>1336</v>
      </c>
      <c r="E4" s="6">
        <v>0.58189758249607793</v>
      </c>
      <c r="F4" s="6">
        <v>9.5620870354929597</v>
      </c>
      <c r="G4" s="112" t="s">
        <v>1337</v>
      </c>
    </row>
    <row r="5" spans="1:7" x14ac:dyDescent="0.25">
      <c r="A5" s="5">
        <v>1</v>
      </c>
      <c r="B5" s="5">
        <v>70</v>
      </c>
      <c r="D5" s="316" t="s">
        <v>1114</v>
      </c>
      <c r="E5" s="6">
        <v>12.525826264603158</v>
      </c>
      <c r="F5" s="6">
        <v>9</v>
      </c>
      <c r="G5" s="112" t="s">
        <v>1338</v>
      </c>
    </row>
    <row r="6" spans="1:7" x14ac:dyDescent="0.25">
      <c r="A6" s="5">
        <v>6</v>
      </c>
      <c r="B6" s="5">
        <v>65</v>
      </c>
      <c r="D6" s="316" t="s">
        <v>1339</v>
      </c>
      <c r="E6" s="6">
        <v>1145.2802419127352</v>
      </c>
      <c r="F6" s="6">
        <v>822.90157626908297</v>
      </c>
      <c r="G6" s="112" t="s">
        <v>1340</v>
      </c>
    </row>
    <row r="7" spans="1:7" x14ac:dyDescent="0.25">
      <c r="A7" s="5">
        <v>9</v>
      </c>
      <c r="B7" s="5">
        <v>98</v>
      </c>
    </row>
    <row r="8" spans="1:7" x14ac:dyDescent="0.25">
      <c r="A8" s="5">
        <v>25</v>
      </c>
      <c r="B8" s="5">
        <v>100</v>
      </c>
    </row>
    <row r="9" spans="1:7" x14ac:dyDescent="0.25">
      <c r="A9" s="5">
        <v>41</v>
      </c>
      <c r="B9" s="5">
        <v>100</v>
      </c>
    </row>
    <row r="10" spans="1:7" x14ac:dyDescent="0.25">
      <c r="A10" s="5">
        <v>10</v>
      </c>
      <c r="B10" s="5">
        <v>82</v>
      </c>
    </row>
    <row r="11" spans="1:7" x14ac:dyDescent="0.25">
      <c r="A11" s="5">
        <v>6</v>
      </c>
      <c r="B11" s="5">
        <v>79</v>
      </c>
    </row>
    <row r="12" spans="1:7" x14ac:dyDescent="0.25">
      <c r="A12" s="5">
        <v>2</v>
      </c>
      <c r="B12" s="5">
        <v>60</v>
      </c>
    </row>
  </sheetData>
  <pageMargins left="0.7" right="0.7" top="0.75" bottom="0.75" header="0.3" footer="0.3"/>
</worksheet>
</file>

<file path=xl/worksheets/sheet2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9">
    <tabColor rgb="FF0000FF"/>
  </sheetPr>
  <dimension ref="A1:F12"/>
  <sheetViews>
    <sheetView zoomScale="145" zoomScaleNormal="145" workbookViewId="0">
      <selection activeCell="E3" sqref="E3"/>
    </sheetView>
  </sheetViews>
  <sheetFormatPr defaultRowHeight="15" x14ac:dyDescent="0.25"/>
  <cols>
    <col min="1" max="1" width="15" customWidth="1"/>
    <col min="2" max="2" width="9.140625" customWidth="1"/>
    <col min="3" max="3" width="1.85546875" customWidth="1"/>
    <col min="4" max="4" width="25.42578125" customWidth="1"/>
    <col min="5" max="5" width="11.140625" customWidth="1"/>
    <col min="6" max="6" width="12.42578125" customWidth="1"/>
    <col min="7" max="7" width="15.28515625" bestFit="1" customWidth="1"/>
    <col min="8" max="8" width="9.7109375" customWidth="1"/>
    <col min="9" max="9" width="10.42578125" customWidth="1"/>
    <col min="10" max="12" width="13.28515625" customWidth="1"/>
    <col min="13" max="14" width="12" customWidth="1"/>
    <col min="16" max="21" width="9" customWidth="1"/>
  </cols>
  <sheetData>
    <row r="1" spans="1:6" ht="30" x14ac:dyDescent="0.25">
      <c r="A1" s="28" t="s">
        <v>1342</v>
      </c>
      <c r="B1" s="28" t="s">
        <v>1343</v>
      </c>
      <c r="D1" s="314" t="s">
        <v>1333</v>
      </c>
      <c r="E1" s="6">
        <f>INDEX(LINEST($B$2:$B$12,$A$2:$A$12,TRUE,TRUE),MOD(ROWS(E$1:E1)-1,5)+1,INT((ROWS(E$1:E1)-1)/5)+1)</f>
        <v>0.88420007446940529</v>
      </c>
      <c r="F1" t="s">
        <v>1347</v>
      </c>
    </row>
    <row r="2" spans="1:6" x14ac:dyDescent="0.25">
      <c r="A2" s="5">
        <v>2</v>
      </c>
      <c r="B2" s="5">
        <v>75</v>
      </c>
      <c r="D2" s="315" t="s">
        <v>1334</v>
      </c>
      <c r="E2" s="6">
        <f>INDEX(LINEST($B$2:$B$12,$A$2:$A$12,TRUE,TRUE),MOD(ROWS(E$1:E2)-1,5)+1,INT((ROWS(E$1:E2)-1)/5)+1)</f>
        <v>0.24983159193299612</v>
      </c>
      <c r="F2" s="317" t="s">
        <v>1348</v>
      </c>
    </row>
    <row r="3" spans="1:6" x14ac:dyDescent="0.25">
      <c r="A3" s="5">
        <v>15</v>
      </c>
      <c r="B3" s="5">
        <v>91</v>
      </c>
      <c r="D3" s="316" t="s">
        <v>1336</v>
      </c>
      <c r="E3" s="6">
        <f>INDEX(LINEST($B$2:$B$12,$A$2:$A$12,TRUE,TRUE),MOD(ROWS(E$1:E3)-1,5)+1,INT((ROWS(E$1:E3)-1)/5)+1)</f>
        <v>0.58189758249607793</v>
      </c>
      <c r="F3" s="317" t="s">
        <v>1349</v>
      </c>
    </row>
    <row r="4" spans="1:6" x14ac:dyDescent="0.25">
      <c r="A4" s="5">
        <v>5</v>
      </c>
      <c r="B4" s="5">
        <v>79</v>
      </c>
      <c r="D4" s="316" t="s">
        <v>1114</v>
      </c>
      <c r="E4" s="6">
        <f>INDEX(LINEST($B$2:$B$12,$A$2:$A$12,TRUE,TRUE),MOD(ROWS(E$1:E4)-1,5)+1,INT((ROWS(E$1:E4)-1)/5)+1)</f>
        <v>12.525826264603158</v>
      </c>
      <c r="F4" s="23" t="s">
        <v>1346</v>
      </c>
    </row>
    <row r="5" spans="1:6" x14ac:dyDescent="0.25">
      <c r="A5" s="5">
        <v>1</v>
      </c>
      <c r="B5" s="5">
        <v>70</v>
      </c>
      <c r="D5" s="316" t="s">
        <v>1339</v>
      </c>
      <c r="E5" s="6">
        <f>INDEX(LINEST($B$2:$B$12,$A$2:$A$12,TRUE,TRUE),MOD(ROWS(E$1:E5)-1,5)+1,INT((ROWS(E$1:E5)-1)/5)+1)</f>
        <v>1145.2802419127352</v>
      </c>
    </row>
    <row r="6" spans="1:6" x14ac:dyDescent="0.25">
      <c r="A6" s="5">
        <v>6</v>
      </c>
      <c r="B6" s="5">
        <v>65</v>
      </c>
      <c r="D6" s="315" t="s">
        <v>1332</v>
      </c>
      <c r="E6" s="6">
        <f>INDEX(LINEST($B$2:$B$12,$A$2:$A$12,TRUE,TRUE),MOD(ROWS(E$1:E6)-1,5)+1,INT((ROWS(E$1:E6)-1)/5)+1)</f>
        <v>71.92069008315751</v>
      </c>
    </row>
    <row r="7" spans="1:6" x14ac:dyDescent="0.25">
      <c r="A7" s="5">
        <v>9</v>
      </c>
      <c r="B7" s="5">
        <v>98</v>
      </c>
      <c r="D7" s="315" t="s">
        <v>1335</v>
      </c>
      <c r="E7" s="6">
        <f>INDEX(LINEST($B$2:$B$12,$A$2:$A$12,TRUE,TRUE),MOD(ROWS(E$1:E7)-1,5)+1,INT((ROWS(E$1:E7)-1)/5)+1)</f>
        <v>3.9987247166573474</v>
      </c>
    </row>
    <row r="8" spans="1:6" x14ac:dyDescent="0.25">
      <c r="A8" s="5">
        <v>25</v>
      </c>
      <c r="B8" s="5">
        <v>100</v>
      </c>
      <c r="D8" s="316" t="s">
        <v>1337</v>
      </c>
      <c r="E8" s="6">
        <f>INDEX(LINEST($B$2:$B$12,$A$2:$A$12,TRUE,TRUE),MOD(ROWS(E$1:E8)-1,5)+1,INT((ROWS(E$1:E8)-1)/5)+1)</f>
        <v>9.5620870354929597</v>
      </c>
    </row>
    <row r="9" spans="1:6" x14ac:dyDescent="0.25">
      <c r="A9" s="5">
        <v>41</v>
      </c>
      <c r="B9" s="5">
        <v>100</v>
      </c>
      <c r="D9" s="316" t="s">
        <v>1338</v>
      </c>
      <c r="E9" s="6">
        <f>INDEX(LINEST($B$2:$B$12,$A$2:$A$12,TRUE,TRUE),MOD(ROWS(E$1:E9)-1,5)+1,INT((ROWS(E$1:E9)-1)/5)+1)</f>
        <v>9</v>
      </c>
    </row>
    <row r="10" spans="1:6" x14ac:dyDescent="0.25">
      <c r="A10" s="5">
        <v>10</v>
      </c>
      <c r="B10" s="5">
        <v>82</v>
      </c>
      <c r="D10" s="316" t="s">
        <v>1340</v>
      </c>
      <c r="E10" s="6">
        <f>INDEX(LINEST($B$2:$B$12,$A$2:$A$12,TRUE,TRUE),MOD(ROWS(E$1:E10)-1,5)+1,INT((ROWS(E$1:E10)-1)/5)+1)</f>
        <v>822.90157626908297</v>
      </c>
    </row>
    <row r="11" spans="1:6" x14ac:dyDescent="0.25">
      <c r="A11" s="5">
        <v>6</v>
      </c>
      <c r="B11" s="5">
        <v>79</v>
      </c>
    </row>
    <row r="12" spans="1:6" x14ac:dyDescent="0.25">
      <c r="A12" s="5">
        <v>2</v>
      </c>
      <c r="B12" s="5">
        <v>60</v>
      </c>
    </row>
  </sheetData>
  <pageMargins left="0.7" right="0.7" top="0.75" bottom="0.75" header="0.3" footer="0.3"/>
</worksheet>
</file>

<file path=xl/worksheets/sheet2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0">
    <tabColor rgb="FF0000FF"/>
  </sheetPr>
  <dimension ref="A1:E23"/>
  <sheetViews>
    <sheetView zoomScaleNormal="100" workbookViewId="0">
      <selection activeCell="E3" sqref="E3"/>
    </sheetView>
  </sheetViews>
  <sheetFormatPr defaultRowHeight="15" x14ac:dyDescent="0.25"/>
  <cols>
    <col min="1" max="1" width="30.7109375" customWidth="1"/>
    <col min="2" max="2" width="14" customWidth="1"/>
    <col min="3" max="3" width="20.140625" customWidth="1"/>
    <col min="4" max="4" width="14" customWidth="1"/>
    <col min="5" max="5" width="19.7109375" customWidth="1"/>
    <col min="6" max="6" width="27.140625" bestFit="1" customWidth="1"/>
    <col min="7" max="7" width="12" customWidth="1"/>
    <col min="8" max="8" width="18.5703125" customWidth="1"/>
    <col min="9" max="9" width="12" customWidth="1"/>
    <col min="10" max="10" width="15.28515625" customWidth="1"/>
    <col min="11" max="21" width="12" customWidth="1"/>
    <col min="23" max="28" width="9" customWidth="1"/>
  </cols>
  <sheetData>
    <row r="1" spans="1:5" ht="18" x14ac:dyDescent="0.35">
      <c r="B1" s="318"/>
      <c r="C1" s="315" t="s">
        <v>1360</v>
      </c>
      <c r="D1" s="318"/>
    </row>
    <row r="2" spans="1:5" ht="18" x14ac:dyDescent="0.35">
      <c r="B2" s="318"/>
      <c r="C2" s="315" t="s">
        <v>1361</v>
      </c>
      <c r="D2" s="318"/>
    </row>
    <row r="3" spans="1:5" ht="18" x14ac:dyDescent="0.35">
      <c r="A3" s="315" t="s">
        <v>1362</v>
      </c>
      <c r="B3" s="6">
        <f t="array" ref="B3:D7">LINEST(D13:D23,B13:C23,TRUE,TRUE)</f>
        <v>0.50493292782594201</v>
      </c>
      <c r="C3" s="6">
        <v>0.6007284416388432</v>
      </c>
      <c r="D3" s="6">
        <v>24.983272473678042</v>
      </c>
      <c r="E3" s="231" t="s">
        <v>1352</v>
      </c>
    </row>
    <row r="4" spans="1:5" ht="18" x14ac:dyDescent="0.35">
      <c r="A4" s="315" t="s">
        <v>1363</v>
      </c>
      <c r="B4" s="6">
        <v>0.2063726914195681</v>
      </c>
      <c r="C4" s="6">
        <v>0.18096929475628798</v>
      </c>
      <c r="D4" s="6">
        <v>14.404959750378154</v>
      </c>
      <c r="E4" s="231" t="s">
        <v>1353</v>
      </c>
    </row>
    <row r="5" spans="1:5" x14ac:dyDescent="0.25">
      <c r="A5" s="316" t="s">
        <v>1357</v>
      </c>
      <c r="B5" s="6">
        <v>0.82413378050500397</v>
      </c>
      <c r="C5" s="6">
        <v>6.5777721878538022</v>
      </c>
      <c r="D5" s="6" t="e">
        <v>#N/A</v>
      </c>
    </row>
    <row r="6" spans="1:5" x14ac:dyDescent="0.25">
      <c r="A6" s="316" t="s">
        <v>1358</v>
      </c>
      <c r="B6" s="6">
        <v>18.744561243689063</v>
      </c>
      <c r="C6" s="6">
        <v>8</v>
      </c>
      <c r="D6" s="6" t="e">
        <v>#N/A</v>
      </c>
    </row>
    <row r="7" spans="1:5" x14ac:dyDescent="0.25">
      <c r="A7" s="316" t="s">
        <v>1359</v>
      </c>
      <c r="B7" s="6">
        <v>1622.0451225393942</v>
      </c>
      <c r="C7" s="6">
        <v>346.13669564242394</v>
      </c>
      <c r="D7" s="6" t="e">
        <v>#N/A</v>
      </c>
    </row>
    <row r="8" spans="1:5" x14ac:dyDescent="0.25">
      <c r="C8" s="112" t="s">
        <v>1354</v>
      </c>
    </row>
    <row r="9" spans="1:5" x14ac:dyDescent="0.25">
      <c r="C9" s="112" t="s">
        <v>1355</v>
      </c>
    </row>
    <row r="10" spans="1:5" x14ac:dyDescent="0.25">
      <c r="C10" s="112" t="s">
        <v>1356</v>
      </c>
    </row>
    <row r="11" spans="1:5" ht="3.75" customHeight="1" x14ac:dyDescent="0.25"/>
    <row r="12" spans="1:5" ht="48" x14ac:dyDescent="0.35">
      <c r="B12" s="28" t="s">
        <v>1350</v>
      </c>
      <c r="C12" s="28" t="s">
        <v>1351</v>
      </c>
      <c r="D12" s="28" t="s">
        <v>1331</v>
      </c>
    </row>
    <row r="13" spans="1:5" x14ac:dyDescent="0.25">
      <c r="B13" s="5">
        <v>82</v>
      </c>
      <c r="C13" s="5">
        <v>2</v>
      </c>
      <c r="D13" s="5">
        <v>75</v>
      </c>
    </row>
    <row r="14" spans="1:5" x14ac:dyDescent="0.25">
      <c r="B14" s="5">
        <v>95</v>
      </c>
      <c r="C14" s="5">
        <v>15</v>
      </c>
      <c r="D14" s="5">
        <v>91</v>
      </c>
    </row>
    <row r="15" spans="1:5" x14ac:dyDescent="0.25">
      <c r="B15" s="5">
        <v>87</v>
      </c>
      <c r="C15" s="5">
        <v>5</v>
      </c>
      <c r="D15" s="5">
        <v>79</v>
      </c>
    </row>
    <row r="16" spans="1:5" x14ac:dyDescent="0.25">
      <c r="B16" s="5">
        <v>85</v>
      </c>
      <c r="C16" s="5">
        <v>1</v>
      </c>
      <c r="D16" s="5">
        <v>70</v>
      </c>
    </row>
    <row r="17" spans="2:4" x14ac:dyDescent="0.25">
      <c r="B17" s="5">
        <v>52</v>
      </c>
      <c r="C17" s="5">
        <v>6</v>
      </c>
      <c r="D17" s="5">
        <v>65</v>
      </c>
    </row>
    <row r="18" spans="2:4" x14ac:dyDescent="0.25">
      <c r="B18" s="5">
        <v>97.5</v>
      </c>
      <c r="C18" s="5">
        <v>9</v>
      </c>
      <c r="D18" s="5">
        <v>98</v>
      </c>
    </row>
    <row r="19" spans="2:4" x14ac:dyDescent="0.25">
      <c r="B19" s="5">
        <v>100</v>
      </c>
      <c r="C19" s="5">
        <v>25</v>
      </c>
      <c r="D19" s="5">
        <v>100</v>
      </c>
    </row>
    <row r="20" spans="2:4" x14ac:dyDescent="0.25">
      <c r="B20" s="5">
        <v>99</v>
      </c>
      <c r="C20" s="5">
        <v>41</v>
      </c>
      <c r="D20" s="5">
        <v>100</v>
      </c>
    </row>
    <row r="21" spans="2:4" x14ac:dyDescent="0.25">
      <c r="B21" s="5">
        <v>80</v>
      </c>
      <c r="C21" s="5">
        <v>10</v>
      </c>
      <c r="D21" s="5">
        <v>82</v>
      </c>
    </row>
    <row r="22" spans="2:4" x14ac:dyDescent="0.25">
      <c r="B22" s="5">
        <v>84</v>
      </c>
      <c r="C22" s="5">
        <v>6</v>
      </c>
      <c r="D22" s="5">
        <v>79</v>
      </c>
    </row>
    <row r="23" spans="2:4" x14ac:dyDescent="0.25">
      <c r="B23" s="5">
        <v>75</v>
      </c>
      <c r="C23" s="5">
        <v>2</v>
      </c>
      <c r="D23" s="5">
        <v>60</v>
      </c>
    </row>
  </sheetData>
  <pageMargins left="0.7" right="0.7" top="0.75" bottom="0.75" header="0.3" footer="0.3"/>
  <pageSetup orientation="portrait" r:id="rId1"/>
</worksheet>
</file>

<file path=xl/worksheets/sheet2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1">
    <tabColor rgb="FF0000FF"/>
  </sheetPr>
  <dimension ref="A1:E23"/>
  <sheetViews>
    <sheetView zoomScaleNormal="100" workbookViewId="0">
      <selection activeCell="E3" sqref="E3"/>
    </sheetView>
  </sheetViews>
  <sheetFormatPr defaultRowHeight="15" x14ac:dyDescent="0.25"/>
  <cols>
    <col min="1" max="1" width="30.7109375" customWidth="1"/>
    <col min="2" max="2" width="14" customWidth="1"/>
    <col min="3" max="3" width="20.140625" customWidth="1"/>
    <col min="4" max="4" width="14" customWidth="1"/>
    <col min="5" max="5" width="19.7109375" customWidth="1"/>
    <col min="6" max="6" width="27.140625" bestFit="1" customWidth="1"/>
    <col min="7" max="7" width="12" customWidth="1"/>
    <col min="8" max="8" width="18.5703125" customWidth="1"/>
    <col min="9" max="9" width="12" customWidth="1"/>
    <col min="10" max="10" width="15.28515625" customWidth="1"/>
    <col min="11" max="21" width="12" customWidth="1"/>
    <col min="23" max="28" width="9" customWidth="1"/>
  </cols>
  <sheetData>
    <row r="1" spans="1:5" ht="18" x14ac:dyDescent="0.35">
      <c r="B1" s="318"/>
      <c r="C1" s="315" t="s">
        <v>1360</v>
      </c>
      <c r="D1" s="318"/>
    </row>
    <row r="2" spans="1:5" ht="18" x14ac:dyDescent="0.35">
      <c r="B2" s="318"/>
      <c r="C2" s="315" t="s">
        <v>1361</v>
      </c>
      <c r="D2" s="318"/>
    </row>
    <row r="3" spans="1:5" ht="18" x14ac:dyDescent="0.35">
      <c r="A3" s="315" t="s">
        <v>1362</v>
      </c>
      <c r="B3" s="6">
        <f t="array" ref="B3:D7">IFERROR(LINEST(D13:D23,B13:C23,TRUE,TRUE),"")</f>
        <v>0.50493292782594201</v>
      </c>
      <c r="C3" s="6">
        <v>0.6007284416388432</v>
      </c>
      <c r="D3" s="6">
        <v>24.983272473678042</v>
      </c>
      <c r="E3" s="231" t="s">
        <v>1352</v>
      </c>
    </row>
    <row r="4" spans="1:5" ht="18" x14ac:dyDescent="0.35">
      <c r="A4" s="315" t="s">
        <v>1363</v>
      </c>
      <c r="B4" s="6">
        <v>0.2063726914195681</v>
      </c>
      <c r="C4" s="6">
        <v>0.18096929475628798</v>
      </c>
      <c r="D4" s="6">
        <v>14.404959750378154</v>
      </c>
      <c r="E4" s="231" t="s">
        <v>1353</v>
      </c>
    </row>
    <row r="5" spans="1:5" x14ac:dyDescent="0.25">
      <c r="A5" s="316" t="s">
        <v>1357</v>
      </c>
      <c r="B5" s="6">
        <v>0.82413378050500397</v>
      </c>
      <c r="C5" s="6">
        <v>6.5777721878538022</v>
      </c>
      <c r="D5" s="6" t="str">
        <v/>
      </c>
    </row>
    <row r="6" spans="1:5" x14ac:dyDescent="0.25">
      <c r="A6" s="316" t="s">
        <v>1358</v>
      </c>
      <c r="B6" s="6">
        <v>18.744561243689063</v>
      </c>
      <c r="C6" s="6">
        <v>8</v>
      </c>
      <c r="D6" s="6" t="str">
        <v/>
      </c>
    </row>
    <row r="7" spans="1:5" x14ac:dyDescent="0.25">
      <c r="A7" s="316" t="s">
        <v>1359</v>
      </c>
      <c r="B7" s="6">
        <v>1622.0451225393942</v>
      </c>
      <c r="C7" s="6">
        <v>346.13669564242394</v>
      </c>
      <c r="D7" s="6" t="str">
        <v/>
      </c>
    </row>
    <row r="8" spans="1:5" x14ac:dyDescent="0.25">
      <c r="C8" s="112" t="s">
        <v>1354</v>
      </c>
    </row>
    <row r="9" spans="1:5" x14ac:dyDescent="0.25">
      <c r="C9" s="112" t="s">
        <v>1355</v>
      </c>
    </row>
    <row r="10" spans="1:5" x14ac:dyDescent="0.25">
      <c r="C10" s="112" t="s">
        <v>1356</v>
      </c>
    </row>
    <row r="11" spans="1:5" ht="3.75" customHeight="1" x14ac:dyDescent="0.25"/>
    <row r="12" spans="1:5" ht="48" x14ac:dyDescent="0.35">
      <c r="B12" s="28" t="s">
        <v>1350</v>
      </c>
      <c r="C12" s="28" t="s">
        <v>1351</v>
      </c>
      <c r="D12" s="28" t="s">
        <v>1331</v>
      </c>
    </row>
    <row r="13" spans="1:5" x14ac:dyDescent="0.25">
      <c r="B13" s="5">
        <v>82</v>
      </c>
      <c r="C13" s="5">
        <v>2</v>
      </c>
      <c r="D13" s="5">
        <v>75</v>
      </c>
    </row>
    <row r="14" spans="1:5" x14ac:dyDescent="0.25">
      <c r="B14" s="5">
        <v>95</v>
      </c>
      <c r="C14" s="5">
        <v>15</v>
      </c>
      <c r="D14" s="5">
        <v>91</v>
      </c>
    </row>
    <row r="15" spans="1:5" x14ac:dyDescent="0.25">
      <c r="B15" s="5">
        <v>87</v>
      </c>
      <c r="C15" s="5">
        <v>5</v>
      </c>
      <c r="D15" s="5">
        <v>79</v>
      </c>
    </row>
    <row r="16" spans="1:5" x14ac:dyDescent="0.25">
      <c r="B16" s="5">
        <v>85</v>
      </c>
      <c r="C16" s="5">
        <v>1</v>
      </c>
      <c r="D16" s="5">
        <v>70</v>
      </c>
    </row>
    <row r="17" spans="2:4" x14ac:dyDescent="0.25">
      <c r="B17" s="5">
        <v>52</v>
      </c>
      <c r="C17" s="5">
        <v>6</v>
      </c>
      <c r="D17" s="5">
        <v>65</v>
      </c>
    </row>
    <row r="18" spans="2:4" x14ac:dyDescent="0.25">
      <c r="B18" s="5">
        <v>97.5</v>
      </c>
      <c r="C18" s="5">
        <v>9</v>
      </c>
      <c r="D18" s="5">
        <v>98</v>
      </c>
    </row>
    <row r="19" spans="2:4" x14ac:dyDescent="0.25">
      <c r="B19" s="5">
        <v>100</v>
      </c>
      <c r="C19" s="5">
        <v>25</v>
      </c>
      <c r="D19" s="5">
        <v>100</v>
      </c>
    </row>
    <row r="20" spans="2:4" x14ac:dyDescent="0.25">
      <c r="B20" s="5">
        <v>99</v>
      </c>
      <c r="C20" s="5">
        <v>41</v>
      </c>
      <c r="D20" s="5">
        <v>100</v>
      </c>
    </row>
    <row r="21" spans="2:4" x14ac:dyDescent="0.25">
      <c r="B21" s="5">
        <v>80</v>
      </c>
      <c r="C21" s="5">
        <v>10</v>
      </c>
      <c r="D21" s="5">
        <v>82</v>
      </c>
    </row>
    <row r="22" spans="2:4" x14ac:dyDescent="0.25">
      <c r="B22" s="5">
        <v>84</v>
      </c>
      <c r="C22" s="5">
        <v>6</v>
      </c>
      <c r="D22" s="5">
        <v>79</v>
      </c>
    </row>
    <row r="23" spans="2:4" x14ac:dyDescent="0.25">
      <c r="B23" s="5">
        <v>75</v>
      </c>
      <c r="C23" s="5">
        <v>2</v>
      </c>
      <c r="D23" s="5">
        <v>60</v>
      </c>
    </row>
  </sheetData>
  <pageMargins left="0.7" right="0.7" top="0.75" bottom="0.75" header="0.3" footer="0.3"/>
  <pageSetup orientation="portrait" r:id="rId1"/>
</worksheet>
</file>

<file path=xl/worksheets/sheet2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2">
    <tabColor rgb="FF0000FF"/>
  </sheetPr>
  <dimension ref="A1:F23"/>
  <sheetViews>
    <sheetView zoomScaleNormal="100" workbookViewId="0">
      <selection activeCell="E3" sqref="E3"/>
    </sheetView>
  </sheetViews>
  <sheetFormatPr defaultRowHeight="15" x14ac:dyDescent="0.25"/>
  <cols>
    <col min="1" max="1" width="23.140625" customWidth="1"/>
    <col min="2" max="2" width="14" customWidth="1"/>
    <col min="3" max="3" width="20.5703125" customWidth="1"/>
    <col min="4" max="4" width="21.42578125" customWidth="1"/>
    <col min="5" max="5" width="12.140625" customWidth="1"/>
    <col min="6" max="6" width="16.5703125" customWidth="1"/>
    <col min="7" max="7" width="12" customWidth="1"/>
    <col min="8" max="8" width="18.5703125" customWidth="1"/>
    <col min="9" max="9" width="12" customWidth="1"/>
    <col min="10" max="10" width="15.28515625" customWidth="1"/>
    <col min="11" max="21" width="12" customWidth="1"/>
    <col min="23" max="28" width="9" customWidth="1"/>
  </cols>
  <sheetData>
    <row r="1" spans="1:6" ht="18" x14ac:dyDescent="0.35">
      <c r="B1" s="318"/>
      <c r="C1" s="315" t="s">
        <v>1369</v>
      </c>
      <c r="D1" s="315" t="s">
        <v>1365</v>
      </c>
    </row>
    <row r="2" spans="1:6" ht="18" x14ac:dyDescent="0.35">
      <c r="B2" s="318"/>
      <c r="C2" s="315" t="s">
        <v>1370</v>
      </c>
      <c r="D2" s="315" t="s">
        <v>1366</v>
      </c>
    </row>
    <row r="3" spans="1:6" ht="18" x14ac:dyDescent="0.35">
      <c r="A3" s="315" t="s">
        <v>1367</v>
      </c>
      <c r="B3" s="6">
        <f t="array" ref="B3:E7">IFERROR(LINEST(E13:E23,B13:D23,TRUE,TRUE),"")</f>
        <v>7.8359326987360278</v>
      </c>
      <c r="C3" s="6">
        <v>0.34179334112153892</v>
      </c>
      <c r="D3" s="6">
        <v>0.3011738786261508</v>
      </c>
      <c r="E3" s="6">
        <v>27.648054879410498</v>
      </c>
      <c r="F3" s="231" t="s">
        <v>1364</v>
      </c>
    </row>
    <row r="4" spans="1:6" ht="18" x14ac:dyDescent="0.35">
      <c r="A4" s="315" t="s">
        <v>1368</v>
      </c>
      <c r="B4" s="6">
        <v>3.8789502649660408</v>
      </c>
      <c r="C4" s="6">
        <v>0.1930544772424255</v>
      </c>
      <c r="D4" s="6">
        <v>0.21361866315804129</v>
      </c>
      <c r="E4" s="6">
        <v>12.310558832751994</v>
      </c>
      <c r="F4" s="231" t="s">
        <v>1371</v>
      </c>
    </row>
    <row r="5" spans="1:6" x14ac:dyDescent="0.25">
      <c r="A5" s="316" t="s">
        <v>1372</v>
      </c>
      <c r="B5" s="6">
        <v>0.8889019260078479</v>
      </c>
      <c r="C5" s="6">
        <v>5.5890353022218164</v>
      </c>
      <c r="D5" s="6" t="str">
        <v/>
      </c>
      <c r="E5" s="6" t="str">
        <v/>
      </c>
    </row>
    <row r="6" spans="1:6" x14ac:dyDescent="0.25">
      <c r="A6" s="316" t="s">
        <v>1358</v>
      </c>
      <c r="B6" s="6">
        <v>18.669130971296823</v>
      </c>
      <c r="C6" s="6">
        <v>7</v>
      </c>
      <c r="D6" s="6" t="str">
        <v/>
      </c>
      <c r="E6" s="6" t="str">
        <v/>
      </c>
    </row>
    <row r="7" spans="1:6" x14ac:dyDescent="0.25">
      <c r="A7" s="316" t="s">
        <v>1359</v>
      </c>
      <c r="B7" s="6">
        <v>1749.5206089154462</v>
      </c>
      <c r="C7" s="6">
        <v>218.661209266372</v>
      </c>
      <c r="D7" s="6" t="str">
        <v/>
      </c>
      <c r="E7" s="6" t="str">
        <v/>
      </c>
    </row>
    <row r="8" spans="1:6" x14ac:dyDescent="0.25">
      <c r="C8" s="112" t="s">
        <v>1354</v>
      </c>
    </row>
    <row r="9" spans="1:6" x14ac:dyDescent="0.25">
      <c r="C9" s="112" t="s">
        <v>1355</v>
      </c>
    </row>
    <row r="10" spans="1:6" x14ac:dyDescent="0.25">
      <c r="C10" s="112" t="s">
        <v>1356</v>
      </c>
    </row>
    <row r="11" spans="1:6" ht="3.75" customHeight="1" x14ac:dyDescent="0.25"/>
    <row r="12" spans="1:6" ht="48" x14ac:dyDescent="0.35">
      <c r="B12" s="28" t="s">
        <v>1350</v>
      </c>
      <c r="C12" s="28" t="s">
        <v>1351</v>
      </c>
      <c r="D12" s="28" t="s">
        <v>1341</v>
      </c>
      <c r="E12" s="28" t="s">
        <v>1331</v>
      </c>
    </row>
    <row r="13" spans="1:6" x14ac:dyDescent="0.25">
      <c r="B13" s="5">
        <v>82</v>
      </c>
      <c r="C13" s="5">
        <v>2</v>
      </c>
      <c r="D13" s="5">
        <v>2</v>
      </c>
      <c r="E13" s="5">
        <v>75</v>
      </c>
    </row>
    <row r="14" spans="1:6" x14ac:dyDescent="0.25">
      <c r="B14" s="5">
        <v>95</v>
      </c>
      <c r="C14" s="5">
        <v>15</v>
      </c>
      <c r="D14" s="5">
        <v>3.8</v>
      </c>
      <c r="E14" s="5">
        <v>91</v>
      </c>
    </row>
    <row r="15" spans="1:6" x14ac:dyDescent="0.25">
      <c r="B15" s="5">
        <v>87</v>
      </c>
      <c r="C15" s="5">
        <v>5</v>
      </c>
      <c r="D15" s="5">
        <v>3.1</v>
      </c>
      <c r="E15" s="5">
        <v>79</v>
      </c>
    </row>
    <row r="16" spans="1:6" x14ac:dyDescent="0.25">
      <c r="B16" s="5">
        <v>85</v>
      </c>
      <c r="C16" s="5">
        <v>1</v>
      </c>
      <c r="D16" s="14">
        <v>2.8</v>
      </c>
      <c r="E16" s="5">
        <v>70</v>
      </c>
    </row>
    <row r="17" spans="2:5" x14ac:dyDescent="0.25">
      <c r="B17" s="5">
        <v>52</v>
      </c>
      <c r="C17" s="5">
        <v>6</v>
      </c>
      <c r="D17" s="14">
        <v>1.9</v>
      </c>
      <c r="E17" s="5">
        <v>65</v>
      </c>
    </row>
    <row r="18" spans="2:5" x14ac:dyDescent="0.25">
      <c r="B18" s="5">
        <v>97.5</v>
      </c>
      <c r="C18" s="5">
        <v>9</v>
      </c>
      <c r="D18" s="5">
        <v>4</v>
      </c>
      <c r="E18" s="5">
        <v>98</v>
      </c>
    </row>
    <row r="19" spans="2:5" x14ac:dyDescent="0.25">
      <c r="B19" s="5">
        <v>100</v>
      </c>
      <c r="C19" s="5">
        <v>25</v>
      </c>
      <c r="D19" s="5">
        <v>3.9</v>
      </c>
      <c r="E19" s="5">
        <v>100</v>
      </c>
    </row>
    <row r="20" spans="2:5" x14ac:dyDescent="0.25">
      <c r="B20" s="5">
        <v>99</v>
      </c>
      <c r="C20" s="5">
        <v>41</v>
      </c>
      <c r="D20" s="5">
        <v>4</v>
      </c>
      <c r="E20" s="5">
        <v>100</v>
      </c>
    </row>
    <row r="21" spans="2:5" x14ac:dyDescent="0.25">
      <c r="B21" s="5">
        <v>80</v>
      </c>
      <c r="C21" s="5">
        <v>10</v>
      </c>
      <c r="D21" s="5">
        <v>3.8</v>
      </c>
      <c r="E21" s="5">
        <v>82</v>
      </c>
    </row>
    <row r="22" spans="2:5" x14ac:dyDescent="0.25">
      <c r="B22" s="5">
        <v>84</v>
      </c>
      <c r="C22" s="5">
        <v>6</v>
      </c>
      <c r="D22" s="5">
        <v>3.2</v>
      </c>
      <c r="E22" s="5">
        <v>79</v>
      </c>
    </row>
    <row r="23" spans="2:5" x14ac:dyDescent="0.25">
      <c r="B23" s="5">
        <v>75</v>
      </c>
      <c r="C23" s="5">
        <v>2</v>
      </c>
      <c r="D23" s="5">
        <v>2.1</v>
      </c>
      <c r="E23" s="5">
        <v>60</v>
      </c>
    </row>
  </sheetData>
  <pageMargins left="0.7" right="0.7" top="0.75" bottom="0.75" header="0.3" footer="0.3"/>
  <pageSetup orientation="portrait" r:id="rId1"/>
</worksheet>
</file>

<file path=xl/worksheets/sheet2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4">
    <tabColor rgb="FF0000FF"/>
  </sheetPr>
  <dimension ref="A1:I10"/>
  <sheetViews>
    <sheetView zoomScale="160" zoomScaleNormal="160" workbookViewId="0">
      <selection activeCell="E3" sqref="E3"/>
    </sheetView>
  </sheetViews>
  <sheetFormatPr defaultRowHeight="15" x14ac:dyDescent="0.25"/>
  <cols>
    <col min="1" max="4" width="6.28515625" customWidth="1"/>
    <col min="5" max="6" width="6.140625" customWidth="1"/>
    <col min="7" max="7" width="5.85546875" customWidth="1"/>
    <col min="8" max="8" width="56.5703125" customWidth="1"/>
  </cols>
  <sheetData>
    <row r="1" spans="1:9" x14ac:dyDescent="0.25">
      <c r="A1" s="320" t="s">
        <v>1374</v>
      </c>
    </row>
    <row r="2" spans="1:9" x14ac:dyDescent="0.25">
      <c r="A2" s="321">
        <v>41240</v>
      </c>
      <c r="B2" s="321">
        <v>41241</v>
      </c>
      <c r="C2" s="321">
        <v>41242</v>
      </c>
      <c r="D2" s="321">
        <v>41243</v>
      </c>
      <c r="E2" s="8" t="s">
        <v>40</v>
      </c>
      <c r="F2" s="8" t="s">
        <v>1375</v>
      </c>
    </row>
    <row r="3" spans="1:9" x14ac:dyDescent="0.25">
      <c r="A3" s="139">
        <v>23</v>
      </c>
      <c r="B3" s="139">
        <v>15</v>
      </c>
      <c r="C3" s="139"/>
      <c r="D3" s="139"/>
      <c r="E3" s="5" t="s">
        <v>982</v>
      </c>
      <c r="F3" s="305">
        <f t="array" ref="F3">IF(COUNT(A3:D3),INDEX(A3:D3,MATCH(TRUE,A3:D3&lt;&gt;"",0)),"")</f>
        <v>23</v>
      </c>
      <c r="G3" t="s">
        <v>1886</v>
      </c>
      <c r="I3">
        <f t="array" ref="I3">MATCH(TRUE,A3:D3&lt;&gt;"",0)</f>
        <v>1</v>
      </c>
    </row>
    <row r="4" spans="1:9" x14ac:dyDescent="0.25">
      <c r="A4" s="139"/>
      <c r="B4" s="139"/>
      <c r="C4" s="139"/>
      <c r="D4" s="139"/>
      <c r="E4" s="5" t="s">
        <v>1376</v>
      </c>
      <c r="F4" s="305" t="str">
        <f t="array" ref="F4">IF(COUNT(A4:D4),INDEX(A4:D4,MATCH(TRUE,A4:D4&lt;&gt;"",0)),"")</f>
        <v/>
      </c>
      <c r="G4" s="322" t="s">
        <v>1380</v>
      </c>
      <c r="I4" t="e">
        <f t="array" ref="I4">MATCH(TRUE,A4:D4&lt;&gt;"",0)</f>
        <v>#N/A</v>
      </c>
    </row>
    <row r="5" spans="1:9" x14ac:dyDescent="0.25">
      <c r="A5" s="139"/>
      <c r="B5" s="139">
        <v>65</v>
      </c>
      <c r="C5" s="139"/>
      <c r="D5" s="139">
        <v>66.8</v>
      </c>
      <c r="E5" s="5" t="s">
        <v>1377</v>
      </c>
      <c r="F5" s="305">
        <f t="array" ref="F5">IF(COUNT(A5:D5),INDEX(A5:D5,MATCH(TRUE,A5:D5&lt;&gt;"",0)),"")</f>
        <v>65</v>
      </c>
      <c r="I5">
        <f t="array" ref="I5">MATCH(TRUE,A5:D5&lt;&gt;"",0)</f>
        <v>2</v>
      </c>
    </row>
    <row r="9" spans="1:9" x14ac:dyDescent="0.25">
      <c r="A9" s="139"/>
      <c r="B9" s="139"/>
      <c r="C9" s="139"/>
      <c r="D9" s="139">
        <v>54.25</v>
      </c>
      <c r="E9" s="5" t="s">
        <v>1378</v>
      </c>
      <c r="F9" s="305">
        <f t="array" ref="F9">IF(COUNT(A9:E9),INDEX(A9:D9,MATCH(TRUE,A9:D9&lt;&gt;"",0)),"")</f>
        <v>54.25</v>
      </c>
    </row>
    <row r="10" spans="1:9" x14ac:dyDescent="0.25">
      <c r="A10" s="139"/>
      <c r="B10" s="139"/>
      <c r="C10" s="139">
        <v>9.5</v>
      </c>
      <c r="D10" s="139">
        <v>9.65</v>
      </c>
      <c r="E10" s="5" t="s">
        <v>1379</v>
      </c>
      <c r="F10" s="305">
        <f t="array" ref="F10">IF(COUNT(A10:E10),INDEX(A10:D10,MATCH(TRUE,A10:D10&lt;&gt;"",0)),"")</f>
        <v>9.5</v>
      </c>
    </row>
  </sheetData>
  <pageMargins left="0.7" right="0.7" top="0.75" bottom="0.75" header="0.3" footer="0.3"/>
</worksheet>
</file>

<file path=xl/worksheets/sheet2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5">
    <tabColor rgb="FF0000FF"/>
  </sheetPr>
  <dimension ref="A1:H10"/>
  <sheetViews>
    <sheetView zoomScale="145" zoomScaleNormal="145" workbookViewId="0">
      <selection activeCell="E3" sqref="E3"/>
    </sheetView>
  </sheetViews>
  <sheetFormatPr defaultRowHeight="15" x14ac:dyDescent="0.25"/>
  <cols>
    <col min="1" max="4" width="6.28515625" customWidth="1"/>
    <col min="5" max="5" width="6.140625" customWidth="1"/>
    <col min="6" max="6" width="8.42578125" customWidth="1"/>
    <col min="7" max="7" width="9" customWidth="1"/>
    <col min="8" max="8" width="62" customWidth="1"/>
  </cols>
  <sheetData>
    <row r="1" spans="1:8" x14ac:dyDescent="0.25">
      <c r="A1" s="320" t="s">
        <v>1381</v>
      </c>
    </row>
    <row r="2" spans="1:8" ht="45" x14ac:dyDescent="0.25">
      <c r="A2" s="321">
        <v>41240</v>
      </c>
      <c r="B2" s="321">
        <v>41241</v>
      </c>
      <c r="C2" s="321">
        <v>41242</v>
      </c>
      <c r="D2" s="321">
        <v>41243</v>
      </c>
      <c r="E2" s="8" t="s">
        <v>40</v>
      </c>
      <c r="F2" s="28" t="s">
        <v>1383</v>
      </c>
      <c r="G2" s="28" t="s">
        <v>1382</v>
      </c>
    </row>
    <row r="3" spans="1:8" x14ac:dyDescent="0.25">
      <c r="A3" s="139">
        <v>23</v>
      </c>
      <c r="B3" s="139">
        <v>15</v>
      </c>
      <c r="C3" s="139"/>
      <c r="D3" s="139"/>
      <c r="E3" s="5" t="s">
        <v>982</v>
      </c>
      <c r="F3" s="305">
        <f t="array" ref="F3">IF(COUNT(A3:D3),INDEX(A3:D3,MATCH(TRUE,A3:D3&lt;&gt;"",0)),"")</f>
        <v>23</v>
      </c>
      <c r="G3" s="279">
        <f t="array" ref="G3">IF(COUNT(A3:D3),INDEX($A$2:$D$2,MATCH(TRUE,A3:D3&lt;&gt;"",0)),"")</f>
        <v>41240</v>
      </c>
      <c r="H3" t="s">
        <v>1887</v>
      </c>
    </row>
    <row r="4" spans="1:8" x14ac:dyDescent="0.25">
      <c r="A4" s="139"/>
      <c r="B4" s="139"/>
      <c r="C4" s="139"/>
      <c r="D4" s="139"/>
      <c r="E4" s="5" t="s">
        <v>1376</v>
      </c>
      <c r="F4" s="305" t="str">
        <f t="array" ref="F4">IF(COUNT(A4:D4),INDEX(A4:D4,MATCH(TRUE,A4:D4&lt;&gt;"",0)),"")</f>
        <v/>
      </c>
      <c r="G4" s="279" t="str">
        <f t="array" ref="G4">IF(COUNT(A4:D4),INDEX($A$2:$D$2,MATCH(TRUE,A4:D4&lt;&gt;"",0)),"")</f>
        <v/>
      </c>
      <c r="H4" s="322" t="s">
        <v>1380</v>
      </c>
    </row>
    <row r="5" spans="1:8" x14ac:dyDescent="0.25">
      <c r="A5" s="139"/>
      <c r="B5" s="139">
        <v>65</v>
      </c>
      <c r="C5" s="139"/>
      <c r="D5" s="139">
        <v>66.8</v>
      </c>
      <c r="E5" s="5" t="s">
        <v>1377</v>
      </c>
      <c r="F5" s="305">
        <f t="array" ref="F5">IF(COUNT(A5:D5),INDEX(A5:D5,MATCH(TRUE,A5:D5&lt;&gt;"",0)),"")</f>
        <v>65</v>
      </c>
      <c r="G5" s="279">
        <f t="array" ref="G5">IF(COUNT(A5:D5),INDEX($A$2:$D$2,MATCH(TRUE,A5:D5&lt;&gt;"",0)),"")</f>
        <v>41241</v>
      </c>
    </row>
    <row r="9" spans="1:8" x14ac:dyDescent="0.25">
      <c r="A9" s="139"/>
      <c r="B9" s="139"/>
      <c r="C9" s="139"/>
      <c r="D9" s="139">
        <v>54.25</v>
      </c>
      <c r="E9" s="5" t="s">
        <v>1378</v>
      </c>
      <c r="F9" s="5"/>
      <c r="G9" s="305">
        <f t="array" ref="G9">IF(COUNT(A9:E9),INDEX(A9:D9,MATCH(TRUE,A9:D9&lt;&gt;"",0)),"")</f>
        <v>54.25</v>
      </c>
    </row>
    <row r="10" spans="1:8" x14ac:dyDescent="0.25">
      <c r="A10" s="139"/>
      <c r="B10" s="139"/>
      <c r="C10" s="139">
        <v>9.5</v>
      </c>
      <c r="D10" s="139">
        <v>9.65</v>
      </c>
      <c r="E10" s="5" t="s">
        <v>1379</v>
      </c>
      <c r="F10" s="5"/>
      <c r="G10" s="305">
        <f t="array" ref="G10">IF(COUNT(A10:E10),INDEX(A10:D10,MATCH(TRUE,A10:D10&lt;&gt;"",0)),"")</f>
        <v>9.5</v>
      </c>
    </row>
  </sheetData>
  <pageMargins left="0.7" right="0.7" top="0.75" bottom="0.75" header="0.3" footer="0.3"/>
</worksheet>
</file>

<file path=xl/worksheets/sheet2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6">
    <tabColor rgb="FF0000FF"/>
  </sheetPr>
  <dimension ref="A1:Q31"/>
  <sheetViews>
    <sheetView zoomScale="145" zoomScaleNormal="145" workbookViewId="0">
      <selection activeCell="E3" sqref="E3"/>
    </sheetView>
  </sheetViews>
  <sheetFormatPr defaultRowHeight="15" x14ac:dyDescent="0.25"/>
  <cols>
    <col min="1" max="1" width="22.85546875" customWidth="1"/>
    <col min="2" max="4" width="7.5703125" customWidth="1"/>
    <col min="5" max="5" width="48.7109375" customWidth="1"/>
    <col min="9" max="9" width="9.28515625" customWidth="1"/>
  </cols>
  <sheetData>
    <row r="1" spans="1:17" x14ac:dyDescent="0.25">
      <c r="A1" s="23" t="s">
        <v>1384</v>
      </c>
      <c r="Q1" s="23" t="s">
        <v>1394</v>
      </c>
    </row>
    <row r="2" spans="1:17" x14ac:dyDescent="0.25">
      <c r="A2" s="8" t="s">
        <v>222</v>
      </c>
      <c r="B2" s="8" t="s">
        <v>240</v>
      </c>
      <c r="C2" s="8" t="s">
        <v>241</v>
      </c>
      <c r="D2" s="8" t="s">
        <v>242</v>
      </c>
      <c r="Q2" t="s">
        <v>1388</v>
      </c>
    </row>
    <row r="3" spans="1:17" x14ac:dyDescent="0.25">
      <c r="A3" s="5" t="s">
        <v>1385</v>
      </c>
      <c r="B3" s="5" t="s">
        <v>1386</v>
      </c>
      <c r="C3" s="5" t="s">
        <v>1386</v>
      </c>
      <c r="D3" s="5" t="s">
        <v>1387</v>
      </c>
      <c r="Q3" t="s">
        <v>1386</v>
      </c>
    </row>
    <row r="4" spans="1:17" x14ac:dyDescent="0.25">
      <c r="A4" s="5" t="s">
        <v>246</v>
      </c>
      <c r="B4" s="5" t="s">
        <v>1387</v>
      </c>
      <c r="C4" s="5" t="s">
        <v>1388</v>
      </c>
      <c r="D4" s="5" t="s">
        <v>1389</v>
      </c>
      <c r="Q4" t="s">
        <v>1387</v>
      </c>
    </row>
    <row r="5" spans="1:17" x14ac:dyDescent="0.25">
      <c r="A5" s="5" t="s">
        <v>1390</v>
      </c>
      <c r="B5" s="5" t="s">
        <v>1387</v>
      </c>
      <c r="C5" s="5" t="s">
        <v>1386</v>
      </c>
      <c r="D5" s="5" t="s">
        <v>1389</v>
      </c>
    </row>
    <row r="6" spans="1:17" x14ac:dyDescent="0.25">
      <c r="A6" s="5" t="s">
        <v>1391</v>
      </c>
      <c r="B6" s="5" t="s">
        <v>1387</v>
      </c>
      <c r="C6" s="5" t="s">
        <v>1389</v>
      </c>
      <c r="D6" s="5" t="s">
        <v>1388</v>
      </c>
    </row>
    <row r="7" spans="1:17" x14ac:dyDescent="0.25">
      <c r="A7" s="5" t="s">
        <v>1392</v>
      </c>
      <c r="B7" s="5" t="s">
        <v>1388</v>
      </c>
      <c r="C7" s="5" t="s">
        <v>1388</v>
      </c>
      <c r="D7" s="5" t="s">
        <v>1386</v>
      </c>
    </row>
    <row r="8" spans="1:17" x14ac:dyDescent="0.25">
      <c r="A8" s="5" t="s">
        <v>247</v>
      </c>
      <c r="B8" s="5" t="s">
        <v>1387</v>
      </c>
      <c r="C8" s="5" t="s">
        <v>1386</v>
      </c>
      <c r="D8" s="5" t="s">
        <v>1389</v>
      </c>
    </row>
    <row r="9" spans="1:17" x14ac:dyDescent="0.25">
      <c r="A9" s="5" t="s">
        <v>248</v>
      </c>
      <c r="B9" s="5" t="s">
        <v>1387</v>
      </c>
      <c r="C9" s="5" t="s">
        <v>1388</v>
      </c>
      <c r="D9" s="5" t="s">
        <v>1389</v>
      </c>
    </row>
    <row r="10" spans="1:17" ht="6" customHeight="1" x14ac:dyDescent="0.25"/>
    <row r="11" spans="1:17" x14ac:dyDescent="0.25">
      <c r="A11" s="26" t="s">
        <v>1395</v>
      </c>
      <c r="B11" s="26" t="s">
        <v>510</v>
      </c>
      <c r="C11" s="8" t="s">
        <v>33</v>
      </c>
    </row>
    <row r="12" spans="1:17" x14ac:dyDescent="0.25">
      <c r="A12" s="5" t="s">
        <v>242</v>
      </c>
      <c r="B12" s="5" t="s">
        <v>1389</v>
      </c>
      <c r="C12" s="6">
        <f>COUNTIF(INDEX($B$3:$D$9,,MATCH($A$12,$B$2:$D$2)),B12)</f>
        <v>4</v>
      </c>
      <c r="D12" t="s">
        <v>1888</v>
      </c>
    </row>
    <row r="13" spans="1:17" ht="6" customHeight="1" x14ac:dyDescent="0.25"/>
    <row r="14" spans="1:17" x14ac:dyDescent="0.25">
      <c r="A14" s="8" t="s">
        <v>1396</v>
      </c>
      <c r="B14" s="322" t="s">
        <v>1380</v>
      </c>
    </row>
    <row r="15" spans="1:17" x14ac:dyDescent="0.25">
      <c r="A15" s="6" t="str">
        <f t="array" ref="A15">IF(ROWS(A$15:A15)&gt;$C$12,"",INDEX($A$3:$A$9,SMALL(IF(INDEX($B$3:$D$9,,MATCH($A$12,$B$2:$D$2))=$B$12,ROW($A$3:$A$9)-ROW($A$3)+1),ROWS(A$15:A15))))</f>
        <v>Ellsworth Chanofsky</v>
      </c>
      <c r="B15" t="s">
        <v>1474</v>
      </c>
    </row>
    <row r="16" spans="1:17" x14ac:dyDescent="0.25">
      <c r="A16" s="6" t="str">
        <f t="array" ref="A16">IF(ROWS(A$15:A16)&gt;$C$12,"",INDEX($A$3:$A$9,SMALL(IF(INDEX($B$3:$D$9,,MATCH($A$12,$B$2:$D$2))=$B$12,ROW($A$3:$A$9)-ROW($A$3)+1),ROWS(A$15:A16))))</f>
        <v>Hobert Linkon</v>
      </c>
      <c r="B16" s="280" t="s">
        <v>1479</v>
      </c>
    </row>
    <row r="17" spans="1:3" x14ac:dyDescent="0.25">
      <c r="A17" s="6" t="str">
        <f t="array" ref="A17">IF(ROWS(A$15:A17)&gt;$C$12,"",INDEX($A$3:$A$9,SMALL(IF(INDEX($B$3:$D$9,,MATCH($A$12,$B$2:$D$2))=$B$12,ROW($A$3:$A$9)-ROW($A$3)+1),ROWS(A$15:A17))))</f>
        <v>Patricia Glowski</v>
      </c>
      <c r="B17" s="280" t="s">
        <v>1475</v>
      </c>
    </row>
    <row r="18" spans="1:3" x14ac:dyDescent="0.25">
      <c r="A18" s="6" t="str">
        <f t="array" ref="A18">IF(ROWS(A$15:A18)&gt;$C$12,"",INDEX($A$3:$A$9,SMALL(IF(INDEX($B$3:$D$9,,MATCH($A$12,$B$2:$D$2))=$B$12,ROW($A$3:$A$9)-ROW($A$3)+1),ROWS(A$15:A18))))</f>
        <v>Manual Inbody</v>
      </c>
      <c r="C18" t="s">
        <v>1298</v>
      </c>
    </row>
    <row r="19" spans="1:3" x14ac:dyDescent="0.25">
      <c r="A19" s="6" t="str">
        <f t="array" ref="A19">IF(ROWS(A$15:A19)&gt;$C$12,"",INDEX($A$3:$A$9,SMALL(IF(INDEX($B$3:$D$9,,MATCH($A$12,$B$2:$D$2))=$B$12,ROW($A$3:$A$9)-ROW($A$3)+1),ROWS(A$15:A19))))</f>
        <v/>
      </c>
      <c r="B19" t="s">
        <v>1476</v>
      </c>
    </row>
    <row r="20" spans="1:3" x14ac:dyDescent="0.25">
      <c r="A20" s="6" t="str">
        <f t="array" ref="A20">IF(ROWS(A$15:A20)&gt;$C$12,"",INDEX($A$3:$A$9,SMALL(IF(INDEX($B$3:$D$9,,MATCH($A$12,$B$2:$D$2))=$B$12,ROW($A$3:$A$9)-ROW($A$3)+1),ROWS(A$15:A20))))</f>
        <v/>
      </c>
      <c r="B20" s="280" t="s">
        <v>1477</v>
      </c>
    </row>
    <row r="21" spans="1:3" x14ac:dyDescent="0.25">
      <c r="A21" s="6" t="str">
        <f t="array" ref="A21">IF(ROWS(A$15:A21)&gt;$C$12,"",INDEX($A$3:$A$9,SMALL(IF(INDEX($B$3:$D$9,,MATCH($A$12,$B$2:$D$2))=$B$12,ROW($A$3:$A$9)-ROW($A$3)+1),ROWS(A$15:A21))))</f>
        <v/>
      </c>
      <c r="B21" s="280" t="s">
        <v>1478</v>
      </c>
    </row>
    <row r="23" spans="1:3" x14ac:dyDescent="0.25">
      <c r="A23" s="8" t="s">
        <v>1393</v>
      </c>
    </row>
    <row r="24" spans="1:3" x14ac:dyDescent="0.25">
      <c r="A24" s="6" t="str">
        <f>IF(ROWS(A$15:A15)&gt;C$12,"",INDEX($A$3:$A$9,_xlfn.AGGREGATE(15,6,(ROW($A$3:$A$9)-ROW($A$3)+1)/(INDEX($B$3:$D$9,0,MATCH($A$12,$B$2:$D$2,0))=B$12),ROWS(A$15:A15))))</f>
        <v>Ellsworth Chanofsky</v>
      </c>
    </row>
    <row r="25" spans="1:3" x14ac:dyDescent="0.25">
      <c r="A25" s="6" t="str">
        <f>IF(ROWS(A$15:A16)&gt;C$12,"",INDEX($A$3:$A$9,_xlfn.AGGREGATE(15,6,(ROW($A$3:$A$9)-ROW($A$3)+1)/(INDEX($B$3:$D$9,0,MATCH($A$12,$B$2:$D$2,0))=B$12),ROWS(A$15:A16))))</f>
        <v>Hobert Linkon</v>
      </c>
    </row>
    <row r="26" spans="1:3" x14ac:dyDescent="0.25">
      <c r="A26" s="6" t="str">
        <f>IF(ROWS(A$15:A17)&gt;C$12,"",INDEX($A$3:$A$9,_xlfn.AGGREGATE(15,6,(ROW($A$3:$A$9)-ROW($A$3)+1)/(INDEX($B$3:$D$9,0,MATCH($A$12,$B$2:$D$2,0))=B$12),ROWS(A$15:A17))))</f>
        <v>Patricia Glowski</v>
      </c>
    </row>
    <row r="27" spans="1:3" x14ac:dyDescent="0.25">
      <c r="A27" s="6" t="str">
        <f>IF(ROWS(A$15:A18)&gt;C$12,"",INDEX($A$3:$A$9,_xlfn.AGGREGATE(15,6,(ROW($A$3:$A$9)-ROW($A$3)+1)/(INDEX($B$3:$D$9,0,MATCH($A$12,$B$2:$D$2,0))=B$12),ROWS(A$15:A18))))</f>
        <v>Manual Inbody</v>
      </c>
    </row>
    <row r="28" spans="1:3" x14ac:dyDescent="0.25">
      <c r="A28" s="6" t="str">
        <f>IF(ROWS(A$15:A19)&gt;C$12,"",INDEX($A$3:$A$9,_xlfn.AGGREGATE(15,6,(ROW($A$3:$A$9)-ROW($A$3)+1)/(INDEX($B$3:$D$9,0,MATCH($A$12,$B$2:$D$2,0))=B$12),ROWS(A$15:A19))))</f>
        <v/>
      </c>
    </row>
    <row r="29" spans="1:3" x14ac:dyDescent="0.25">
      <c r="A29" s="6" t="str">
        <f>IF(ROWS(A$15:A20)&gt;C$12,"",INDEX($A$3:$A$9,_xlfn.AGGREGATE(15,6,(ROW($A$3:$A$9)-ROW($A$3)+1)/(INDEX($B$3:$D$9,0,MATCH($A$12,$B$2:$D$2,0))=B$12),ROWS(A$15:A20))))</f>
        <v/>
      </c>
    </row>
    <row r="30" spans="1:3" x14ac:dyDescent="0.25">
      <c r="A30" s="6" t="str">
        <f>IF(ROWS(A$15:A21)&gt;C$12,"",INDEX($A$3:$A$9,_xlfn.AGGREGATE(15,6,(ROW($A$3:$A$9)-ROW($A$3)+1)/(INDEX($B$3:$D$9,0,MATCH($A$12,$B$2:$D$2,0))=B$12),ROWS(A$15:A21))))</f>
        <v/>
      </c>
    </row>
    <row r="31" spans="1:3" x14ac:dyDescent="0.25">
      <c r="A31" s="6" t="str">
        <f>IF(ROWS(A$15:A21)&gt;C$12,"",INDEX($A$3:$A$9,_xlfn.AGGREGATE(15,6,(ROW($A$3:$A$9)-ROW($A$3)+1)/(INDEX($B$3:$D$9,0,MATCH($A$12,$B$2:$D$2,0))=B$12),ROWS(A$15:A21))))</f>
        <v/>
      </c>
    </row>
  </sheetData>
  <dataValidations disablePrompts="1" count="3">
    <dataValidation type="list" allowBlank="1" showInputMessage="1" showErrorMessage="1" sqref="B13">
      <formula1>$R$15:$R$18</formula1>
    </dataValidation>
    <dataValidation type="list" allowBlank="1" showInputMessage="1" showErrorMessage="1" sqref="A12">
      <formula1>$B$2:$D$2</formula1>
    </dataValidation>
    <dataValidation type="list" allowBlank="1" showInputMessage="1" showErrorMessage="1" sqref="B12">
      <formula1>$Q$2:$Q$4</formula1>
    </dataValidation>
  </dataValidations>
  <pageMargins left="0.7" right="0.7" top="0.75" bottom="0.75" header="0.3" footer="0.3"/>
</worksheet>
</file>

<file path=xl/worksheets/sheet2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7">
    <tabColor rgb="FF0000FF"/>
  </sheetPr>
  <dimension ref="A1:E14"/>
  <sheetViews>
    <sheetView zoomScale="160" zoomScaleNormal="160" workbookViewId="0">
      <selection activeCell="E3" sqref="E3"/>
    </sheetView>
  </sheetViews>
  <sheetFormatPr defaultRowHeight="15" x14ac:dyDescent="0.25"/>
  <cols>
    <col min="1" max="1" width="9.42578125" customWidth="1"/>
    <col min="2" max="2" width="54.28515625" customWidth="1"/>
    <col min="9" max="9" width="17" customWidth="1"/>
  </cols>
  <sheetData>
    <row r="1" spans="1:5" x14ac:dyDescent="0.25">
      <c r="A1" s="23" t="s">
        <v>1397</v>
      </c>
    </row>
    <row r="2" spans="1:5" x14ac:dyDescent="0.25">
      <c r="A2" s="28" t="s">
        <v>1399</v>
      </c>
    </row>
    <row r="3" spans="1:5" x14ac:dyDescent="0.25">
      <c r="A3" s="6" t="str">
        <f t="array" ref="A3">INDEX(A6:A9,MATCH(MAX(LEN(A6:A9)),LEN(A6:A9),0))</f>
        <v>excelisfun</v>
      </c>
      <c r="B3" t="s">
        <v>1889</v>
      </c>
    </row>
    <row r="4" spans="1:5" ht="3" customHeight="1" x14ac:dyDescent="0.25"/>
    <row r="5" spans="1:5" x14ac:dyDescent="0.25">
      <c r="A5" s="8" t="s">
        <v>1398</v>
      </c>
    </row>
    <row r="6" spans="1:5" x14ac:dyDescent="0.25">
      <c r="A6" s="5" t="s">
        <v>1400</v>
      </c>
    </row>
    <row r="7" spans="1:5" x14ac:dyDescent="0.25">
      <c r="A7" s="5" t="s">
        <v>1401</v>
      </c>
    </row>
    <row r="8" spans="1:5" x14ac:dyDescent="0.25">
      <c r="A8" s="5"/>
    </row>
    <row r="9" spans="1:5" x14ac:dyDescent="0.25">
      <c r="A9" s="5" t="s">
        <v>1405</v>
      </c>
    </row>
    <row r="11" spans="1:5" x14ac:dyDescent="0.25">
      <c r="A11" s="188" t="s">
        <v>1402</v>
      </c>
      <c r="B11" s="141"/>
      <c r="C11" s="141"/>
      <c r="D11" s="141"/>
      <c r="E11" s="142"/>
    </row>
    <row r="12" spans="1:5" x14ac:dyDescent="0.25">
      <c r="A12" s="189" t="s">
        <v>1403</v>
      </c>
      <c r="B12" s="144"/>
      <c r="C12" s="144"/>
      <c r="D12" s="144"/>
      <c r="E12" s="145"/>
    </row>
    <row r="13" spans="1:5" x14ac:dyDescent="0.25">
      <c r="A13" s="189" t="s">
        <v>1404</v>
      </c>
      <c r="B13" s="144"/>
      <c r="C13" s="144"/>
      <c r="D13" s="144"/>
      <c r="E13" s="145"/>
    </row>
    <row r="14" spans="1:5" x14ac:dyDescent="0.25">
      <c r="A14" s="191"/>
      <c r="B14" s="147"/>
      <c r="C14" s="147"/>
      <c r="D14" s="147"/>
      <c r="E14" s="148"/>
    </row>
  </sheetData>
  <pageMargins left="0.7" right="0.7" top="0.75" bottom="0.75" header="0.3" footer="0.3"/>
</worksheet>
</file>

<file path=xl/worksheets/sheet2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8">
    <tabColor rgb="FF0000FF"/>
  </sheetPr>
  <dimension ref="A1:R103"/>
  <sheetViews>
    <sheetView zoomScale="160" zoomScaleNormal="160" workbookViewId="0">
      <selection activeCell="E3" sqref="E3"/>
    </sheetView>
  </sheetViews>
  <sheetFormatPr defaultRowHeight="15" x14ac:dyDescent="0.25"/>
  <cols>
    <col min="1" max="1" width="11.5703125" bestFit="1" customWidth="1"/>
    <col min="2" max="2" width="9.5703125" bestFit="1" customWidth="1"/>
    <col min="3" max="3" width="1.7109375" customWidth="1"/>
    <col min="4" max="4" width="11.28515625" customWidth="1"/>
    <col min="5" max="5" width="9.28515625" customWidth="1"/>
    <col min="6" max="7" width="8.140625" customWidth="1"/>
    <col min="8" max="8" width="37.7109375" customWidth="1"/>
    <col min="9" max="9" width="8.7109375" bestFit="1" customWidth="1"/>
    <col min="10" max="10" width="1.28515625" customWidth="1"/>
    <col min="11" max="11" width="6.7109375" bestFit="1" customWidth="1"/>
    <col min="12" max="12" width="8.7109375" bestFit="1" customWidth="1"/>
  </cols>
  <sheetData>
    <row r="1" spans="1:18" ht="31.5" customHeight="1" x14ac:dyDescent="0.25">
      <c r="A1" s="340" t="str">
        <f t="shared" ref="A1" si="0">"PERCENTILE.EXC function divides the set in two. In this example the value that corresponds to the "&amp;E7*100&amp;"th percentile marks the point at which "&amp;TEXT(E7,"0.0%")&amp;" of the values are below and "&amp;TEXT(1-E7,"0.0%")&amp;" are above."</f>
        <v>PERCENTILE.EXC function divides the set in two. In this example the value that corresponds to the 90th percentile marks the point at which 90.0% of the values are below and 10.0% are above.</v>
      </c>
      <c r="B1" s="340"/>
      <c r="C1" s="340"/>
      <c r="D1" s="340"/>
      <c r="E1" s="340"/>
      <c r="F1" s="340"/>
      <c r="G1" s="340"/>
      <c r="H1" s="340"/>
    </row>
    <row r="2" spans="1:18" s="40" customFormat="1" ht="15.75" thickBot="1" x14ac:dyDescent="0.3">
      <c r="A2" s="323" t="s">
        <v>1406</v>
      </c>
      <c r="B2" s="324" t="s">
        <v>1407</v>
      </c>
      <c r="D2" s="23" t="s">
        <v>1466</v>
      </c>
      <c r="M2"/>
      <c r="N2"/>
      <c r="O2"/>
      <c r="P2"/>
      <c r="Q2"/>
      <c r="R2"/>
    </row>
    <row r="3" spans="1:18" ht="15.75" thickTop="1" x14ac:dyDescent="0.25">
      <c r="A3" s="326" t="s">
        <v>1411</v>
      </c>
      <c r="B3" s="327">
        <v>95</v>
      </c>
      <c r="D3" s="325" t="s">
        <v>1407</v>
      </c>
      <c r="E3" s="40"/>
      <c r="F3" s="40"/>
      <c r="G3" s="40"/>
      <c r="H3" s="40"/>
    </row>
    <row r="4" spans="1:18" x14ac:dyDescent="0.25">
      <c r="A4" s="326" t="s">
        <v>1409</v>
      </c>
      <c r="B4" s="327">
        <v>45</v>
      </c>
      <c r="D4" s="6">
        <f>_xlfn.AGGREGATE(18,4,B3:B103,E7)</f>
        <v>93</v>
      </c>
      <c r="E4" t="s">
        <v>1890</v>
      </c>
    </row>
    <row r="5" spans="1:18" x14ac:dyDescent="0.25">
      <c r="A5" s="326" t="s">
        <v>1408</v>
      </c>
      <c r="B5" s="327">
        <v>64</v>
      </c>
      <c r="D5" s="6">
        <f>_xlfn.PERCENTILE.EXC(B3:B103,E7)</f>
        <v>93</v>
      </c>
      <c r="E5" t="s">
        <v>1891</v>
      </c>
    </row>
    <row r="6" spans="1:18" x14ac:dyDescent="0.25">
      <c r="A6" s="326" t="s">
        <v>1409</v>
      </c>
      <c r="B6" s="327">
        <v>24</v>
      </c>
    </row>
    <row r="7" spans="1:18" x14ac:dyDescent="0.25">
      <c r="A7" s="326" t="s">
        <v>1411</v>
      </c>
      <c r="B7" s="327">
        <v>4</v>
      </c>
      <c r="D7" s="328" t="s">
        <v>21</v>
      </c>
      <c r="E7" s="329">
        <v>0.9</v>
      </c>
    </row>
    <row r="8" spans="1:18" x14ac:dyDescent="0.25">
      <c r="A8" s="326" t="s">
        <v>1408</v>
      </c>
      <c r="B8" s="327">
        <v>61</v>
      </c>
    </row>
    <row r="9" spans="1:18" x14ac:dyDescent="0.25">
      <c r="A9" s="326" t="s">
        <v>1409</v>
      </c>
      <c r="B9" s="327">
        <v>12</v>
      </c>
      <c r="D9" s="23" t="s">
        <v>1467</v>
      </c>
    </row>
    <row r="10" spans="1:18" ht="15" customHeight="1" x14ac:dyDescent="0.25">
      <c r="A10" s="326" t="s">
        <v>1411</v>
      </c>
      <c r="B10" s="327">
        <v>84</v>
      </c>
      <c r="D10" s="325" t="s">
        <v>1406</v>
      </c>
      <c r="E10" s="325" t="s">
        <v>1407</v>
      </c>
      <c r="F10" t="s">
        <v>1468</v>
      </c>
    </row>
    <row r="11" spans="1:18" x14ac:dyDescent="0.25">
      <c r="A11" s="326" t="s">
        <v>1410</v>
      </c>
      <c r="B11" s="327">
        <v>44</v>
      </c>
      <c r="D11" s="5" t="s">
        <v>1408</v>
      </c>
      <c r="E11" s="6">
        <f>_xlfn.AGGREGATE(18,6,$B$3:$B$103/($A$3:$A$103=D11),E$7)</f>
        <v>95</v>
      </c>
      <c r="F11" t="s">
        <v>1892</v>
      </c>
    </row>
    <row r="12" spans="1:18" x14ac:dyDescent="0.25">
      <c r="A12" s="326" t="s">
        <v>1411</v>
      </c>
      <c r="B12" s="327">
        <v>53</v>
      </c>
      <c r="D12" s="5" t="s">
        <v>1409</v>
      </c>
      <c r="E12" s="6">
        <f>_xlfn.AGGREGATE(18,6,$B$3:$B$103/($A$3:$A$103=D12),E$7)</f>
        <v>93.9</v>
      </c>
      <c r="F12" s="23" t="s">
        <v>1412</v>
      </c>
    </row>
    <row r="13" spans="1:18" x14ac:dyDescent="0.25">
      <c r="A13" s="326" t="s">
        <v>1408</v>
      </c>
      <c r="B13" s="327">
        <v>29</v>
      </c>
      <c r="D13" s="5" t="s">
        <v>1410</v>
      </c>
      <c r="E13" s="6">
        <f>_xlfn.AGGREGATE(18,6,$B$3:$B$103/($A$3:$A$103=D13),E$7)</f>
        <v>96.2</v>
      </c>
    </row>
    <row r="14" spans="1:18" x14ac:dyDescent="0.25">
      <c r="A14" s="326" t="s">
        <v>1409</v>
      </c>
      <c r="B14" s="327">
        <v>97</v>
      </c>
      <c r="D14" s="5" t="s">
        <v>1411</v>
      </c>
      <c r="E14" s="6">
        <f>_xlfn.AGGREGATE(18,6,$B$3:$B$103/($A$3:$A$103=D14),E$7)</f>
        <v>85.6</v>
      </c>
    </row>
    <row r="15" spans="1:18" x14ac:dyDescent="0.25">
      <c r="A15" s="326" t="s">
        <v>1408</v>
      </c>
      <c r="B15" s="327">
        <v>52</v>
      </c>
    </row>
    <row r="16" spans="1:18" ht="15" customHeight="1" x14ac:dyDescent="0.25">
      <c r="A16" s="326" t="s">
        <v>1411</v>
      </c>
      <c r="B16" s="327">
        <v>30</v>
      </c>
      <c r="D16" s="325" t="s">
        <v>1406</v>
      </c>
      <c r="E16" s="325" t="s">
        <v>1407</v>
      </c>
    </row>
    <row r="17" spans="1:6" x14ac:dyDescent="0.25">
      <c r="A17" s="326" t="s">
        <v>1408</v>
      </c>
      <c r="B17" s="327">
        <v>93</v>
      </c>
      <c r="D17" s="5" t="s">
        <v>1408</v>
      </c>
      <c r="E17" s="6">
        <f t="array" ref="E17">_xlfn.PERCENTILE.EXC(IF($A$3:$A$103=D17,$B$3:$B$103),E$7)</f>
        <v>95</v>
      </c>
      <c r="F17" t="s">
        <v>1893</v>
      </c>
    </row>
    <row r="18" spans="1:6" x14ac:dyDescent="0.25">
      <c r="A18" s="326" t="s">
        <v>1410</v>
      </c>
      <c r="B18" s="327">
        <v>23</v>
      </c>
      <c r="D18" s="5" t="s">
        <v>1409</v>
      </c>
      <c r="E18" s="6">
        <f t="array" ref="E18">_xlfn.PERCENTILE.EXC(IF($A$3:$A$103=D18,$B$3:$B$103),E$7)</f>
        <v>93.9</v>
      </c>
      <c r="F18" s="23" t="s">
        <v>1412</v>
      </c>
    </row>
    <row r="19" spans="1:6" x14ac:dyDescent="0.25">
      <c r="A19" s="326" t="s">
        <v>1410</v>
      </c>
      <c r="B19" s="327">
        <v>89</v>
      </c>
      <c r="D19" s="5" t="s">
        <v>1410</v>
      </c>
      <c r="E19" s="6">
        <f t="array" ref="E19">_xlfn.PERCENTILE.EXC(IF($A$3:$A$103=D19,$B$3:$B$103),E$7)</f>
        <v>96.2</v>
      </c>
    </row>
    <row r="20" spans="1:6" x14ac:dyDescent="0.25">
      <c r="A20" s="326" t="s">
        <v>1408</v>
      </c>
      <c r="B20" s="327">
        <v>16</v>
      </c>
      <c r="D20" s="5" t="s">
        <v>1411</v>
      </c>
      <c r="E20" s="6">
        <f t="array" ref="E20">_xlfn.PERCENTILE.EXC(IF($A$3:$A$103=D20,$B$3:$B$103),E$7)</f>
        <v>85.6</v>
      </c>
    </row>
    <row r="21" spans="1:6" x14ac:dyDescent="0.25">
      <c r="A21" s="326" t="s">
        <v>1409</v>
      </c>
      <c r="B21" s="327">
        <v>62</v>
      </c>
    </row>
    <row r="22" spans="1:6" x14ac:dyDescent="0.25">
      <c r="A22" s="326" t="s">
        <v>1409</v>
      </c>
      <c r="B22" s="327">
        <v>42</v>
      </c>
    </row>
    <row r="23" spans="1:6" x14ac:dyDescent="0.25">
      <c r="A23" s="326" t="s">
        <v>1411</v>
      </c>
      <c r="B23" s="327">
        <v>92</v>
      </c>
    </row>
    <row r="24" spans="1:6" x14ac:dyDescent="0.25">
      <c r="A24" s="326" t="s">
        <v>1411</v>
      </c>
      <c r="B24" s="327">
        <v>51</v>
      </c>
    </row>
    <row r="25" spans="1:6" x14ac:dyDescent="0.25">
      <c r="A25" s="326" t="s">
        <v>1408</v>
      </c>
      <c r="B25" s="327">
        <v>22</v>
      </c>
    </row>
    <row r="26" spans="1:6" x14ac:dyDescent="0.25">
      <c r="A26" s="326" t="s">
        <v>1410</v>
      </c>
      <c r="B26" s="327">
        <v>24</v>
      </c>
    </row>
    <row r="27" spans="1:6" x14ac:dyDescent="0.25">
      <c r="A27" s="326" t="s">
        <v>1411</v>
      </c>
      <c r="B27" s="327">
        <v>78</v>
      </c>
    </row>
    <row r="28" spans="1:6" x14ac:dyDescent="0.25">
      <c r="A28" s="326" t="s">
        <v>1408</v>
      </c>
      <c r="B28" s="327">
        <v>93</v>
      </c>
    </row>
    <row r="29" spans="1:6" x14ac:dyDescent="0.25">
      <c r="A29" s="326" t="s">
        <v>1410</v>
      </c>
      <c r="B29" s="327">
        <v>14</v>
      </c>
    </row>
    <row r="30" spans="1:6" x14ac:dyDescent="0.25">
      <c r="A30" s="326" t="s">
        <v>1410</v>
      </c>
      <c r="B30" s="327">
        <v>3</v>
      </c>
    </row>
    <row r="31" spans="1:6" x14ac:dyDescent="0.25">
      <c r="A31" s="326" t="s">
        <v>1411</v>
      </c>
      <c r="B31" s="327">
        <v>61</v>
      </c>
    </row>
    <row r="32" spans="1:6" x14ac:dyDescent="0.25">
      <c r="A32" s="326" t="s">
        <v>1410</v>
      </c>
      <c r="B32" s="327">
        <v>74</v>
      </c>
    </row>
    <row r="33" spans="1:2" x14ac:dyDescent="0.25">
      <c r="A33" s="326" t="s">
        <v>1411</v>
      </c>
      <c r="B33" s="327">
        <v>35</v>
      </c>
    </row>
    <row r="34" spans="1:2" x14ac:dyDescent="0.25">
      <c r="A34" s="326" t="s">
        <v>1409</v>
      </c>
      <c r="B34" s="327">
        <v>93</v>
      </c>
    </row>
    <row r="35" spans="1:2" x14ac:dyDescent="0.25">
      <c r="A35" s="326" t="s">
        <v>1408</v>
      </c>
      <c r="B35" s="327">
        <v>97</v>
      </c>
    </row>
    <row r="36" spans="1:2" x14ac:dyDescent="0.25">
      <c r="A36" s="326" t="s">
        <v>1408</v>
      </c>
      <c r="B36" s="327">
        <v>8</v>
      </c>
    </row>
    <row r="37" spans="1:2" x14ac:dyDescent="0.25">
      <c r="A37" s="326" t="s">
        <v>1410</v>
      </c>
      <c r="B37" s="327">
        <v>88</v>
      </c>
    </row>
    <row r="38" spans="1:2" x14ac:dyDescent="0.25">
      <c r="A38" s="326" t="s">
        <v>1411</v>
      </c>
      <c r="B38" s="327">
        <v>39</v>
      </c>
    </row>
    <row r="39" spans="1:2" x14ac:dyDescent="0.25">
      <c r="A39" s="326" t="s">
        <v>1411</v>
      </c>
      <c r="B39" s="327">
        <v>52</v>
      </c>
    </row>
    <row r="40" spans="1:2" x14ac:dyDescent="0.25">
      <c r="A40" s="326" t="s">
        <v>1409</v>
      </c>
      <c r="B40" s="327">
        <v>61</v>
      </c>
    </row>
    <row r="41" spans="1:2" x14ac:dyDescent="0.25">
      <c r="A41" s="326" t="s">
        <v>1411</v>
      </c>
      <c r="B41" s="327">
        <v>28</v>
      </c>
    </row>
    <row r="42" spans="1:2" x14ac:dyDescent="0.25">
      <c r="A42" s="326" t="s">
        <v>1411</v>
      </c>
      <c r="B42" s="327">
        <v>20</v>
      </c>
    </row>
    <row r="43" spans="1:2" x14ac:dyDescent="0.25">
      <c r="A43" s="326" t="s">
        <v>1409</v>
      </c>
      <c r="B43" s="327">
        <v>24</v>
      </c>
    </row>
    <row r="44" spans="1:2" x14ac:dyDescent="0.25">
      <c r="A44" s="326" t="s">
        <v>1410</v>
      </c>
      <c r="B44" s="327">
        <v>14</v>
      </c>
    </row>
    <row r="45" spans="1:2" x14ac:dyDescent="0.25">
      <c r="A45" s="326" t="s">
        <v>1410</v>
      </c>
      <c r="B45" s="327">
        <v>55</v>
      </c>
    </row>
    <row r="46" spans="1:2" x14ac:dyDescent="0.25">
      <c r="A46" s="326" t="s">
        <v>1409</v>
      </c>
      <c r="B46" s="327">
        <v>94</v>
      </c>
    </row>
    <row r="47" spans="1:2" x14ac:dyDescent="0.25">
      <c r="A47" s="326" t="s">
        <v>1408</v>
      </c>
      <c r="B47" s="327">
        <v>24</v>
      </c>
    </row>
    <row r="48" spans="1:2" x14ac:dyDescent="0.25">
      <c r="A48" s="326" t="s">
        <v>1411</v>
      </c>
      <c r="B48" s="327">
        <v>16</v>
      </c>
    </row>
    <row r="49" spans="1:2" x14ac:dyDescent="0.25">
      <c r="A49" s="326" t="s">
        <v>1411</v>
      </c>
      <c r="B49" s="327">
        <v>42</v>
      </c>
    </row>
    <row r="50" spans="1:2" x14ac:dyDescent="0.25">
      <c r="A50" s="326" t="s">
        <v>1410</v>
      </c>
      <c r="B50" s="327">
        <v>99</v>
      </c>
    </row>
    <row r="51" spans="1:2" x14ac:dyDescent="0.25">
      <c r="A51" s="326" t="s">
        <v>1410</v>
      </c>
      <c r="B51" s="327">
        <v>51</v>
      </c>
    </row>
    <row r="52" spans="1:2" x14ac:dyDescent="0.25">
      <c r="A52" s="326" t="s">
        <v>1408</v>
      </c>
      <c r="B52" s="327">
        <v>8</v>
      </c>
    </row>
    <row r="53" spans="1:2" x14ac:dyDescent="0.25">
      <c r="A53" s="326" t="s">
        <v>1410</v>
      </c>
      <c r="B53" s="327">
        <v>54</v>
      </c>
    </row>
    <row r="54" spans="1:2" x14ac:dyDescent="0.25">
      <c r="A54" s="326" t="s">
        <v>1409</v>
      </c>
      <c r="B54" s="327">
        <v>60</v>
      </c>
    </row>
    <row r="55" spans="1:2" x14ac:dyDescent="0.25">
      <c r="A55" s="326" t="s">
        <v>1408</v>
      </c>
      <c r="B55" s="327">
        <v>34</v>
      </c>
    </row>
    <row r="56" spans="1:2" x14ac:dyDescent="0.25">
      <c r="A56" s="326" t="s">
        <v>1411</v>
      </c>
      <c r="B56" s="327">
        <v>67</v>
      </c>
    </row>
    <row r="57" spans="1:2" x14ac:dyDescent="0.25">
      <c r="A57" s="326" t="s">
        <v>1409</v>
      </c>
      <c r="B57" s="327">
        <v>91</v>
      </c>
    </row>
    <row r="58" spans="1:2" x14ac:dyDescent="0.25">
      <c r="A58" s="326" t="s">
        <v>1408</v>
      </c>
      <c r="B58" s="327">
        <v>20</v>
      </c>
    </row>
    <row r="59" spans="1:2" x14ac:dyDescent="0.25">
      <c r="A59" s="326" t="s">
        <v>1408</v>
      </c>
      <c r="B59" s="327">
        <v>12</v>
      </c>
    </row>
    <row r="60" spans="1:2" x14ac:dyDescent="0.25">
      <c r="A60" s="326" t="s">
        <v>1409</v>
      </c>
      <c r="B60" s="327">
        <v>1</v>
      </c>
    </row>
    <row r="61" spans="1:2" x14ac:dyDescent="0.25">
      <c r="A61" s="326" t="s">
        <v>1411</v>
      </c>
      <c r="B61" s="327">
        <v>8</v>
      </c>
    </row>
    <row r="62" spans="1:2" x14ac:dyDescent="0.25">
      <c r="A62" s="326" t="s">
        <v>1409</v>
      </c>
      <c r="B62" s="327">
        <v>78</v>
      </c>
    </row>
    <row r="63" spans="1:2" x14ac:dyDescent="0.25">
      <c r="A63" s="326" t="s">
        <v>1408</v>
      </c>
      <c r="B63" s="327">
        <v>6</v>
      </c>
    </row>
    <row r="64" spans="1:2" x14ac:dyDescent="0.25">
      <c r="A64" s="326" t="s">
        <v>1408</v>
      </c>
      <c r="B64" s="327">
        <v>29</v>
      </c>
    </row>
    <row r="65" spans="1:2" x14ac:dyDescent="0.25">
      <c r="A65" s="326" t="s">
        <v>1408</v>
      </c>
      <c r="B65" s="327">
        <v>95</v>
      </c>
    </row>
    <row r="66" spans="1:2" x14ac:dyDescent="0.25">
      <c r="A66" s="326" t="s">
        <v>1411</v>
      </c>
      <c r="B66" s="327">
        <v>39</v>
      </c>
    </row>
    <row r="67" spans="1:2" x14ac:dyDescent="0.25">
      <c r="A67" s="326" t="s">
        <v>1409</v>
      </c>
      <c r="B67" s="327">
        <v>35</v>
      </c>
    </row>
    <row r="68" spans="1:2" x14ac:dyDescent="0.25">
      <c r="A68" s="326" t="s">
        <v>1408</v>
      </c>
      <c r="B68" s="327">
        <v>21</v>
      </c>
    </row>
    <row r="69" spans="1:2" x14ac:dyDescent="0.25">
      <c r="A69" s="326" t="s">
        <v>1410</v>
      </c>
      <c r="B69" s="327">
        <v>57</v>
      </c>
    </row>
    <row r="70" spans="1:2" x14ac:dyDescent="0.25">
      <c r="A70" s="326" t="s">
        <v>1411</v>
      </c>
      <c r="B70" s="327">
        <v>59</v>
      </c>
    </row>
    <row r="71" spans="1:2" x14ac:dyDescent="0.25">
      <c r="A71" s="326" t="s">
        <v>1411</v>
      </c>
      <c r="B71" s="327">
        <v>43</v>
      </c>
    </row>
    <row r="72" spans="1:2" x14ac:dyDescent="0.25">
      <c r="A72" s="326" t="s">
        <v>1408</v>
      </c>
      <c r="B72" s="327">
        <v>11</v>
      </c>
    </row>
    <row r="73" spans="1:2" x14ac:dyDescent="0.25">
      <c r="A73" s="326" t="s">
        <v>1408</v>
      </c>
      <c r="B73" s="327">
        <v>46</v>
      </c>
    </row>
    <row r="74" spans="1:2" x14ac:dyDescent="0.25">
      <c r="A74" s="326" t="s">
        <v>1408</v>
      </c>
      <c r="B74" s="327">
        <v>96</v>
      </c>
    </row>
    <row r="75" spans="1:2" x14ac:dyDescent="0.25">
      <c r="A75" s="326" t="s">
        <v>1411</v>
      </c>
      <c r="B75" s="327">
        <v>52</v>
      </c>
    </row>
    <row r="76" spans="1:2" x14ac:dyDescent="0.25">
      <c r="A76" s="326" t="s">
        <v>1410</v>
      </c>
      <c r="B76" s="327">
        <v>42</v>
      </c>
    </row>
    <row r="77" spans="1:2" x14ac:dyDescent="0.25">
      <c r="A77" s="326" t="s">
        <v>1411</v>
      </c>
      <c r="B77" s="327">
        <v>73</v>
      </c>
    </row>
    <row r="78" spans="1:2" x14ac:dyDescent="0.25">
      <c r="A78" s="326" t="s">
        <v>1408</v>
      </c>
      <c r="B78" s="327">
        <v>21</v>
      </c>
    </row>
    <row r="79" spans="1:2" x14ac:dyDescent="0.25">
      <c r="A79" s="326" t="s">
        <v>1411</v>
      </c>
      <c r="B79" s="327">
        <v>83</v>
      </c>
    </row>
    <row r="80" spans="1:2" x14ac:dyDescent="0.25">
      <c r="A80" s="326" t="s">
        <v>1410</v>
      </c>
      <c r="B80" s="327">
        <v>67</v>
      </c>
    </row>
    <row r="81" spans="1:2" x14ac:dyDescent="0.25">
      <c r="A81" s="326" t="s">
        <v>1408</v>
      </c>
      <c r="B81" s="327">
        <v>7</v>
      </c>
    </row>
    <row r="82" spans="1:2" x14ac:dyDescent="0.25">
      <c r="A82" s="326" t="s">
        <v>1411</v>
      </c>
      <c r="B82" s="327">
        <v>60</v>
      </c>
    </row>
    <row r="83" spans="1:2" x14ac:dyDescent="0.25">
      <c r="A83" s="326" t="s">
        <v>1409</v>
      </c>
      <c r="B83" s="327">
        <v>50</v>
      </c>
    </row>
    <row r="84" spans="1:2" x14ac:dyDescent="0.25">
      <c r="A84" s="326" t="s">
        <v>1408</v>
      </c>
      <c r="B84" s="327">
        <v>53</v>
      </c>
    </row>
    <row r="85" spans="1:2" x14ac:dyDescent="0.25">
      <c r="A85" s="326" t="s">
        <v>1408</v>
      </c>
      <c r="B85" s="327">
        <v>45</v>
      </c>
    </row>
    <row r="86" spans="1:2" x14ac:dyDescent="0.25">
      <c r="A86" s="326" t="s">
        <v>1409</v>
      </c>
      <c r="B86" s="327">
        <v>2</v>
      </c>
    </row>
    <row r="87" spans="1:2" x14ac:dyDescent="0.25">
      <c r="A87" s="326" t="s">
        <v>1410</v>
      </c>
      <c r="B87" s="327">
        <v>71</v>
      </c>
    </row>
    <row r="88" spans="1:2" x14ac:dyDescent="0.25">
      <c r="A88" s="326" t="s">
        <v>1411</v>
      </c>
      <c r="B88" s="327">
        <v>75</v>
      </c>
    </row>
    <row r="89" spans="1:2" x14ac:dyDescent="0.25">
      <c r="A89" s="326" t="s">
        <v>1410</v>
      </c>
      <c r="B89" s="327">
        <v>48</v>
      </c>
    </row>
    <row r="90" spans="1:2" x14ac:dyDescent="0.25">
      <c r="A90" s="326" t="s">
        <v>1409</v>
      </c>
      <c r="B90" s="327">
        <v>30</v>
      </c>
    </row>
    <row r="91" spans="1:2" x14ac:dyDescent="0.25">
      <c r="A91" s="326" t="s">
        <v>1410</v>
      </c>
      <c r="B91" s="327">
        <v>67</v>
      </c>
    </row>
    <row r="92" spans="1:2" x14ac:dyDescent="0.25">
      <c r="A92" s="326" t="s">
        <v>1410</v>
      </c>
      <c r="B92" s="327">
        <v>98</v>
      </c>
    </row>
    <row r="93" spans="1:2" x14ac:dyDescent="0.25">
      <c r="A93" s="326" t="s">
        <v>1408</v>
      </c>
      <c r="B93" s="327">
        <v>90</v>
      </c>
    </row>
    <row r="94" spans="1:2" x14ac:dyDescent="0.25">
      <c r="A94" s="326" t="s">
        <v>1410</v>
      </c>
      <c r="B94" s="327">
        <v>63</v>
      </c>
    </row>
    <row r="95" spans="1:2" x14ac:dyDescent="0.25">
      <c r="A95" s="326" t="s">
        <v>1410</v>
      </c>
      <c r="B95" s="327">
        <v>32</v>
      </c>
    </row>
    <row r="96" spans="1:2" x14ac:dyDescent="0.25">
      <c r="A96" s="326" t="s">
        <v>1408</v>
      </c>
      <c r="B96" s="327">
        <v>61</v>
      </c>
    </row>
    <row r="97" spans="1:2" x14ac:dyDescent="0.25">
      <c r="A97" s="326" t="s">
        <v>1409</v>
      </c>
      <c r="B97" s="327">
        <v>71</v>
      </c>
    </row>
    <row r="98" spans="1:2" x14ac:dyDescent="0.25">
      <c r="A98" s="326" t="s">
        <v>1411</v>
      </c>
      <c r="B98" s="327">
        <v>52</v>
      </c>
    </row>
    <row r="99" spans="1:2" x14ac:dyDescent="0.25">
      <c r="A99" s="326" t="s">
        <v>1410</v>
      </c>
      <c r="B99" s="327">
        <v>95</v>
      </c>
    </row>
    <row r="100" spans="1:2" x14ac:dyDescent="0.25">
      <c r="A100" s="326" t="s">
        <v>1408</v>
      </c>
      <c r="B100" s="327">
        <v>29</v>
      </c>
    </row>
    <row r="101" spans="1:2" x14ac:dyDescent="0.25">
      <c r="A101" s="326" t="s">
        <v>1409</v>
      </c>
      <c r="B101" s="327">
        <v>83</v>
      </c>
    </row>
    <row r="102" spans="1:2" x14ac:dyDescent="0.25">
      <c r="A102" s="326" t="s">
        <v>1410</v>
      </c>
      <c r="B102" s="327">
        <v>23</v>
      </c>
    </row>
    <row r="103" spans="1:2" x14ac:dyDescent="0.25">
      <c r="A103" s="326" t="s">
        <v>1410</v>
      </c>
      <c r="B103" s="327">
        <v>24</v>
      </c>
    </row>
  </sheetData>
  <mergeCells count="1">
    <mergeCell ref="A1:H1"/>
  </mergeCells>
  <pageMargins left="0.7" right="0.7" top="0.75" bottom="0.75" header="0.3" footer="0.3"/>
  <pageSetup orientation="portrait" r:id="rId1"/>
</worksheet>
</file>

<file path=xl/worksheets/sheet2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9">
    <tabColor rgb="FF0000FF"/>
  </sheetPr>
  <dimension ref="A1:E11"/>
  <sheetViews>
    <sheetView zoomScale="160" zoomScaleNormal="160" workbookViewId="0">
      <selection activeCell="E3" sqref="E3"/>
    </sheetView>
  </sheetViews>
  <sheetFormatPr defaultRowHeight="15" x14ac:dyDescent="0.25"/>
  <cols>
    <col min="1" max="1" width="15.7109375" customWidth="1"/>
    <col min="2" max="2" width="6.5703125" customWidth="1"/>
    <col min="3" max="3" width="10.85546875" customWidth="1"/>
    <col min="4" max="4" width="7.42578125" customWidth="1"/>
    <col min="5" max="5" width="51.5703125" customWidth="1"/>
  </cols>
  <sheetData>
    <row r="1" spans="1:5" x14ac:dyDescent="0.25">
      <c r="A1" s="23" t="s">
        <v>1426</v>
      </c>
    </row>
    <row r="2" spans="1:5" x14ac:dyDescent="0.25">
      <c r="A2" s="8" t="s">
        <v>321</v>
      </c>
      <c r="B2" s="8" t="s">
        <v>1027</v>
      </c>
      <c r="C2" s="8" t="s">
        <v>1413</v>
      </c>
      <c r="D2" s="8" t="s">
        <v>1414</v>
      </c>
    </row>
    <row r="3" spans="1:5" x14ac:dyDescent="0.25">
      <c r="A3" s="5" t="s">
        <v>1415</v>
      </c>
      <c r="B3" s="5">
        <v>68</v>
      </c>
      <c r="C3" s="5" t="s">
        <v>238</v>
      </c>
      <c r="D3" s="6">
        <f>SUMPRODUCT(--($C$3:$C$11=C3),--($B$3:$B$11&gt;B3))+1</f>
        <v>2</v>
      </c>
      <c r="E3" t="s">
        <v>1894</v>
      </c>
    </row>
    <row r="4" spans="1:5" x14ac:dyDescent="0.25">
      <c r="A4" s="5" t="s">
        <v>1416</v>
      </c>
      <c r="B4" s="5">
        <v>78</v>
      </c>
      <c r="C4" s="5" t="s">
        <v>238</v>
      </c>
      <c r="D4" s="6">
        <f t="shared" ref="D4:D11" si="0">SUMPRODUCT(--($C$3:$C$11=C4),--($B$3:$B$11&gt;B4))+1</f>
        <v>1</v>
      </c>
      <c r="E4" s="23" t="s">
        <v>1412</v>
      </c>
    </row>
    <row r="5" spans="1:5" x14ac:dyDescent="0.25">
      <c r="A5" s="5" t="s">
        <v>1417</v>
      </c>
      <c r="B5" s="5">
        <v>66</v>
      </c>
      <c r="C5" s="5" t="s">
        <v>1418</v>
      </c>
      <c r="D5" s="6">
        <f t="shared" si="0"/>
        <v>3</v>
      </c>
    </row>
    <row r="6" spans="1:5" x14ac:dyDescent="0.25">
      <c r="A6" s="5" t="s">
        <v>1419</v>
      </c>
      <c r="B6" s="5">
        <v>78</v>
      </c>
      <c r="C6" s="5" t="s">
        <v>1420</v>
      </c>
      <c r="D6" s="6">
        <f t="shared" si="0"/>
        <v>2</v>
      </c>
    </row>
    <row r="7" spans="1:5" x14ac:dyDescent="0.25">
      <c r="A7" s="5" t="s">
        <v>1421</v>
      </c>
      <c r="B7" s="5">
        <v>94</v>
      </c>
      <c r="C7" s="5" t="s">
        <v>1418</v>
      </c>
      <c r="D7" s="6">
        <f t="shared" si="0"/>
        <v>1</v>
      </c>
    </row>
    <row r="8" spans="1:5" x14ac:dyDescent="0.25">
      <c r="A8" s="5" t="s">
        <v>1422</v>
      </c>
      <c r="B8" s="5">
        <v>93</v>
      </c>
      <c r="C8" s="5" t="s">
        <v>1420</v>
      </c>
      <c r="D8" s="6">
        <f t="shared" si="0"/>
        <v>1</v>
      </c>
    </row>
    <row r="9" spans="1:5" x14ac:dyDescent="0.25">
      <c r="A9" s="5" t="s">
        <v>1423</v>
      </c>
      <c r="B9" s="5">
        <v>75</v>
      </c>
      <c r="C9" s="5" t="s">
        <v>1418</v>
      </c>
      <c r="D9" s="6">
        <f t="shared" si="0"/>
        <v>2</v>
      </c>
    </row>
    <row r="10" spans="1:5" x14ac:dyDescent="0.25">
      <c r="A10" s="5" t="s">
        <v>1424</v>
      </c>
      <c r="B10" s="5">
        <v>72</v>
      </c>
      <c r="C10" s="5" t="s">
        <v>1420</v>
      </c>
      <c r="D10" s="6">
        <f t="shared" si="0"/>
        <v>3</v>
      </c>
    </row>
    <row r="11" spans="1:5" x14ac:dyDescent="0.25">
      <c r="A11" s="5" t="s">
        <v>1425</v>
      </c>
      <c r="B11" s="5">
        <v>66</v>
      </c>
      <c r="C11" s="5" t="s">
        <v>238</v>
      </c>
      <c r="D11" s="6">
        <f t="shared" si="0"/>
        <v>3</v>
      </c>
    </row>
  </sheetData>
  <pageMargins left="0.7" right="0.7" top="0.75" bottom="0.75" header="0.3" footer="0.3"/>
</worksheet>
</file>

<file path=xl/worksheets/sheet2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0">
    <tabColor rgb="FF0000FF"/>
  </sheetPr>
  <dimension ref="A1:J17"/>
  <sheetViews>
    <sheetView zoomScale="160" zoomScaleNormal="160" workbookViewId="0">
      <selection activeCell="E3" sqref="E3"/>
    </sheetView>
  </sheetViews>
  <sheetFormatPr defaultRowHeight="15" x14ac:dyDescent="0.25"/>
  <cols>
    <col min="1" max="7" width="3.85546875" customWidth="1"/>
    <col min="8" max="8" width="14.85546875" customWidth="1"/>
    <col min="9" max="9" width="9" bestFit="1" customWidth="1"/>
    <col min="11" max="11" width="37.7109375" customWidth="1"/>
  </cols>
  <sheetData>
    <row r="1" spans="1:10" x14ac:dyDescent="0.25">
      <c r="I1" s="8" t="s">
        <v>1428</v>
      </c>
      <c r="J1" s="39">
        <v>2</v>
      </c>
    </row>
    <row r="2" spans="1:10" x14ac:dyDescent="0.25">
      <c r="A2" s="23" t="s">
        <v>1427</v>
      </c>
    </row>
    <row r="3" spans="1:10" ht="31.5" customHeight="1" x14ac:dyDescent="0.25">
      <c r="A3" s="28" t="s">
        <v>240</v>
      </c>
      <c r="B3" s="28" t="s">
        <v>241</v>
      </c>
      <c r="C3" s="28" t="s">
        <v>242</v>
      </c>
      <c r="D3" s="28" t="s">
        <v>1430</v>
      </c>
      <c r="E3" s="28" t="s">
        <v>1431</v>
      </c>
      <c r="F3" s="28" t="s">
        <v>1432</v>
      </c>
      <c r="G3" s="28" t="s">
        <v>1433</v>
      </c>
      <c r="H3" s="28" t="str">
        <f>"Max of "&amp;J1&amp;" day running subtotal"</f>
        <v>Max of 2 day running subtotal</v>
      </c>
      <c r="I3" s="322" t="s">
        <v>1437</v>
      </c>
    </row>
    <row r="4" spans="1:10" x14ac:dyDescent="0.25">
      <c r="A4" s="39">
        <v>4</v>
      </c>
      <c r="B4" s="39">
        <v>2</v>
      </c>
      <c r="C4" s="39">
        <v>1</v>
      </c>
      <c r="D4" s="330">
        <v>8</v>
      </c>
      <c r="E4" s="330">
        <v>3</v>
      </c>
      <c r="F4" s="39">
        <v>6</v>
      </c>
      <c r="G4" s="39">
        <v>2</v>
      </c>
      <c r="H4" s="6">
        <f t="array" aca="1" ref="H4" ca="1">MAX(SUBTOTAL(9,OFFSET(A4,,ROW(INDIRECT("1:"&amp;COLUMNS(A4:G4)-$J$1+1))-1,1,$J$1)))</f>
        <v>11</v>
      </c>
      <c r="I4" t="s">
        <v>1435</v>
      </c>
    </row>
    <row r="5" spans="1:10" x14ac:dyDescent="0.25">
      <c r="A5" s="39">
        <v>4</v>
      </c>
      <c r="B5" s="39">
        <v>4</v>
      </c>
      <c r="C5" s="330">
        <v>10</v>
      </c>
      <c r="D5" s="330">
        <v>8</v>
      </c>
      <c r="E5" s="39">
        <v>9</v>
      </c>
      <c r="F5" s="39">
        <v>6</v>
      </c>
      <c r="G5" s="39">
        <v>3</v>
      </c>
      <c r="H5" s="6">
        <f t="array" aca="1" ref="H5" ca="1">MAX(SUBTOTAL(9,OFFSET(A5,,ROW(INDIRECT("1:"&amp;COLUMNS(A5:G5)-$J$1+1))-1,1,$J$1)))</f>
        <v>18</v>
      </c>
      <c r="I5" s="280" t="s">
        <v>1436</v>
      </c>
    </row>
    <row r="6" spans="1:10" x14ac:dyDescent="0.25">
      <c r="A6" s="39">
        <v>6</v>
      </c>
      <c r="B6" s="39">
        <v>8</v>
      </c>
      <c r="C6" s="39">
        <v>1</v>
      </c>
      <c r="D6" s="39">
        <v>6</v>
      </c>
      <c r="E6" s="330">
        <v>10</v>
      </c>
      <c r="F6" s="330">
        <v>10</v>
      </c>
      <c r="G6" s="39">
        <v>9</v>
      </c>
      <c r="H6" s="6">
        <f t="array" aca="1" ref="H6" ca="1">MAX(SUBTOTAL(9,OFFSET(A6,,ROW(INDIRECT("1:"&amp;COLUMNS(A6:G6)-$J$1+1))-1,1,$J$1)))</f>
        <v>20</v>
      </c>
      <c r="J6" t="s">
        <v>1298</v>
      </c>
    </row>
    <row r="7" spans="1:10" x14ac:dyDescent="0.25">
      <c r="A7" s="39">
        <v>5</v>
      </c>
      <c r="B7" s="39">
        <v>8</v>
      </c>
      <c r="C7" s="39">
        <v>6</v>
      </c>
      <c r="D7" s="39">
        <v>1</v>
      </c>
      <c r="E7" s="39">
        <v>3</v>
      </c>
      <c r="F7" s="330">
        <v>6</v>
      </c>
      <c r="G7" s="330">
        <v>10</v>
      </c>
      <c r="H7" s="6">
        <f t="array" aca="1" ref="H7" ca="1">MAX(SUBTOTAL(9,OFFSET(A7,,ROW(INDIRECT("1:"&amp;COLUMNS(A7:G7)-$J$1+1))-1,1,$J$1)))</f>
        <v>16</v>
      </c>
      <c r="I7" t="s">
        <v>1438</v>
      </c>
    </row>
    <row r="10" spans="1:10" x14ac:dyDescent="0.25">
      <c r="A10" s="23" t="s">
        <v>1434</v>
      </c>
    </row>
    <row r="12" spans="1:10" x14ac:dyDescent="0.25">
      <c r="A12" t="s">
        <v>1429</v>
      </c>
      <c r="C12" s="52"/>
      <c r="D12" s="52"/>
      <c r="E12" s="52"/>
      <c r="F12" s="52"/>
      <c r="G12" s="52"/>
      <c r="H12" s="52"/>
      <c r="I12" s="52"/>
    </row>
    <row r="13" spans="1:10" x14ac:dyDescent="0.25">
      <c r="A13" s="8" t="str">
        <f>"Max of "&amp;J1</f>
        <v>Max of 2</v>
      </c>
      <c r="B13" s="8"/>
      <c r="C13" s="8" t="str">
        <f>"Max of "&amp;J1</f>
        <v>Max of 2</v>
      </c>
      <c r="D13" s="8" t="str">
        <f>"Day "&amp;COLUMNS($D13:D13)&amp;" &amp; "&amp;COLUMNS($D13:D13)+1</f>
        <v>Day 1 &amp; 2</v>
      </c>
      <c r="E13" s="8" t="str">
        <f>"Day "&amp;COLUMNS($D13:E13)&amp;" &amp; "&amp;COLUMNS($D13:E13)+1</f>
        <v>Day 2 &amp; 3</v>
      </c>
      <c r="F13" s="8" t="str">
        <f>"Day "&amp;COLUMNS($D13:F13)&amp;" &amp; "&amp;COLUMNS($D13:F13)+1</f>
        <v>Day 3 &amp; 4</v>
      </c>
      <c r="G13" s="8" t="str">
        <f>"Day "&amp;COLUMNS($D13:G13)&amp;" &amp; "&amp;COLUMNS($D13:G13)+1</f>
        <v>Day 4 &amp; 5</v>
      </c>
      <c r="H13" s="8" t="str">
        <f>"Day "&amp;COLUMNS($D13:H13)&amp;" &amp; "&amp;COLUMNS($D13:H13)+1</f>
        <v>Day 5 &amp; 6</v>
      </c>
      <c r="I13" s="8" t="str">
        <f>"Day "&amp;COLUMNS($D13:I13)&amp;" &amp; "&amp;COLUMNS($D13:I13)+1</f>
        <v>Day 6 &amp; 7</v>
      </c>
    </row>
    <row r="14" spans="1:10" x14ac:dyDescent="0.25">
      <c r="A14" s="6">
        <f ca="1">MAX(SUBTOTAL(9,OFFSET(A4,,{0,1,2,3,4,5},1,$J$1)))</f>
        <v>11</v>
      </c>
      <c r="B14" s="6">
        <f>MAX(SUM(A4:B4),SUM(B4:C4),SUM(C4:D4),SUM(D4:E4),SUM(E4:F4),SUM(F4:G4))</f>
        <v>11</v>
      </c>
      <c r="C14" s="53">
        <f>MAX(D14:I14)</f>
        <v>11</v>
      </c>
      <c r="D14" s="5">
        <f t="shared" ref="D14:I17" si="0">SUM(A4:B4)</f>
        <v>6</v>
      </c>
      <c r="E14" s="5">
        <f t="shared" si="0"/>
        <v>3</v>
      </c>
      <c r="F14" s="5">
        <f t="shared" si="0"/>
        <v>9</v>
      </c>
      <c r="G14" s="5">
        <f t="shared" si="0"/>
        <v>11</v>
      </c>
      <c r="H14" s="5">
        <f t="shared" si="0"/>
        <v>9</v>
      </c>
      <c r="I14" s="5">
        <f t="shared" si="0"/>
        <v>8</v>
      </c>
    </row>
    <row r="15" spans="1:10" x14ac:dyDescent="0.25">
      <c r="A15" s="6">
        <f ca="1">MAX(SUBTOTAL(9,OFFSET(A5,,{0,1,2,3,4,5},1,$J$1)))</f>
        <v>18</v>
      </c>
      <c r="B15" s="6">
        <f>MAX(SUM(A5:B5),SUM(B5:C5),SUM(C5:D5),SUM(D5:E5),SUM(E5:F5),SUM(F5:G5))</f>
        <v>18</v>
      </c>
      <c r="C15" s="53">
        <f>MAX(D15:I15)</f>
        <v>18</v>
      </c>
      <c r="D15" s="5">
        <f t="shared" si="0"/>
        <v>8</v>
      </c>
      <c r="E15" s="5">
        <f t="shared" si="0"/>
        <v>14</v>
      </c>
      <c r="F15" s="5">
        <f t="shared" si="0"/>
        <v>18</v>
      </c>
      <c r="G15" s="5">
        <f t="shared" si="0"/>
        <v>17</v>
      </c>
      <c r="H15" s="5">
        <f t="shared" si="0"/>
        <v>15</v>
      </c>
      <c r="I15" s="5">
        <f t="shared" si="0"/>
        <v>9</v>
      </c>
    </row>
    <row r="16" spans="1:10" x14ac:dyDescent="0.25">
      <c r="A16" s="6">
        <f ca="1">MAX(SUBTOTAL(9,OFFSET(A6,,{0,1,2,3,4,5},1,$J$1)))</f>
        <v>20</v>
      </c>
      <c r="B16" s="6">
        <f>MAX(SUM(A6:B6),SUM(B6:C6),SUM(C6:D6),SUM(D6:E6),SUM(E6:F6),SUM(F6:G6))</f>
        <v>20</v>
      </c>
      <c r="C16" s="53">
        <f>MAX(D16:I16)</f>
        <v>20</v>
      </c>
      <c r="D16" s="5">
        <f t="shared" si="0"/>
        <v>14</v>
      </c>
      <c r="E16" s="5">
        <f t="shared" si="0"/>
        <v>9</v>
      </c>
      <c r="F16" s="5">
        <f t="shared" si="0"/>
        <v>7</v>
      </c>
      <c r="G16" s="5">
        <f t="shared" si="0"/>
        <v>16</v>
      </c>
      <c r="H16" s="5">
        <f t="shared" si="0"/>
        <v>20</v>
      </c>
      <c r="I16" s="5">
        <f t="shared" si="0"/>
        <v>19</v>
      </c>
    </row>
    <row r="17" spans="1:9" x14ac:dyDescent="0.25">
      <c r="A17" s="6">
        <f ca="1">MAX(SUBTOTAL(9,OFFSET(A7,,{0,1,2,3,4,5},1,$J$1)))</f>
        <v>16</v>
      </c>
      <c r="B17" s="6">
        <f>MAX(SUM(A7:B7),SUM(B7:C7),SUM(C7:D7),SUM(D7:E7),SUM(E7:F7),SUM(F7:G7))</f>
        <v>16</v>
      </c>
      <c r="C17" s="53">
        <f>MAX(D17:I17)</f>
        <v>16</v>
      </c>
      <c r="D17" s="5">
        <f t="shared" si="0"/>
        <v>13</v>
      </c>
      <c r="E17" s="5">
        <f t="shared" si="0"/>
        <v>14</v>
      </c>
      <c r="F17" s="5">
        <f t="shared" si="0"/>
        <v>7</v>
      </c>
      <c r="G17" s="5">
        <f t="shared" si="0"/>
        <v>4</v>
      </c>
      <c r="H17" s="5">
        <f t="shared" si="0"/>
        <v>9</v>
      </c>
      <c r="I17" s="5">
        <f t="shared" si="0"/>
        <v>16</v>
      </c>
    </row>
  </sheetData>
  <pageMargins left="0.7" right="0.7" top="0.75" bottom="0.75" header="0.3" footer="0.3"/>
</worksheet>
</file>

<file path=xl/worksheets/sheet2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1">
    <tabColor rgb="FF0000FF"/>
  </sheetPr>
  <dimension ref="A1:E6"/>
  <sheetViews>
    <sheetView zoomScale="160" zoomScaleNormal="160" workbookViewId="0">
      <selection activeCell="E3" sqref="E3"/>
    </sheetView>
  </sheetViews>
  <sheetFormatPr defaultRowHeight="15" x14ac:dyDescent="0.25"/>
  <cols>
    <col min="1" max="2" width="7.5703125" customWidth="1"/>
    <col min="3" max="3" width="11.85546875" customWidth="1"/>
    <col min="4" max="4" width="9.5703125" customWidth="1"/>
    <col min="6" max="6" width="57.42578125" customWidth="1"/>
  </cols>
  <sheetData>
    <row r="1" spans="1:5" x14ac:dyDescent="0.25">
      <c r="A1" s="23" t="s">
        <v>1439</v>
      </c>
    </row>
    <row r="2" spans="1:5" ht="30.75" customHeight="1" x14ac:dyDescent="0.25">
      <c r="A2" s="8" t="s">
        <v>17</v>
      </c>
      <c r="B2" s="28" t="s">
        <v>70</v>
      </c>
      <c r="C2" s="28" t="s">
        <v>209</v>
      </c>
      <c r="D2" s="28" t="s">
        <v>71</v>
      </c>
      <c r="E2" s="23" t="s">
        <v>1437</v>
      </c>
    </row>
    <row r="3" spans="1:5" x14ac:dyDescent="0.25">
      <c r="A3" s="29" t="s">
        <v>72</v>
      </c>
      <c r="B3" s="30">
        <v>30.25</v>
      </c>
      <c r="C3" s="331" t="s">
        <v>210</v>
      </c>
      <c r="D3" s="6">
        <f t="array" ref="D3">PRODUCT(1-MID(C3,CHOOSE(LEN(C3)-LEN(SUBSTITUTE(C3,"/",""))+1,1,{1,4},{1,4,7},{1,4,7,10}),2)/100)</f>
        <v>0.54720000000000002</v>
      </c>
      <c r="E3" t="s">
        <v>1444</v>
      </c>
    </row>
    <row r="4" spans="1:5" x14ac:dyDescent="0.25">
      <c r="A4" s="29" t="s">
        <v>192</v>
      </c>
      <c r="B4" s="30">
        <v>25.25</v>
      </c>
      <c r="C4" s="331" t="s">
        <v>1440</v>
      </c>
      <c r="D4" s="6">
        <f t="array" ref="D4">PRODUCT(1-MID(C4,CHOOSE(LEN(C4)-LEN(SUBSTITUTE(C4,"/",""))+1,1,{1,4},{1,4,7},{1,4,7,10}),2)/100)</f>
        <v>0.81</v>
      </c>
      <c r="E4" s="280" t="s">
        <v>1445</v>
      </c>
    </row>
    <row r="5" spans="1:5" x14ac:dyDescent="0.25">
      <c r="A5" s="29" t="s">
        <v>1021</v>
      </c>
      <c r="B5" s="30">
        <v>21.95</v>
      </c>
      <c r="C5" s="331" t="s">
        <v>1441</v>
      </c>
      <c r="D5" s="6">
        <f t="array" ref="D5">PRODUCT(1-MID(C5,CHOOSE(LEN(C5)-LEN(SUBSTITUTE(C5,"/",""))+1,1,{1,4},{1,4,7},{1,4,7,10}),2)/100)</f>
        <v>0.64259999999999995</v>
      </c>
      <c r="E5" s="280" t="s">
        <v>1446</v>
      </c>
    </row>
    <row r="6" spans="1:5" x14ac:dyDescent="0.25">
      <c r="A6" s="29" t="s">
        <v>1443</v>
      </c>
      <c r="B6" s="30">
        <v>23.95</v>
      </c>
      <c r="C6" s="331" t="s">
        <v>1442</v>
      </c>
      <c r="D6" s="6">
        <f t="array" ref="D6">PRODUCT(1-MID(C6,CHOOSE(LEN(C6)-LEN(SUBSTITUTE(C6,"/",""))+1,1,{1,4},{1,4,7},{1,4,7,10}),2)/100)</f>
        <v>0.95</v>
      </c>
    </row>
  </sheetData>
  <pageMargins left="0.7" right="0.7" top="0.75" bottom="0.75" header="0.3" footer="0.3"/>
</worksheet>
</file>

<file path=xl/worksheets/sheet2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2">
    <tabColor rgb="FF0000FF"/>
  </sheetPr>
  <dimension ref="A1:L19"/>
  <sheetViews>
    <sheetView zoomScale="130" zoomScaleNormal="130" workbookViewId="0">
      <selection activeCell="E3" sqref="E3"/>
    </sheetView>
  </sheetViews>
  <sheetFormatPr defaultRowHeight="15" x14ac:dyDescent="0.25"/>
  <cols>
    <col min="1" max="1" width="7" customWidth="1"/>
    <col min="2" max="2" width="6.42578125" customWidth="1"/>
    <col min="3" max="3" width="2.7109375" customWidth="1"/>
    <col min="4" max="4" width="6.85546875" customWidth="1"/>
    <col min="5" max="5" width="11.42578125" customWidth="1"/>
    <col min="7" max="7" width="61.140625" customWidth="1"/>
    <col min="9" max="9" width="9.28515625" customWidth="1"/>
  </cols>
  <sheetData>
    <row r="1" spans="1:12" x14ac:dyDescent="0.25">
      <c r="A1" s="23" t="s">
        <v>1447</v>
      </c>
    </row>
    <row r="2" spans="1:12" ht="75" x14ac:dyDescent="0.25">
      <c r="A2" s="8" t="s">
        <v>1448</v>
      </c>
      <c r="B2" s="8" t="s">
        <v>1480</v>
      </c>
      <c r="D2" s="28" t="s">
        <v>1463</v>
      </c>
      <c r="E2" s="28" t="s">
        <v>1449</v>
      </c>
      <c r="F2" s="23" t="s">
        <v>1412</v>
      </c>
    </row>
    <row r="3" spans="1:12" x14ac:dyDescent="0.25">
      <c r="A3" s="5" t="s">
        <v>1450</v>
      </c>
      <c r="B3" s="5" t="s">
        <v>1125</v>
      </c>
      <c r="D3" s="5" t="s">
        <v>1451</v>
      </c>
      <c r="E3" s="6">
        <f t="array" ref="E3">MAX(FREQUENCY(IF(($A$3:$A$12=D3)+($B$3:$B$12=D3),ROW($A$3:$A$12)),IF(($A$3:$A$12&lt;&gt;D3)*($B$3:$B$12&lt;&gt;D3),ROW($A$3:$A$12))))</f>
        <v>2</v>
      </c>
      <c r="F3" t="s">
        <v>1464</v>
      </c>
    </row>
    <row r="4" spans="1:12" x14ac:dyDescent="0.25">
      <c r="A4" s="5" t="s">
        <v>1450</v>
      </c>
      <c r="B4" s="5" t="s">
        <v>1452</v>
      </c>
      <c r="D4" s="5" t="s">
        <v>1453</v>
      </c>
      <c r="E4" s="6">
        <f t="array" ref="E4">MAX(FREQUENCY(IF(($A$3:$A$12=D4)+($B$3:$B$12=D4),ROW($A$3:$A$12)),IF(($A$3:$A$12&lt;&gt;D4)*($B$3:$B$12&lt;&gt;D4),ROW($A$3:$A$12))))</f>
        <v>1</v>
      </c>
      <c r="F4" s="280" t="s">
        <v>1465</v>
      </c>
    </row>
    <row r="5" spans="1:12" x14ac:dyDescent="0.25">
      <c r="A5" s="5" t="s">
        <v>1125</v>
      </c>
      <c r="B5" s="5" t="s">
        <v>1450</v>
      </c>
      <c r="D5" s="5" t="s">
        <v>1450</v>
      </c>
      <c r="E5" s="6">
        <f t="array" ref="E5">MAX(FREQUENCY(IF(($A$3:$A$12=D5)+($B$3:$B$12=D5),ROW($A$3:$A$12)),IF(($A$3:$A$12&lt;&gt;D5)*($B$3:$B$12&lt;&gt;D5),ROW($A$3:$A$12))))</f>
        <v>4</v>
      </c>
    </row>
    <row r="6" spans="1:12" x14ac:dyDescent="0.25">
      <c r="A6" s="5" t="s">
        <v>1454</v>
      </c>
      <c r="B6" s="5" t="s">
        <v>1455</v>
      </c>
      <c r="D6" s="5" t="s">
        <v>1125</v>
      </c>
      <c r="E6" s="6">
        <f t="array" ref="E6">MAX(FREQUENCY(IF(($A$3:$A$12=D6)+($B$3:$B$12=D6),ROW($A$3:$A$12)),IF(($A$3:$A$12&lt;&gt;D6)*($B$3:$B$12&lt;&gt;D6),ROW($A$3:$A$12))))</f>
        <v>1</v>
      </c>
    </row>
    <row r="7" spans="1:12" x14ac:dyDescent="0.25">
      <c r="A7" s="5" t="s">
        <v>1451</v>
      </c>
      <c r="B7" s="5" t="s">
        <v>1456</v>
      </c>
    </row>
    <row r="8" spans="1:12" x14ac:dyDescent="0.25">
      <c r="A8" s="5" t="s">
        <v>1457</v>
      </c>
      <c r="B8" s="5" t="s">
        <v>1458</v>
      </c>
    </row>
    <row r="9" spans="1:12" x14ac:dyDescent="0.25">
      <c r="A9" s="5" t="s">
        <v>1451</v>
      </c>
      <c r="B9" s="5" t="s">
        <v>1450</v>
      </c>
    </row>
    <row r="10" spans="1:12" x14ac:dyDescent="0.25">
      <c r="A10" s="5" t="s">
        <v>1450</v>
      </c>
      <c r="B10" s="5" t="s">
        <v>1451</v>
      </c>
    </row>
    <row r="11" spans="1:12" x14ac:dyDescent="0.25">
      <c r="A11" s="5" t="s">
        <v>1450</v>
      </c>
      <c r="B11" s="5" t="s">
        <v>1455</v>
      </c>
    </row>
    <row r="12" spans="1:12" x14ac:dyDescent="0.25">
      <c r="A12" s="5" t="s">
        <v>1453</v>
      </c>
      <c r="B12" s="5" t="s">
        <v>1450</v>
      </c>
    </row>
    <row r="16" spans="1:12" x14ac:dyDescent="0.25">
      <c r="D16" s="188" t="s">
        <v>1459</v>
      </c>
      <c r="E16" s="141"/>
      <c r="F16" s="141"/>
      <c r="G16" s="141"/>
      <c r="H16" s="141"/>
      <c r="I16" s="141"/>
      <c r="J16" s="141"/>
      <c r="K16" s="141"/>
      <c r="L16" s="142"/>
    </row>
    <row r="17" spans="4:12" x14ac:dyDescent="0.25">
      <c r="D17" s="189" t="s">
        <v>1460</v>
      </c>
      <c r="E17" s="144"/>
      <c r="F17" s="144"/>
      <c r="G17" s="144"/>
      <c r="H17" s="144"/>
      <c r="I17" s="144"/>
      <c r="J17" s="144"/>
      <c r="K17" s="144"/>
      <c r="L17" s="145"/>
    </row>
    <row r="18" spans="4:12" x14ac:dyDescent="0.25">
      <c r="D18" s="189" t="s">
        <v>1461</v>
      </c>
      <c r="E18" s="144"/>
      <c r="F18" s="144"/>
      <c r="G18" s="144"/>
      <c r="H18" s="144"/>
      <c r="I18" s="144"/>
      <c r="J18" s="144"/>
      <c r="K18" s="144"/>
      <c r="L18" s="145"/>
    </row>
    <row r="19" spans="4:12" x14ac:dyDescent="0.25">
      <c r="D19" s="191" t="s">
        <v>1462</v>
      </c>
      <c r="E19" s="147"/>
      <c r="F19" s="147"/>
      <c r="G19" s="147"/>
      <c r="H19" s="147"/>
      <c r="I19" s="147"/>
      <c r="J19" s="147"/>
      <c r="K19" s="147"/>
      <c r="L19" s="148"/>
    </row>
  </sheetData>
  <pageMargins left="0.7" right="0.7" top="0.75" bottom="0.75" header="0.3" footer="0.3"/>
</worksheet>
</file>

<file path=xl/worksheets/sheet2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3">
    <tabColor rgb="FF0000FF"/>
  </sheetPr>
  <dimension ref="A1:I23"/>
  <sheetViews>
    <sheetView zoomScale="130" zoomScaleNormal="130" workbookViewId="0">
      <selection activeCell="J28" sqref="J28"/>
    </sheetView>
  </sheetViews>
  <sheetFormatPr defaultRowHeight="15" x14ac:dyDescent="0.25"/>
  <cols>
    <col min="1" max="4" width="9.140625" customWidth="1"/>
    <col min="5" max="5" width="2.85546875" customWidth="1"/>
    <col min="6" max="6" width="11.42578125" customWidth="1"/>
  </cols>
  <sheetData>
    <row r="1" spans="1:9" x14ac:dyDescent="0.25">
      <c r="A1" s="23" t="s">
        <v>1373</v>
      </c>
    </row>
    <row r="2" spans="1:9" x14ac:dyDescent="0.25">
      <c r="A2" s="104" t="s">
        <v>21</v>
      </c>
      <c r="B2" s="8" t="s">
        <v>8</v>
      </c>
      <c r="C2" s="8" t="s">
        <v>8</v>
      </c>
      <c r="D2" s="8" t="s">
        <v>22</v>
      </c>
    </row>
    <row r="3" spans="1:9" x14ac:dyDescent="0.25">
      <c r="B3" s="19">
        <v>41061</v>
      </c>
      <c r="C3" s="19">
        <v>41425</v>
      </c>
      <c r="D3" s="5" t="s">
        <v>27</v>
      </c>
    </row>
    <row r="4" spans="1:9" ht="5.25" customHeight="1" x14ac:dyDescent="0.25"/>
    <row r="5" spans="1:9" x14ac:dyDescent="0.25">
      <c r="A5" s="8" t="s">
        <v>33</v>
      </c>
    </row>
    <row r="6" spans="1:9" x14ac:dyDescent="0.25">
      <c r="A6" s="12">
        <f>COUNTIFS(A14:A23,"&gt;="&amp;B3,A14:A23,"&lt;="&amp;C3,B14:B23,D3)</f>
        <v>2</v>
      </c>
      <c r="B6" t="s">
        <v>1483</v>
      </c>
    </row>
    <row r="8" spans="1:9" x14ac:dyDescent="0.25">
      <c r="A8" t="s">
        <v>1481</v>
      </c>
    </row>
    <row r="9" spans="1:9" x14ac:dyDescent="0.25">
      <c r="B9" s="319" t="s">
        <v>1482</v>
      </c>
    </row>
    <row r="10" spans="1:9" x14ac:dyDescent="0.25">
      <c r="B10" s="319"/>
    </row>
    <row r="11" spans="1:9" x14ac:dyDescent="0.25">
      <c r="A11" t="s">
        <v>1900</v>
      </c>
    </row>
    <row r="12" spans="1:9" x14ac:dyDescent="0.25">
      <c r="A12" s="169" t="s">
        <v>619</v>
      </c>
    </row>
    <row r="13" spans="1:9" x14ac:dyDescent="0.25">
      <c r="A13" s="8" t="s">
        <v>8</v>
      </c>
      <c r="B13" s="8" t="s">
        <v>22</v>
      </c>
      <c r="C13" s="8" t="s">
        <v>24</v>
      </c>
      <c r="D13" s="8" t="s">
        <v>25</v>
      </c>
      <c r="F13" s="168" t="s">
        <v>26</v>
      </c>
      <c r="H13" s="32"/>
    </row>
    <row r="14" spans="1:9" x14ac:dyDescent="0.25">
      <c r="A14" s="13">
        <v>41484</v>
      </c>
      <c r="B14" s="5" t="s">
        <v>27</v>
      </c>
      <c r="C14" s="5" t="s">
        <v>28</v>
      </c>
      <c r="D14" s="5">
        <v>929</v>
      </c>
      <c r="F14" s="8" t="s">
        <v>8</v>
      </c>
      <c r="G14" s="8" t="s">
        <v>22</v>
      </c>
      <c r="H14" s="8" t="s">
        <v>24</v>
      </c>
      <c r="I14" s="8" t="s">
        <v>25</v>
      </c>
    </row>
    <row r="15" spans="1:9" x14ac:dyDescent="0.25">
      <c r="A15" s="13">
        <v>40946</v>
      </c>
      <c r="B15" s="5" t="s">
        <v>23</v>
      </c>
      <c r="C15" s="5" t="s">
        <v>30</v>
      </c>
      <c r="D15" s="5">
        <v>681</v>
      </c>
      <c r="F15" s="15">
        <f>IF(ROWS(F$15:F15)&gt;$A$6,"",INDEX(A$14:A$23,SMALL(RP,ROWS(F$15:F15))))</f>
        <v>41216</v>
      </c>
      <c r="G15" s="6" t="str">
        <f>IF(ROWS(G$15:G15)&gt;$A$6,"",INDEX(B$14:B$23,SMALL(RP,ROWS(G$15:G15))))</f>
        <v>West</v>
      </c>
      <c r="H15" s="6" t="str">
        <f>IF(ROWS(H$15:H15)&gt;$A$6,"",INDEX(C$14:C$23,SMALL(RP,ROWS(H$15:H15))))</f>
        <v>K</v>
      </c>
      <c r="I15" s="6">
        <f>IF(ROWS(I$15:I15)&gt;$A$6,"",INDEX(D$14:D$23,SMALL(RP,ROWS(I$15:I15))))</f>
        <v>436</v>
      </c>
    </row>
    <row r="16" spans="1:9" x14ac:dyDescent="0.25">
      <c r="A16" s="13">
        <v>41175</v>
      </c>
      <c r="B16" s="5" t="s">
        <v>31</v>
      </c>
      <c r="C16" s="14" t="s">
        <v>32</v>
      </c>
      <c r="D16" s="5">
        <v>1393</v>
      </c>
      <c r="F16" s="15">
        <f>IF(ROWS(F$15:F16)&gt;$A$6,"",INDEX(A$14:A$23,SMALL(RP,ROWS(F$15:F16))))</f>
        <v>41103</v>
      </c>
      <c r="G16" s="6" t="str">
        <f>IF(ROWS(G$15:G16)&gt;$A$6,"",INDEX(B$14:B$23,SMALL(RP,ROWS(G$15:G16))))</f>
        <v>West</v>
      </c>
      <c r="H16" s="6" t="str">
        <f>IF(ROWS(H$15:H16)&gt;$A$6,"",INDEX(C$14:C$23,SMALL(RP,ROWS(H$15:H16))))</f>
        <v>WFMI</v>
      </c>
      <c r="I16" s="6">
        <f>IF(ROWS(I$15:I16)&gt;$A$6,"",INDEX(D$14:D$23,SMALL(RP,ROWS(I$15:I16))))</f>
        <v>1206</v>
      </c>
    </row>
    <row r="17" spans="1:9" x14ac:dyDescent="0.25">
      <c r="A17" s="13">
        <v>41013</v>
      </c>
      <c r="B17" s="5" t="s">
        <v>27</v>
      </c>
      <c r="C17" s="14" t="s">
        <v>28</v>
      </c>
      <c r="D17" s="5">
        <v>530</v>
      </c>
      <c r="F17" s="15" t="str">
        <f>IF(ROWS(F$15:F17)&gt;$A$6,"",INDEX(A$14:A$23,SMALL(RP,ROWS(F$15:F17))))</f>
        <v/>
      </c>
      <c r="G17" s="6" t="str">
        <f>IF(ROWS(G$15:G17)&gt;$A$6,"",INDEX(B$14:B$23,SMALL(RP,ROWS(G$15:G17))))</f>
        <v/>
      </c>
      <c r="H17" s="6" t="str">
        <f>IF(ROWS(H$15:H17)&gt;$A$6,"",INDEX(C$14:C$23,SMALL(RP,ROWS(H$15:H17))))</f>
        <v/>
      </c>
      <c r="I17" s="6" t="str">
        <f>IF(ROWS(I$15:I17)&gt;$A$6,"",INDEX(D$14:D$23,SMALL(RP,ROWS(I$15:I17))))</f>
        <v/>
      </c>
    </row>
    <row r="18" spans="1:9" x14ac:dyDescent="0.25">
      <c r="A18" s="13">
        <v>41116</v>
      </c>
      <c r="B18" s="5" t="s">
        <v>23</v>
      </c>
      <c r="C18" s="14" t="s">
        <v>28</v>
      </c>
      <c r="D18" s="5">
        <v>1058</v>
      </c>
      <c r="F18" s="15" t="str">
        <f>IF(ROWS(F$15:F18)&gt;$A$6,"",INDEX(A$14:A$23,SMALL(RP,ROWS(F$15:F18))))</f>
        <v/>
      </c>
      <c r="G18" s="6" t="str">
        <f>IF(ROWS(G$15:G18)&gt;$A$6,"",INDEX(B$14:B$23,SMALL(RP,ROWS(G$15:G18))))</f>
        <v/>
      </c>
      <c r="H18" s="6" t="str">
        <f>IF(ROWS(H$15:H18)&gt;$A$6,"",INDEX(C$14:C$23,SMALL(RP,ROWS(H$15:H18))))</f>
        <v/>
      </c>
      <c r="I18" s="6" t="str">
        <f>IF(ROWS(I$15:I18)&gt;$A$6,"",INDEX(D$14:D$23,SMALL(RP,ROWS(I$15:I18))))</f>
        <v/>
      </c>
    </row>
    <row r="19" spans="1:9" x14ac:dyDescent="0.25">
      <c r="A19" s="13">
        <v>41559</v>
      </c>
      <c r="B19" s="5" t="s">
        <v>31</v>
      </c>
      <c r="C19" s="14" t="s">
        <v>30</v>
      </c>
      <c r="D19" s="5">
        <v>1023</v>
      </c>
      <c r="F19" s="15" t="str">
        <f>IF(ROWS(F$15:F19)&gt;$A$6,"",INDEX(A$14:A$23,SMALL(RP,ROWS(F$15:F19))))</f>
        <v/>
      </c>
      <c r="G19" s="6" t="str">
        <f>IF(ROWS(G$15:G19)&gt;$A$6,"",INDEX(B$14:B$23,SMALL(RP,ROWS(G$15:G19))))</f>
        <v/>
      </c>
      <c r="H19" s="6" t="str">
        <f>IF(ROWS(H$15:H19)&gt;$A$6,"",INDEX(C$14:C$23,SMALL(RP,ROWS(H$15:H19))))</f>
        <v/>
      </c>
      <c r="I19" s="6" t="str">
        <f>IF(ROWS(I$15:I19)&gt;$A$6,"",INDEX(D$14:D$23,SMALL(RP,ROWS(I$15:I19))))</f>
        <v/>
      </c>
    </row>
    <row r="20" spans="1:9" x14ac:dyDescent="0.25">
      <c r="A20" s="13">
        <v>41216</v>
      </c>
      <c r="B20" s="5" t="s">
        <v>27</v>
      </c>
      <c r="C20" s="14" t="s">
        <v>32</v>
      </c>
      <c r="D20" s="5">
        <v>436</v>
      </c>
      <c r="F20" s="15" t="str">
        <f>IF(ROWS(F$15:F20)&gt;$A$6,"",INDEX(A$14:A$23,SMALL(RP,ROWS(F$15:F20))))</f>
        <v/>
      </c>
      <c r="G20" s="6" t="str">
        <f>IF(ROWS(G$15:G20)&gt;$A$6,"",INDEX(B$14:B$23,SMALL(RP,ROWS(G$15:G20))))</f>
        <v/>
      </c>
      <c r="H20" s="6" t="str">
        <f>IF(ROWS(H$15:H20)&gt;$A$6,"",INDEX(C$14:C$23,SMALL(RP,ROWS(H$15:H20))))</f>
        <v/>
      </c>
      <c r="I20" s="6" t="str">
        <f>IF(ROWS(I$15:I20)&gt;$A$6,"",INDEX(D$14:D$23,SMALL(RP,ROWS(I$15:I20))))</f>
        <v/>
      </c>
    </row>
    <row r="21" spans="1:9" x14ac:dyDescent="0.25">
      <c r="A21" s="13">
        <v>41520</v>
      </c>
      <c r="B21" s="5" t="s">
        <v>27</v>
      </c>
      <c r="C21" s="14" t="s">
        <v>32</v>
      </c>
      <c r="D21" s="5">
        <v>1311</v>
      </c>
    </row>
    <row r="22" spans="1:9" x14ac:dyDescent="0.25">
      <c r="A22" s="13">
        <v>41022</v>
      </c>
      <c r="B22" s="5" t="s">
        <v>31</v>
      </c>
      <c r="C22" s="14" t="s">
        <v>32</v>
      </c>
      <c r="D22" s="5">
        <v>368</v>
      </c>
    </row>
    <row r="23" spans="1:9" x14ac:dyDescent="0.25">
      <c r="A23" s="13">
        <v>41103</v>
      </c>
      <c r="B23" s="5" t="s">
        <v>27</v>
      </c>
      <c r="C23" s="14" t="s">
        <v>28</v>
      </c>
      <c r="D23" s="5">
        <v>1206</v>
      </c>
    </row>
  </sheetData>
  <conditionalFormatting sqref="A14:D23">
    <cfRule type="expression" dxfId="0" priority="42">
      <formula>AND($A14&gt;=$B$3,$A14&lt;=$C$3,$B14=$D$3)</formula>
    </cfRule>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272</vt:i4>
      </vt:variant>
      <vt:variant>
        <vt:lpstr>Named Ranges</vt:lpstr>
      </vt:variant>
      <vt:variant>
        <vt:i4>16</vt:i4>
      </vt:variant>
    </vt:vector>
  </HeadingPairs>
  <TitlesOfParts>
    <vt:vector size="288" baseType="lpstr">
      <vt:lpstr>In-(1)</vt:lpstr>
      <vt:lpstr>In-(2)</vt:lpstr>
      <vt:lpstr>In-(3)</vt:lpstr>
      <vt:lpstr>In-(4)</vt:lpstr>
      <vt:lpstr>2-(1)</vt:lpstr>
      <vt:lpstr>2-(2)</vt:lpstr>
      <vt:lpstr>2-(3)</vt:lpstr>
      <vt:lpstr>2-(4) to 2-(11)</vt:lpstr>
      <vt:lpstr>2-(12)</vt:lpstr>
      <vt:lpstr>2-(13)</vt:lpstr>
      <vt:lpstr>2-(14) to 2-(16)</vt:lpstr>
      <vt:lpstr>3-(1)</vt:lpstr>
      <vt:lpstr>3-(2)</vt:lpstr>
      <vt:lpstr>3-(3)</vt:lpstr>
      <vt:lpstr>3-(4)</vt:lpstr>
      <vt:lpstr>3-(5)</vt:lpstr>
      <vt:lpstr>3-(6) to 3-(7)</vt:lpstr>
      <vt:lpstr>3-(8)</vt:lpstr>
      <vt:lpstr>4-(1) to 4-(12)</vt:lpstr>
      <vt:lpstr>4-(13) to 4-(14)</vt:lpstr>
      <vt:lpstr>4-(15)</vt:lpstr>
      <vt:lpstr>4-(16)</vt:lpstr>
      <vt:lpstr>3-(17)</vt:lpstr>
      <vt:lpstr>4-(18) to 4-(29)</vt:lpstr>
      <vt:lpstr>4-(30)</vt:lpstr>
      <vt:lpstr>4-(31)</vt:lpstr>
      <vt:lpstr>4-(32) to 4-(33)</vt:lpstr>
      <vt:lpstr>4-(34) to 4-(40)</vt:lpstr>
      <vt:lpstr>4-(41)</vt:lpstr>
      <vt:lpstr>4-(42)</vt:lpstr>
      <vt:lpstr>4-(43)</vt:lpstr>
      <vt:lpstr>5-(1) to 5-(9)</vt:lpstr>
      <vt:lpstr>5-(10)</vt:lpstr>
      <vt:lpstr>5-(11)</vt:lpstr>
      <vt:lpstr>5-(12)</vt:lpstr>
      <vt:lpstr>5-(13)</vt:lpstr>
      <vt:lpstr>5-(14)</vt:lpstr>
      <vt:lpstr>V-Aprox</vt:lpstr>
      <vt:lpstr>5-(15) to 5-(20)</vt:lpstr>
      <vt:lpstr>6-(1) to 6-(2)</vt:lpstr>
      <vt:lpstr>6-(3) to 6-(7)</vt:lpstr>
      <vt:lpstr>6-(8)</vt:lpstr>
      <vt:lpstr>6-(9)</vt:lpstr>
      <vt:lpstr>6-(10) to 6-(12)</vt:lpstr>
      <vt:lpstr>6-(13)</vt:lpstr>
      <vt:lpstr>7-(1)</vt:lpstr>
      <vt:lpstr>7-(2) to 7-(8)</vt:lpstr>
      <vt:lpstr>7-(9)</vt:lpstr>
      <vt:lpstr>7-(10) to 7-(12)</vt:lpstr>
      <vt:lpstr>7-(13)</vt:lpstr>
      <vt:lpstr>7-(14)</vt:lpstr>
      <vt:lpstr>7-(15)</vt:lpstr>
      <vt:lpstr>7-(16) to 7-(17) </vt:lpstr>
      <vt:lpstr>7-(18) to 7-(24)</vt:lpstr>
      <vt:lpstr>7-(25)</vt:lpstr>
      <vt:lpstr>7-(26) to 7-(32)</vt:lpstr>
      <vt:lpstr>7-(33)</vt:lpstr>
      <vt:lpstr>7-(34)</vt:lpstr>
      <vt:lpstr>7-(35)</vt:lpstr>
      <vt:lpstr>7-(36)</vt:lpstr>
      <vt:lpstr>7-(37) to 7-(38)</vt:lpstr>
      <vt:lpstr>7-(39)</vt:lpstr>
      <vt:lpstr>7-(40)</vt:lpstr>
      <vt:lpstr>7-(41)</vt:lpstr>
      <vt:lpstr>7-(42)</vt:lpstr>
      <vt:lpstr>7-(43)</vt:lpstr>
      <vt:lpstr>7-(44)</vt:lpstr>
      <vt:lpstr>8-(1) to 8-(4)</vt:lpstr>
      <vt:lpstr>8-(5)</vt:lpstr>
      <vt:lpstr>8-(6)</vt:lpstr>
      <vt:lpstr>8-(7)</vt:lpstr>
      <vt:lpstr>8-(8)</vt:lpstr>
      <vt:lpstr>8-(9)</vt:lpstr>
      <vt:lpstr>8-(10)</vt:lpstr>
      <vt:lpstr>8-(11)</vt:lpstr>
      <vt:lpstr>8-(12)</vt:lpstr>
      <vt:lpstr>8-(13)</vt:lpstr>
      <vt:lpstr>8-(14)</vt:lpstr>
      <vt:lpstr>8-(15) to 8-(16)</vt:lpstr>
      <vt:lpstr>8-(17) to 8-(18)</vt:lpstr>
      <vt:lpstr>8-(19)</vt:lpstr>
      <vt:lpstr>8-(20)</vt:lpstr>
      <vt:lpstr>8-(21) to 8-(23)</vt:lpstr>
      <vt:lpstr>8-(24)</vt:lpstr>
      <vt:lpstr>9-(1) to 9-(2)</vt:lpstr>
      <vt:lpstr>9-3)</vt:lpstr>
      <vt:lpstr>9-(4)</vt:lpstr>
      <vt:lpstr>9-(5) to 9-(11)</vt:lpstr>
      <vt:lpstr>9-(12) to 9-(13)</vt:lpstr>
      <vt:lpstr>9-(14)</vt:lpstr>
      <vt:lpstr>9-(15) to 9-(16)</vt:lpstr>
      <vt:lpstr>9-(17)</vt:lpstr>
      <vt:lpstr>9-(18) to 9-(24)</vt:lpstr>
      <vt:lpstr>9-(25)</vt:lpstr>
      <vt:lpstr>9-(26)</vt:lpstr>
      <vt:lpstr>9-(27)</vt:lpstr>
      <vt:lpstr>9-(28)</vt:lpstr>
      <vt:lpstr>9-(29)</vt:lpstr>
      <vt:lpstr>9-(30)</vt:lpstr>
      <vt:lpstr>10-(1)</vt:lpstr>
      <vt:lpstr>10-(2)</vt:lpstr>
      <vt:lpstr>10-(3)</vt:lpstr>
      <vt:lpstr>10-(4)</vt:lpstr>
      <vt:lpstr>10-(5)</vt:lpstr>
      <vt:lpstr>10-(6) to 10-(7)</vt:lpstr>
      <vt:lpstr>10-8)</vt:lpstr>
      <vt:lpstr>10-(9)</vt:lpstr>
      <vt:lpstr>10-(10)</vt:lpstr>
      <vt:lpstr>10-(11)</vt:lpstr>
      <vt:lpstr>10-(12)</vt:lpstr>
      <vt:lpstr>10-(13) to 10-(15)</vt:lpstr>
      <vt:lpstr>10-(16)</vt:lpstr>
      <vt:lpstr>10-(17)</vt:lpstr>
      <vt:lpstr>10-(18)</vt:lpstr>
      <vt:lpstr>10-(23)</vt:lpstr>
      <vt:lpstr>10-(24)</vt:lpstr>
      <vt:lpstr>10-(25)</vt:lpstr>
      <vt:lpstr>10-(26)</vt:lpstr>
      <vt:lpstr>10-(27)</vt:lpstr>
      <vt:lpstr>10-(28)</vt:lpstr>
      <vt:lpstr>10-(29) to 10-(41)</vt:lpstr>
      <vt:lpstr>10-(42)</vt:lpstr>
      <vt:lpstr>11-(0.5)</vt:lpstr>
      <vt:lpstr>11-(1)</vt:lpstr>
      <vt:lpstr>11-(2)</vt:lpstr>
      <vt:lpstr>11-(3)</vt:lpstr>
      <vt:lpstr>11-(4)</vt:lpstr>
      <vt:lpstr>11-(5)</vt:lpstr>
      <vt:lpstr>11-(6)</vt:lpstr>
      <vt:lpstr>11-(7)</vt:lpstr>
      <vt:lpstr>11-(8)</vt:lpstr>
      <vt:lpstr>11-(9)</vt:lpstr>
      <vt:lpstr>11-(10)</vt:lpstr>
      <vt:lpstr>11-(11)</vt:lpstr>
      <vt:lpstr>11-(13)</vt:lpstr>
      <vt:lpstr>11-(15)</vt:lpstr>
      <vt:lpstr>11-(16)</vt:lpstr>
      <vt:lpstr>11-(17)</vt:lpstr>
      <vt:lpstr>11-(18)</vt:lpstr>
      <vt:lpstr>11-(19)</vt:lpstr>
      <vt:lpstr>11-(20)</vt:lpstr>
      <vt:lpstr>12-(1)</vt:lpstr>
      <vt:lpstr>12-(4)</vt:lpstr>
      <vt:lpstr>13-(1)</vt:lpstr>
      <vt:lpstr>13-(2)</vt:lpstr>
      <vt:lpstr>13-(3)</vt:lpstr>
      <vt:lpstr>13-(4)</vt:lpstr>
      <vt:lpstr>13-(5)</vt:lpstr>
      <vt:lpstr>13-(6)</vt:lpstr>
      <vt:lpstr>13-(7)</vt:lpstr>
      <vt:lpstr>13-(8)</vt:lpstr>
      <vt:lpstr>13-(9)</vt:lpstr>
      <vt:lpstr>13-(10)</vt:lpstr>
      <vt:lpstr>13-(11) to 13-(17)</vt:lpstr>
      <vt:lpstr>13-(18)</vt:lpstr>
      <vt:lpstr>13-(19)</vt:lpstr>
      <vt:lpstr>13-(20)</vt:lpstr>
      <vt:lpstr>13-(21) to 13-(24)</vt:lpstr>
      <vt:lpstr>13-(25)</vt:lpstr>
      <vt:lpstr>13-(26) to 13-(28)</vt:lpstr>
      <vt:lpstr>13-(29)</vt:lpstr>
      <vt:lpstr>13-(30)</vt:lpstr>
      <vt:lpstr>13-(31) to 13-(33)</vt:lpstr>
      <vt:lpstr>13-(34) to 13-(42)</vt:lpstr>
      <vt:lpstr>13-(43)</vt:lpstr>
      <vt:lpstr>13-(44)</vt:lpstr>
      <vt:lpstr>13-(45)</vt:lpstr>
      <vt:lpstr>13-(46)</vt:lpstr>
      <vt:lpstr>15-(1)</vt:lpstr>
      <vt:lpstr>15-(2)</vt:lpstr>
      <vt:lpstr>15-(3)</vt:lpstr>
      <vt:lpstr>15-(4)</vt:lpstr>
      <vt:lpstr>15-(5)</vt:lpstr>
      <vt:lpstr>15-(6)</vt:lpstr>
      <vt:lpstr>15-(7)</vt:lpstr>
      <vt:lpstr>15-(8)</vt:lpstr>
      <vt:lpstr>15-(9)</vt:lpstr>
      <vt:lpstr>15-(10)</vt:lpstr>
      <vt:lpstr>15-(11)</vt:lpstr>
      <vt:lpstr>15-(12)</vt:lpstr>
      <vt:lpstr>15-(13) to 15-(17)</vt:lpstr>
      <vt:lpstr>15-(18)</vt:lpstr>
      <vt:lpstr>15-(19)</vt:lpstr>
      <vt:lpstr>15-(20)</vt:lpstr>
      <vt:lpstr>15-(21)</vt:lpstr>
      <vt:lpstr>15-(22)</vt:lpstr>
      <vt:lpstr>15-(23) to 5-(33)</vt:lpstr>
      <vt:lpstr>15-(36) to 15-(42)</vt:lpstr>
      <vt:lpstr>15-(44)</vt:lpstr>
      <vt:lpstr>15-(45)</vt:lpstr>
      <vt:lpstr>15-(46)</vt:lpstr>
      <vt:lpstr>15-(49) to 15-(50)</vt:lpstr>
      <vt:lpstr>15-(51) to 15-(52)</vt:lpstr>
      <vt:lpstr>15-(53) to 15-(54)</vt:lpstr>
      <vt:lpstr>15-(55)</vt:lpstr>
      <vt:lpstr>15-(56)</vt:lpstr>
      <vt:lpstr>16-(1)</vt:lpstr>
      <vt:lpstr>16-(2) to 16-(4)</vt:lpstr>
      <vt:lpstr>16-(5)</vt:lpstr>
      <vt:lpstr>16-(6)</vt:lpstr>
      <vt:lpstr>16-(7)</vt:lpstr>
      <vt:lpstr>16-(8)</vt:lpstr>
      <vt:lpstr>16-(9)</vt:lpstr>
      <vt:lpstr>16-(10)</vt:lpstr>
      <vt:lpstr>16-(11)</vt:lpstr>
      <vt:lpstr>17-(1) to 17-(3)</vt:lpstr>
      <vt:lpstr>17-(5)</vt:lpstr>
      <vt:lpstr>17-(6)</vt:lpstr>
      <vt:lpstr>17-(8)</vt:lpstr>
      <vt:lpstr>17-(9) to 17-(11)</vt:lpstr>
      <vt:lpstr>17-(12)</vt:lpstr>
      <vt:lpstr>17-(13)</vt:lpstr>
      <vt:lpstr>17-(14)</vt:lpstr>
      <vt:lpstr>17-(15)</vt:lpstr>
      <vt:lpstr>18-(1) to 18-(2)</vt:lpstr>
      <vt:lpstr>18-(3)</vt:lpstr>
      <vt:lpstr>18-(4)</vt:lpstr>
      <vt:lpstr>18-(5) to 18-(6)</vt:lpstr>
      <vt:lpstr>18-(7)</vt:lpstr>
      <vt:lpstr>18-(8)</vt:lpstr>
      <vt:lpstr>18-(9)</vt:lpstr>
      <vt:lpstr>18-(10)</vt:lpstr>
      <vt:lpstr>18-(11) to 18-(14)</vt:lpstr>
      <vt:lpstr>18-(15)</vt:lpstr>
      <vt:lpstr>18-(16)</vt:lpstr>
      <vt:lpstr>18-(17) to 18-(31)</vt:lpstr>
      <vt:lpstr>Diagrams</vt:lpstr>
      <vt:lpstr>18-(32)</vt:lpstr>
      <vt:lpstr>18-(33)</vt:lpstr>
      <vt:lpstr>19-(1) to 19-(3)</vt:lpstr>
      <vt:lpstr>19-(4) to 9-(5)</vt:lpstr>
      <vt:lpstr>19-(6)</vt:lpstr>
      <vt:lpstr>19-(7)</vt:lpstr>
      <vt:lpstr>19-(8) to 19-(12)</vt:lpstr>
      <vt:lpstr>19-(13)</vt:lpstr>
      <vt:lpstr>19-(14) to 19-(18)</vt:lpstr>
      <vt:lpstr>19-(19)</vt:lpstr>
      <vt:lpstr>19-(20)</vt:lpstr>
      <vt:lpstr>19-(21)</vt:lpstr>
      <vt:lpstr>19-(22)</vt:lpstr>
      <vt:lpstr>19-(23)</vt:lpstr>
      <vt:lpstr>19-(24)</vt:lpstr>
      <vt:lpstr>19-(25)</vt:lpstr>
      <vt:lpstr>19-(26)</vt:lpstr>
      <vt:lpstr>19-(27)</vt:lpstr>
      <vt:lpstr>19-(28)</vt:lpstr>
      <vt:lpstr>Diagram</vt:lpstr>
      <vt:lpstr>19-(29)</vt:lpstr>
      <vt:lpstr>19-(30) to 19-(36)</vt:lpstr>
      <vt:lpstr>19-(37) to 19-(52)</vt:lpstr>
      <vt:lpstr>20-(1)</vt:lpstr>
      <vt:lpstr>20-(2)</vt:lpstr>
      <vt:lpstr>21-(1) to 21-(2)</vt:lpstr>
      <vt:lpstr>21-(3)</vt:lpstr>
      <vt:lpstr>21-(4)</vt:lpstr>
      <vt:lpstr>21-(5)</vt:lpstr>
      <vt:lpstr>22-(1)</vt:lpstr>
      <vt:lpstr>22-(5)</vt:lpstr>
      <vt:lpstr>22-(6)</vt:lpstr>
      <vt:lpstr>22-(7)</vt:lpstr>
      <vt:lpstr>22-(8)</vt:lpstr>
      <vt:lpstr>22-(9)</vt:lpstr>
      <vt:lpstr>23-(1) to Figure 23-(9)</vt:lpstr>
      <vt:lpstr>23-(10)</vt:lpstr>
      <vt:lpstr>23-(11)</vt:lpstr>
      <vt:lpstr>23-(12)</vt:lpstr>
      <vt:lpstr>23-(13)</vt:lpstr>
      <vt:lpstr>23-(14)</vt:lpstr>
      <vt:lpstr>23-(15)</vt:lpstr>
      <vt:lpstr>23-(16)</vt:lpstr>
      <vt:lpstr>23-(17)</vt:lpstr>
      <vt:lpstr>23-(18)</vt:lpstr>
      <vt:lpstr>'15-(10)'!Criteria</vt:lpstr>
      <vt:lpstr>'15-(46)'!Criteria</vt:lpstr>
      <vt:lpstr>'15-(6)'!Criteria</vt:lpstr>
      <vt:lpstr>'15-(7)'!Criteria</vt:lpstr>
      <vt:lpstr>'15-(8)'!Criteria</vt:lpstr>
      <vt:lpstr>'15-(9)'!Criteria</vt:lpstr>
      <vt:lpstr>'19-(4) to 9-(5)'!Criteria</vt:lpstr>
      <vt:lpstr>'15-(10)'!Extract</vt:lpstr>
      <vt:lpstr>'15-(11)'!Extract</vt:lpstr>
      <vt:lpstr>'15-(46)'!Extract</vt:lpstr>
      <vt:lpstr>'15-(6)'!Extract</vt:lpstr>
      <vt:lpstr>'15-(7)'!Extract</vt:lpstr>
      <vt:lpstr>'15-(8)'!Extract</vt:lpstr>
      <vt:lpstr>'15-(9)'!Extract</vt:lpstr>
      <vt:lpstr>'19-(1) to 19-(3)'!Extract</vt:lpstr>
      <vt:lpstr>'19-(4) to 9-(5)'!Extract</vt:lpstr>
    </vt:vector>
  </TitlesOfParts>
  <Company>Highline Community College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Girvin, Michael</dc:creator>
  <cp:lastModifiedBy>Girvin, Michael</cp:lastModifiedBy>
  <cp:lastPrinted>2013-02-26T18:09:34Z</cp:lastPrinted>
  <dcterms:created xsi:type="dcterms:W3CDTF">2013-01-08T21:03:44Z</dcterms:created>
  <dcterms:modified xsi:type="dcterms:W3CDTF">2013-08-15T21:48:21Z</dcterms:modified>
</cp:coreProperties>
</file>